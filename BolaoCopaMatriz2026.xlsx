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82317852\Downloads\"/>
    </mc:Choice>
  </mc:AlternateContent>
  <xr:revisionPtr revIDLastSave="0" documentId="8_{B8A6EACF-F776-4A0A-BF65-CB026983CBAA}" xr6:coauthVersionLast="47" xr6:coauthVersionMax="47" xr10:uidLastSave="{00000000-0000-0000-0000-000000000000}"/>
  <bookViews>
    <workbookView xWindow="4980" yWindow="60" windowWidth="20790" windowHeight="14475" xr2:uid="{00000000-000D-0000-FFFF-FFFF00000000}"/>
  </bookViews>
  <sheets>
    <sheet name="CALENDARIO" sheetId="1" r:id="rId1"/>
    <sheet name="ENGLISH" sheetId="2" r:id="rId2"/>
    <sheet name="CONFIG" sheetId="3" r:id="rId3"/>
    <sheet name="PALPITES" sheetId="4" r:id="rId4"/>
    <sheet name="RESULTADOS" sheetId="5" r:id="rId5"/>
    <sheet name="RANKING" sheetId="6" r:id="rId6"/>
    <sheet name="HISTORICO" sheetId="7" state="hidden" r:id="rId7"/>
    <sheet name="Página8" sheetId="8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5" i="7" l="1"/>
  <c r="O214" i="7" s="1"/>
  <c r="N105" i="7"/>
  <c r="N214" i="7" s="1"/>
  <c r="M105" i="7"/>
  <c r="M214" i="7" s="1"/>
  <c r="L105" i="7"/>
  <c r="L214" i="7" s="1"/>
  <c r="K105" i="7"/>
  <c r="K214" i="7" s="1"/>
  <c r="J105" i="7"/>
  <c r="J214" i="7" s="1"/>
  <c r="I105" i="7"/>
  <c r="I214" i="7" s="1"/>
  <c r="H105" i="7"/>
  <c r="H214" i="7" s="1"/>
  <c r="G105" i="7"/>
  <c r="G214" i="7" s="1"/>
  <c r="F105" i="7"/>
  <c r="F214" i="7" s="1"/>
  <c r="E105" i="7"/>
  <c r="E214" i="7" s="1"/>
  <c r="D105" i="7"/>
  <c r="D214" i="7" s="1"/>
  <c r="C105" i="7"/>
  <c r="C214" i="7" s="1"/>
  <c r="B105" i="7"/>
  <c r="B214" i="7" s="1"/>
  <c r="O104" i="7"/>
  <c r="O213" i="7" s="1"/>
  <c r="N104" i="7"/>
  <c r="N213" i="7" s="1"/>
  <c r="M104" i="7"/>
  <c r="M213" i="7" s="1"/>
  <c r="L104" i="7"/>
  <c r="L213" i="7" s="1"/>
  <c r="K104" i="7"/>
  <c r="K213" i="7" s="1"/>
  <c r="J104" i="7"/>
  <c r="J213" i="7" s="1"/>
  <c r="I104" i="7"/>
  <c r="I213" i="7" s="1"/>
  <c r="H104" i="7"/>
  <c r="H213" i="7" s="1"/>
  <c r="G104" i="7"/>
  <c r="G213" i="7" s="1"/>
  <c r="F104" i="7"/>
  <c r="F213" i="7" s="1"/>
  <c r="E104" i="7"/>
  <c r="E213" i="7" s="1"/>
  <c r="D104" i="7"/>
  <c r="D213" i="7" s="1"/>
  <c r="C104" i="7"/>
  <c r="C213" i="7" s="1"/>
  <c r="B104" i="7"/>
  <c r="B213" i="7" s="1"/>
  <c r="O103" i="7"/>
  <c r="O212" i="7" s="1"/>
  <c r="N103" i="7"/>
  <c r="N212" i="7" s="1"/>
  <c r="M103" i="7"/>
  <c r="M212" i="7" s="1"/>
  <c r="L103" i="7"/>
  <c r="L212" i="7" s="1"/>
  <c r="K103" i="7"/>
  <c r="K212" i="7" s="1"/>
  <c r="J103" i="7"/>
  <c r="J212" i="7" s="1"/>
  <c r="I103" i="7"/>
  <c r="I212" i="7" s="1"/>
  <c r="H103" i="7"/>
  <c r="H212" i="7" s="1"/>
  <c r="G103" i="7"/>
  <c r="G212" i="7" s="1"/>
  <c r="F103" i="7"/>
  <c r="F212" i="7" s="1"/>
  <c r="E103" i="7"/>
  <c r="E212" i="7" s="1"/>
  <c r="D103" i="7"/>
  <c r="D212" i="7" s="1"/>
  <c r="C103" i="7"/>
  <c r="C212" i="7" s="1"/>
  <c r="B103" i="7"/>
  <c r="B212" i="7" s="1"/>
  <c r="O102" i="7"/>
  <c r="O211" i="7" s="1"/>
  <c r="N102" i="7"/>
  <c r="N211" i="7" s="1"/>
  <c r="M102" i="7"/>
  <c r="M211" i="7" s="1"/>
  <c r="L102" i="7"/>
  <c r="L211" i="7" s="1"/>
  <c r="K102" i="7"/>
  <c r="K211" i="7" s="1"/>
  <c r="J102" i="7"/>
  <c r="J211" i="7" s="1"/>
  <c r="I102" i="7"/>
  <c r="I211" i="7" s="1"/>
  <c r="H102" i="7"/>
  <c r="H211" i="7" s="1"/>
  <c r="G102" i="7"/>
  <c r="G211" i="7" s="1"/>
  <c r="F102" i="7"/>
  <c r="F211" i="7" s="1"/>
  <c r="E102" i="7"/>
  <c r="E211" i="7" s="1"/>
  <c r="D102" i="7"/>
  <c r="D211" i="7" s="1"/>
  <c r="C102" i="7"/>
  <c r="C211" i="7" s="1"/>
  <c r="B102" i="7"/>
  <c r="B211" i="7" s="1"/>
  <c r="O101" i="7"/>
  <c r="O210" i="7" s="1"/>
  <c r="N101" i="7"/>
  <c r="N210" i="7" s="1"/>
  <c r="M101" i="7"/>
  <c r="M210" i="7" s="1"/>
  <c r="L101" i="7"/>
  <c r="L210" i="7" s="1"/>
  <c r="K101" i="7"/>
  <c r="K210" i="7" s="1"/>
  <c r="J101" i="7"/>
  <c r="J210" i="7" s="1"/>
  <c r="I101" i="7"/>
  <c r="I210" i="7" s="1"/>
  <c r="H101" i="7"/>
  <c r="H210" i="7" s="1"/>
  <c r="G101" i="7"/>
  <c r="G210" i="7" s="1"/>
  <c r="F101" i="7"/>
  <c r="F210" i="7" s="1"/>
  <c r="E101" i="7"/>
  <c r="E210" i="7" s="1"/>
  <c r="D101" i="7"/>
  <c r="D210" i="7" s="1"/>
  <c r="C101" i="7"/>
  <c r="C210" i="7" s="1"/>
  <c r="B101" i="7"/>
  <c r="B210" i="7" s="1"/>
  <c r="O100" i="7"/>
  <c r="O209" i="7" s="1"/>
  <c r="N100" i="7"/>
  <c r="N209" i="7" s="1"/>
  <c r="M100" i="7"/>
  <c r="M209" i="7" s="1"/>
  <c r="L100" i="7"/>
  <c r="L209" i="7" s="1"/>
  <c r="K100" i="7"/>
  <c r="K209" i="7" s="1"/>
  <c r="J100" i="7"/>
  <c r="J209" i="7" s="1"/>
  <c r="I100" i="7"/>
  <c r="I209" i="7" s="1"/>
  <c r="H100" i="7"/>
  <c r="H209" i="7" s="1"/>
  <c r="G100" i="7"/>
  <c r="G209" i="7" s="1"/>
  <c r="F100" i="7"/>
  <c r="F209" i="7" s="1"/>
  <c r="E100" i="7"/>
  <c r="E209" i="7" s="1"/>
  <c r="D100" i="7"/>
  <c r="D209" i="7" s="1"/>
  <c r="C100" i="7"/>
  <c r="C209" i="7" s="1"/>
  <c r="B100" i="7"/>
  <c r="B209" i="7" s="1"/>
  <c r="O99" i="7"/>
  <c r="O208" i="7" s="1"/>
  <c r="N99" i="7"/>
  <c r="N208" i="7" s="1"/>
  <c r="M99" i="7"/>
  <c r="M208" i="7" s="1"/>
  <c r="L99" i="7"/>
  <c r="L208" i="7" s="1"/>
  <c r="K99" i="7"/>
  <c r="K208" i="7" s="1"/>
  <c r="J99" i="7"/>
  <c r="J208" i="7" s="1"/>
  <c r="I99" i="7"/>
  <c r="I208" i="7" s="1"/>
  <c r="H99" i="7"/>
  <c r="H208" i="7" s="1"/>
  <c r="G99" i="7"/>
  <c r="G208" i="7" s="1"/>
  <c r="F99" i="7"/>
  <c r="F208" i="7" s="1"/>
  <c r="E99" i="7"/>
  <c r="E208" i="7" s="1"/>
  <c r="D99" i="7"/>
  <c r="D208" i="7" s="1"/>
  <c r="C99" i="7"/>
  <c r="C208" i="7" s="1"/>
  <c r="B99" i="7"/>
  <c r="B208" i="7" s="1"/>
  <c r="O98" i="7"/>
  <c r="O207" i="7" s="1"/>
  <c r="N98" i="7"/>
  <c r="N207" i="7" s="1"/>
  <c r="M98" i="7"/>
  <c r="M207" i="7" s="1"/>
  <c r="L98" i="7"/>
  <c r="L207" i="7" s="1"/>
  <c r="K98" i="7"/>
  <c r="K207" i="7" s="1"/>
  <c r="J98" i="7"/>
  <c r="J207" i="7" s="1"/>
  <c r="I98" i="7"/>
  <c r="I207" i="7" s="1"/>
  <c r="H98" i="7"/>
  <c r="H207" i="7" s="1"/>
  <c r="G98" i="7"/>
  <c r="G207" i="7" s="1"/>
  <c r="F98" i="7"/>
  <c r="F207" i="7" s="1"/>
  <c r="E98" i="7"/>
  <c r="E207" i="7" s="1"/>
  <c r="D98" i="7"/>
  <c r="D207" i="7" s="1"/>
  <c r="C98" i="7"/>
  <c r="C207" i="7" s="1"/>
  <c r="B98" i="7"/>
  <c r="B207" i="7" s="1"/>
  <c r="O97" i="7"/>
  <c r="O206" i="7" s="1"/>
  <c r="N97" i="7"/>
  <c r="N206" i="7" s="1"/>
  <c r="M97" i="7"/>
  <c r="M206" i="7" s="1"/>
  <c r="L97" i="7"/>
  <c r="L206" i="7" s="1"/>
  <c r="K97" i="7"/>
  <c r="K206" i="7" s="1"/>
  <c r="J97" i="7"/>
  <c r="J206" i="7" s="1"/>
  <c r="I97" i="7"/>
  <c r="I206" i="7" s="1"/>
  <c r="H97" i="7"/>
  <c r="H206" i="7" s="1"/>
  <c r="G97" i="7"/>
  <c r="G206" i="7" s="1"/>
  <c r="F97" i="7"/>
  <c r="F206" i="7" s="1"/>
  <c r="E97" i="7"/>
  <c r="E206" i="7" s="1"/>
  <c r="D97" i="7"/>
  <c r="D206" i="7" s="1"/>
  <c r="C97" i="7"/>
  <c r="C206" i="7" s="1"/>
  <c r="B97" i="7"/>
  <c r="B206" i="7" s="1"/>
  <c r="O96" i="7"/>
  <c r="O205" i="7" s="1"/>
  <c r="N96" i="7"/>
  <c r="N205" i="7" s="1"/>
  <c r="M96" i="7"/>
  <c r="M205" i="7" s="1"/>
  <c r="L96" i="7"/>
  <c r="L205" i="7" s="1"/>
  <c r="K96" i="7"/>
  <c r="K205" i="7" s="1"/>
  <c r="J96" i="7"/>
  <c r="J205" i="7" s="1"/>
  <c r="I96" i="7"/>
  <c r="I205" i="7" s="1"/>
  <c r="H96" i="7"/>
  <c r="H205" i="7" s="1"/>
  <c r="G96" i="7"/>
  <c r="G205" i="7" s="1"/>
  <c r="F96" i="7"/>
  <c r="F205" i="7" s="1"/>
  <c r="E96" i="7"/>
  <c r="E205" i="7" s="1"/>
  <c r="D96" i="7"/>
  <c r="D205" i="7" s="1"/>
  <c r="C96" i="7"/>
  <c r="C205" i="7" s="1"/>
  <c r="B96" i="7"/>
  <c r="B205" i="7" s="1"/>
  <c r="O95" i="7"/>
  <c r="O204" i="7" s="1"/>
  <c r="N95" i="7"/>
  <c r="N204" i="7" s="1"/>
  <c r="M95" i="7"/>
  <c r="M204" i="7" s="1"/>
  <c r="L95" i="7"/>
  <c r="L204" i="7" s="1"/>
  <c r="K95" i="7"/>
  <c r="K204" i="7" s="1"/>
  <c r="J95" i="7"/>
  <c r="J204" i="7" s="1"/>
  <c r="I95" i="7"/>
  <c r="I204" i="7" s="1"/>
  <c r="H95" i="7"/>
  <c r="H204" i="7" s="1"/>
  <c r="G95" i="7"/>
  <c r="G204" i="7" s="1"/>
  <c r="F95" i="7"/>
  <c r="F204" i="7" s="1"/>
  <c r="E95" i="7"/>
  <c r="E204" i="7" s="1"/>
  <c r="D95" i="7"/>
  <c r="D204" i="7" s="1"/>
  <c r="C95" i="7"/>
  <c r="C204" i="7" s="1"/>
  <c r="B95" i="7"/>
  <c r="B204" i="7" s="1"/>
  <c r="O94" i="7"/>
  <c r="O203" i="7" s="1"/>
  <c r="N94" i="7"/>
  <c r="N203" i="7" s="1"/>
  <c r="M94" i="7"/>
  <c r="M203" i="7" s="1"/>
  <c r="L94" i="7"/>
  <c r="L203" i="7" s="1"/>
  <c r="K94" i="7"/>
  <c r="K203" i="7" s="1"/>
  <c r="J94" i="7"/>
  <c r="J203" i="7" s="1"/>
  <c r="I94" i="7"/>
  <c r="I203" i="7" s="1"/>
  <c r="H94" i="7"/>
  <c r="H203" i="7" s="1"/>
  <c r="G94" i="7"/>
  <c r="G203" i="7" s="1"/>
  <c r="F94" i="7"/>
  <c r="F203" i="7" s="1"/>
  <c r="E94" i="7"/>
  <c r="E203" i="7" s="1"/>
  <c r="D94" i="7"/>
  <c r="D203" i="7" s="1"/>
  <c r="C94" i="7"/>
  <c r="C203" i="7" s="1"/>
  <c r="B94" i="7"/>
  <c r="B203" i="7" s="1"/>
  <c r="O93" i="7"/>
  <c r="O202" i="7" s="1"/>
  <c r="N93" i="7"/>
  <c r="N202" i="7" s="1"/>
  <c r="M93" i="7"/>
  <c r="M202" i="7" s="1"/>
  <c r="L93" i="7"/>
  <c r="L202" i="7" s="1"/>
  <c r="K93" i="7"/>
  <c r="K202" i="7" s="1"/>
  <c r="J93" i="7"/>
  <c r="J202" i="7" s="1"/>
  <c r="I93" i="7"/>
  <c r="I202" i="7" s="1"/>
  <c r="H93" i="7"/>
  <c r="H202" i="7" s="1"/>
  <c r="G93" i="7"/>
  <c r="G202" i="7" s="1"/>
  <c r="F93" i="7"/>
  <c r="F202" i="7" s="1"/>
  <c r="E93" i="7"/>
  <c r="E202" i="7" s="1"/>
  <c r="D93" i="7"/>
  <c r="D202" i="7" s="1"/>
  <c r="C93" i="7"/>
  <c r="C202" i="7" s="1"/>
  <c r="B93" i="7"/>
  <c r="B202" i="7" s="1"/>
  <c r="O92" i="7"/>
  <c r="O201" i="7" s="1"/>
  <c r="N92" i="7"/>
  <c r="N201" i="7" s="1"/>
  <c r="M92" i="7"/>
  <c r="M201" i="7" s="1"/>
  <c r="L92" i="7"/>
  <c r="L201" i="7" s="1"/>
  <c r="K92" i="7"/>
  <c r="K201" i="7" s="1"/>
  <c r="J92" i="7"/>
  <c r="J201" i="7" s="1"/>
  <c r="I92" i="7"/>
  <c r="I201" i="7" s="1"/>
  <c r="H92" i="7"/>
  <c r="H201" i="7" s="1"/>
  <c r="G92" i="7"/>
  <c r="G201" i="7" s="1"/>
  <c r="F92" i="7"/>
  <c r="F201" i="7" s="1"/>
  <c r="E92" i="7"/>
  <c r="E201" i="7" s="1"/>
  <c r="D92" i="7"/>
  <c r="D201" i="7" s="1"/>
  <c r="C92" i="7"/>
  <c r="C201" i="7" s="1"/>
  <c r="B92" i="7"/>
  <c r="B201" i="7" s="1"/>
  <c r="O91" i="7"/>
  <c r="O200" i="7" s="1"/>
  <c r="N91" i="7"/>
  <c r="N200" i="7" s="1"/>
  <c r="M91" i="7"/>
  <c r="M200" i="7" s="1"/>
  <c r="L91" i="7"/>
  <c r="L200" i="7" s="1"/>
  <c r="K91" i="7"/>
  <c r="K200" i="7" s="1"/>
  <c r="J91" i="7"/>
  <c r="J200" i="7" s="1"/>
  <c r="I91" i="7"/>
  <c r="I200" i="7" s="1"/>
  <c r="H91" i="7"/>
  <c r="H200" i="7" s="1"/>
  <c r="G91" i="7"/>
  <c r="G200" i="7" s="1"/>
  <c r="F91" i="7"/>
  <c r="F200" i="7" s="1"/>
  <c r="E91" i="7"/>
  <c r="E200" i="7" s="1"/>
  <c r="D91" i="7"/>
  <c r="D200" i="7" s="1"/>
  <c r="C91" i="7"/>
  <c r="C200" i="7" s="1"/>
  <c r="B91" i="7"/>
  <c r="B200" i="7" s="1"/>
  <c r="O90" i="7"/>
  <c r="O199" i="7" s="1"/>
  <c r="N90" i="7"/>
  <c r="N199" i="7" s="1"/>
  <c r="M90" i="7"/>
  <c r="M199" i="7" s="1"/>
  <c r="L90" i="7"/>
  <c r="L199" i="7" s="1"/>
  <c r="K90" i="7"/>
  <c r="K199" i="7" s="1"/>
  <c r="J90" i="7"/>
  <c r="J199" i="7" s="1"/>
  <c r="I90" i="7"/>
  <c r="I199" i="7" s="1"/>
  <c r="H90" i="7"/>
  <c r="H199" i="7" s="1"/>
  <c r="G90" i="7"/>
  <c r="G199" i="7" s="1"/>
  <c r="F90" i="7"/>
  <c r="F199" i="7" s="1"/>
  <c r="E90" i="7"/>
  <c r="E199" i="7" s="1"/>
  <c r="D90" i="7"/>
  <c r="D199" i="7" s="1"/>
  <c r="C90" i="7"/>
  <c r="C199" i="7" s="1"/>
  <c r="B90" i="7"/>
  <c r="B199" i="7" s="1"/>
  <c r="O89" i="7"/>
  <c r="O198" i="7" s="1"/>
  <c r="N89" i="7"/>
  <c r="N198" i="7" s="1"/>
  <c r="M89" i="7"/>
  <c r="M198" i="7" s="1"/>
  <c r="L89" i="7"/>
  <c r="L198" i="7" s="1"/>
  <c r="K89" i="7"/>
  <c r="K198" i="7" s="1"/>
  <c r="J89" i="7"/>
  <c r="J198" i="7" s="1"/>
  <c r="I89" i="7"/>
  <c r="I198" i="7" s="1"/>
  <c r="H89" i="7"/>
  <c r="H198" i="7" s="1"/>
  <c r="G89" i="7"/>
  <c r="G198" i="7" s="1"/>
  <c r="F89" i="7"/>
  <c r="F198" i="7" s="1"/>
  <c r="E89" i="7"/>
  <c r="E198" i="7" s="1"/>
  <c r="D89" i="7"/>
  <c r="D198" i="7" s="1"/>
  <c r="C89" i="7"/>
  <c r="C198" i="7" s="1"/>
  <c r="B89" i="7"/>
  <c r="B198" i="7" s="1"/>
  <c r="O88" i="7"/>
  <c r="O197" i="7" s="1"/>
  <c r="N88" i="7"/>
  <c r="N197" i="7" s="1"/>
  <c r="M88" i="7"/>
  <c r="M197" i="7" s="1"/>
  <c r="L88" i="7"/>
  <c r="L197" i="7" s="1"/>
  <c r="K88" i="7"/>
  <c r="K197" i="7" s="1"/>
  <c r="J88" i="7"/>
  <c r="J197" i="7" s="1"/>
  <c r="I88" i="7"/>
  <c r="I197" i="7" s="1"/>
  <c r="H88" i="7"/>
  <c r="H197" i="7" s="1"/>
  <c r="G88" i="7"/>
  <c r="G197" i="7" s="1"/>
  <c r="F88" i="7"/>
  <c r="F197" i="7" s="1"/>
  <c r="E88" i="7"/>
  <c r="E197" i="7" s="1"/>
  <c r="D88" i="7"/>
  <c r="D197" i="7" s="1"/>
  <c r="C88" i="7"/>
  <c r="C197" i="7" s="1"/>
  <c r="B88" i="7"/>
  <c r="B197" i="7" s="1"/>
  <c r="O87" i="7"/>
  <c r="O196" i="7" s="1"/>
  <c r="N87" i="7"/>
  <c r="N196" i="7" s="1"/>
  <c r="M87" i="7"/>
  <c r="M196" i="7" s="1"/>
  <c r="L87" i="7"/>
  <c r="L196" i="7" s="1"/>
  <c r="K87" i="7"/>
  <c r="K196" i="7" s="1"/>
  <c r="J87" i="7"/>
  <c r="J196" i="7" s="1"/>
  <c r="I87" i="7"/>
  <c r="I196" i="7" s="1"/>
  <c r="H87" i="7"/>
  <c r="H196" i="7" s="1"/>
  <c r="G87" i="7"/>
  <c r="G196" i="7" s="1"/>
  <c r="F87" i="7"/>
  <c r="F196" i="7" s="1"/>
  <c r="E87" i="7"/>
  <c r="E196" i="7" s="1"/>
  <c r="D87" i="7"/>
  <c r="D196" i="7" s="1"/>
  <c r="C87" i="7"/>
  <c r="C196" i="7" s="1"/>
  <c r="B87" i="7"/>
  <c r="B196" i="7" s="1"/>
  <c r="O86" i="7"/>
  <c r="O195" i="7" s="1"/>
  <c r="N86" i="7"/>
  <c r="N195" i="7" s="1"/>
  <c r="M86" i="7"/>
  <c r="M195" i="7" s="1"/>
  <c r="L86" i="7"/>
  <c r="L195" i="7" s="1"/>
  <c r="K86" i="7"/>
  <c r="K195" i="7" s="1"/>
  <c r="J86" i="7"/>
  <c r="J195" i="7" s="1"/>
  <c r="I86" i="7"/>
  <c r="I195" i="7" s="1"/>
  <c r="H86" i="7"/>
  <c r="H195" i="7" s="1"/>
  <c r="G86" i="7"/>
  <c r="G195" i="7" s="1"/>
  <c r="F86" i="7"/>
  <c r="F195" i="7" s="1"/>
  <c r="E86" i="7"/>
  <c r="E195" i="7" s="1"/>
  <c r="D86" i="7"/>
  <c r="D195" i="7" s="1"/>
  <c r="C86" i="7"/>
  <c r="C195" i="7" s="1"/>
  <c r="B86" i="7"/>
  <c r="B195" i="7" s="1"/>
  <c r="O85" i="7"/>
  <c r="O194" i="7" s="1"/>
  <c r="N85" i="7"/>
  <c r="N194" i="7" s="1"/>
  <c r="M85" i="7"/>
  <c r="M194" i="7" s="1"/>
  <c r="L85" i="7"/>
  <c r="L194" i="7" s="1"/>
  <c r="K85" i="7"/>
  <c r="K194" i="7" s="1"/>
  <c r="J85" i="7"/>
  <c r="J194" i="7" s="1"/>
  <c r="I85" i="7"/>
  <c r="I194" i="7" s="1"/>
  <c r="H85" i="7"/>
  <c r="H194" i="7" s="1"/>
  <c r="G85" i="7"/>
  <c r="G194" i="7" s="1"/>
  <c r="F85" i="7"/>
  <c r="F194" i="7" s="1"/>
  <c r="E85" i="7"/>
  <c r="E194" i="7" s="1"/>
  <c r="D85" i="7"/>
  <c r="D194" i="7" s="1"/>
  <c r="C85" i="7"/>
  <c r="C194" i="7" s="1"/>
  <c r="B85" i="7"/>
  <c r="B194" i="7" s="1"/>
  <c r="O84" i="7"/>
  <c r="O193" i="7" s="1"/>
  <c r="N84" i="7"/>
  <c r="N193" i="7" s="1"/>
  <c r="M84" i="7"/>
  <c r="M193" i="7" s="1"/>
  <c r="L84" i="7"/>
  <c r="L193" i="7" s="1"/>
  <c r="K84" i="7"/>
  <c r="K193" i="7" s="1"/>
  <c r="J84" i="7"/>
  <c r="J193" i="7" s="1"/>
  <c r="I84" i="7"/>
  <c r="I193" i="7" s="1"/>
  <c r="H84" i="7"/>
  <c r="H193" i="7" s="1"/>
  <c r="G84" i="7"/>
  <c r="G193" i="7" s="1"/>
  <c r="F84" i="7"/>
  <c r="F193" i="7" s="1"/>
  <c r="E84" i="7"/>
  <c r="E193" i="7" s="1"/>
  <c r="D84" i="7"/>
  <c r="D193" i="7" s="1"/>
  <c r="C84" i="7"/>
  <c r="C193" i="7" s="1"/>
  <c r="B84" i="7"/>
  <c r="B193" i="7" s="1"/>
  <c r="O83" i="7"/>
  <c r="O192" i="7" s="1"/>
  <c r="N83" i="7"/>
  <c r="N192" i="7" s="1"/>
  <c r="M83" i="7"/>
  <c r="M192" i="7" s="1"/>
  <c r="L83" i="7"/>
  <c r="L192" i="7" s="1"/>
  <c r="K83" i="7"/>
  <c r="K192" i="7" s="1"/>
  <c r="J83" i="7"/>
  <c r="J192" i="7" s="1"/>
  <c r="I83" i="7"/>
  <c r="I192" i="7" s="1"/>
  <c r="H83" i="7"/>
  <c r="H192" i="7" s="1"/>
  <c r="G83" i="7"/>
  <c r="G192" i="7" s="1"/>
  <c r="F83" i="7"/>
  <c r="F192" i="7" s="1"/>
  <c r="E83" i="7"/>
  <c r="E192" i="7" s="1"/>
  <c r="D83" i="7"/>
  <c r="D192" i="7" s="1"/>
  <c r="C83" i="7"/>
  <c r="C192" i="7" s="1"/>
  <c r="B83" i="7"/>
  <c r="B192" i="7" s="1"/>
  <c r="O82" i="7"/>
  <c r="O191" i="7" s="1"/>
  <c r="N82" i="7"/>
  <c r="N191" i="7" s="1"/>
  <c r="M82" i="7"/>
  <c r="M191" i="7" s="1"/>
  <c r="L82" i="7"/>
  <c r="L191" i="7" s="1"/>
  <c r="K82" i="7"/>
  <c r="K191" i="7" s="1"/>
  <c r="J82" i="7"/>
  <c r="J191" i="7" s="1"/>
  <c r="I82" i="7"/>
  <c r="I191" i="7" s="1"/>
  <c r="H82" i="7"/>
  <c r="H191" i="7" s="1"/>
  <c r="G82" i="7"/>
  <c r="G191" i="7" s="1"/>
  <c r="F82" i="7"/>
  <c r="F191" i="7" s="1"/>
  <c r="E82" i="7"/>
  <c r="E191" i="7" s="1"/>
  <c r="D82" i="7"/>
  <c r="D191" i="7" s="1"/>
  <c r="C82" i="7"/>
  <c r="C191" i="7" s="1"/>
  <c r="B82" i="7"/>
  <c r="B191" i="7" s="1"/>
  <c r="O81" i="7"/>
  <c r="O190" i="7" s="1"/>
  <c r="N81" i="7"/>
  <c r="N190" i="7" s="1"/>
  <c r="M81" i="7"/>
  <c r="M190" i="7" s="1"/>
  <c r="L81" i="7"/>
  <c r="L190" i="7" s="1"/>
  <c r="K81" i="7"/>
  <c r="K190" i="7" s="1"/>
  <c r="J81" i="7"/>
  <c r="J190" i="7" s="1"/>
  <c r="I81" i="7"/>
  <c r="I190" i="7" s="1"/>
  <c r="H81" i="7"/>
  <c r="H190" i="7" s="1"/>
  <c r="G81" i="7"/>
  <c r="G190" i="7" s="1"/>
  <c r="F81" i="7"/>
  <c r="F190" i="7" s="1"/>
  <c r="E81" i="7"/>
  <c r="E190" i="7" s="1"/>
  <c r="D81" i="7"/>
  <c r="D190" i="7" s="1"/>
  <c r="C81" i="7"/>
  <c r="C190" i="7" s="1"/>
  <c r="B81" i="7"/>
  <c r="B190" i="7" s="1"/>
  <c r="O80" i="7"/>
  <c r="O189" i="7" s="1"/>
  <c r="N80" i="7"/>
  <c r="N189" i="7" s="1"/>
  <c r="M80" i="7"/>
  <c r="M189" i="7" s="1"/>
  <c r="L80" i="7"/>
  <c r="L189" i="7" s="1"/>
  <c r="K80" i="7"/>
  <c r="K189" i="7" s="1"/>
  <c r="J80" i="7"/>
  <c r="J189" i="7" s="1"/>
  <c r="I80" i="7"/>
  <c r="I189" i="7" s="1"/>
  <c r="H80" i="7"/>
  <c r="H189" i="7" s="1"/>
  <c r="G80" i="7"/>
  <c r="G189" i="7" s="1"/>
  <c r="F80" i="7"/>
  <c r="F189" i="7" s="1"/>
  <c r="E80" i="7"/>
  <c r="E189" i="7" s="1"/>
  <c r="D80" i="7"/>
  <c r="D189" i="7" s="1"/>
  <c r="C80" i="7"/>
  <c r="C189" i="7" s="1"/>
  <c r="B80" i="7"/>
  <c r="B189" i="7" s="1"/>
  <c r="O79" i="7"/>
  <c r="O188" i="7" s="1"/>
  <c r="N79" i="7"/>
  <c r="N188" i="7" s="1"/>
  <c r="M79" i="7"/>
  <c r="M188" i="7" s="1"/>
  <c r="L79" i="7"/>
  <c r="L188" i="7" s="1"/>
  <c r="K79" i="7"/>
  <c r="K188" i="7" s="1"/>
  <c r="J79" i="7"/>
  <c r="J188" i="7" s="1"/>
  <c r="I79" i="7"/>
  <c r="I188" i="7" s="1"/>
  <c r="H79" i="7"/>
  <c r="H188" i="7" s="1"/>
  <c r="G79" i="7"/>
  <c r="G188" i="7" s="1"/>
  <c r="F79" i="7"/>
  <c r="F188" i="7" s="1"/>
  <c r="E79" i="7"/>
  <c r="E188" i="7" s="1"/>
  <c r="D79" i="7"/>
  <c r="D188" i="7" s="1"/>
  <c r="C79" i="7"/>
  <c r="C188" i="7" s="1"/>
  <c r="B79" i="7"/>
  <c r="B188" i="7" s="1"/>
  <c r="O78" i="7"/>
  <c r="O187" i="7" s="1"/>
  <c r="N78" i="7"/>
  <c r="N187" i="7" s="1"/>
  <c r="M78" i="7"/>
  <c r="M187" i="7" s="1"/>
  <c r="L78" i="7"/>
  <c r="L187" i="7" s="1"/>
  <c r="K78" i="7"/>
  <c r="K187" i="7" s="1"/>
  <c r="J78" i="7"/>
  <c r="J187" i="7" s="1"/>
  <c r="I78" i="7"/>
  <c r="I187" i="7" s="1"/>
  <c r="H78" i="7"/>
  <c r="H187" i="7" s="1"/>
  <c r="G78" i="7"/>
  <c r="G187" i="7" s="1"/>
  <c r="F78" i="7"/>
  <c r="F187" i="7" s="1"/>
  <c r="E78" i="7"/>
  <c r="E187" i="7" s="1"/>
  <c r="D78" i="7"/>
  <c r="D187" i="7" s="1"/>
  <c r="C78" i="7"/>
  <c r="C187" i="7" s="1"/>
  <c r="B78" i="7"/>
  <c r="B187" i="7" s="1"/>
  <c r="O77" i="7"/>
  <c r="O186" i="7" s="1"/>
  <c r="N77" i="7"/>
  <c r="N186" i="7" s="1"/>
  <c r="M77" i="7"/>
  <c r="M186" i="7" s="1"/>
  <c r="L77" i="7"/>
  <c r="L186" i="7" s="1"/>
  <c r="K77" i="7"/>
  <c r="K186" i="7" s="1"/>
  <c r="J77" i="7"/>
  <c r="J186" i="7" s="1"/>
  <c r="I77" i="7"/>
  <c r="I186" i="7" s="1"/>
  <c r="H77" i="7"/>
  <c r="H186" i="7" s="1"/>
  <c r="G77" i="7"/>
  <c r="G186" i="7" s="1"/>
  <c r="F77" i="7"/>
  <c r="F186" i="7" s="1"/>
  <c r="E77" i="7"/>
  <c r="E186" i="7" s="1"/>
  <c r="D77" i="7"/>
  <c r="D186" i="7" s="1"/>
  <c r="C77" i="7"/>
  <c r="C186" i="7" s="1"/>
  <c r="B77" i="7"/>
  <c r="B186" i="7" s="1"/>
  <c r="O76" i="7"/>
  <c r="O185" i="7" s="1"/>
  <c r="N76" i="7"/>
  <c r="N185" i="7" s="1"/>
  <c r="M76" i="7"/>
  <c r="M185" i="7" s="1"/>
  <c r="L76" i="7"/>
  <c r="L185" i="7" s="1"/>
  <c r="K76" i="7"/>
  <c r="K185" i="7" s="1"/>
  <c r="J76" i="7"/>
  <c r="J185" i="7" s="1"/>
  <c r="I76" i="7"/>
  <c r="I185" i="7" s="1"/>
  <c r="H76" i="7"/>
  <c r="H185" i="7" s="1"/>
  <c r="G76" i="7"/>
  <c r="G185" i="7" s="1"/>
  <c r="F76" i="7"/>
  <c r="F185" i="7" s="1"/>
  <c r="E76" i="7"/>
  <c r="E185" i="7" s="1"/>
  <c r="D76" i="7"/>
  <c r="D185" i="7" s="1"/>
  <c r="C76" i="7"/>
  <c r="C185" i="7" s="1"/>
  <c r="B76" i="7"/>
  <c r="B185" i="7" s="1"/>
  <c r="O75" i="7"/>
  <c r="O184" i="7" s="1"/>
  <c r="N75" i="7"/>
  <c r="N184" i="7" s="1"/>
  <c r="M75" i="7"/>
  <c r="M184" i="7" s="1"/>
  <c r="L75" i="7"/>
  <c r="L184" i="7" s="1"/>
  <c r="K75" i="7"/>
  <c r="K184" i="7" s="1"/>
  <c r="J75" i="7"/>
  <c r="J184" i="7" s="1"/>
  <c r="I75" i="7"/>
  <c r="I184" i="7" s="1"/>
  <c r="H75" i="7"/>
  <c r="H184" i="7" s="1"/>
  <c r="G75" i="7"/>
  <c r="G184" i="7" s="1"/>
  <c r="F75" i="7"/>
  <c r="F184" i="7" s="1"/>
  <c r="E75" i="7"/>
  <c r="E184" i="7" s="1"/>
  <c r="D75" i="7"/>
  <c r="D184" i="7" s="1"/>
  <c r="C75" i="7"/>
  <c r="C184" i="7" s="1"/>
  <c r="B75" i="7"/>
  <c r="B184" i="7" s="1"/>
  <c r="O74" i="7"/>
  <c r="O183" i="7" s="1"/>
  <c r="N74" i="7"/>
  <c r="N183" i="7" s="1"/>
  <c r="M74" i="7"/>
  <c r="M183" i="7" s="1"/>
  <c r="L74" i="7"/>
  <c r="L183" i="7" s="1"/>
  <c r="K74" i="7"/>
  <c r="K183" i="7" s="1"/>
  <c r="J74" i="7"/>
  <c r="J183" i="7" s="1"/>
  <c r="I74" i="7"/>
  <c r="I183" i="7" s="1"/>
  <c r="H74" i="7"/>
  <c r="H183" i="7" s="1"/>
  <c r="G74" i="7"/>
  <c r="G183" i="7" s="1"/>
  <c r="F74" i="7"/>
  <c r="F183" i="7" s="1"/>
  <c r="E74" i="7"/>
  <c r="E183" i="7" s="1"/>
  <c r="D74" i="7"/>
  <c r="D183" i="7" s="1"/>
  <c r="C74" i="7"/>
  <c r="C183" i="7" s="1"/>
  <c r="B74" i="7"/>
  <c r="B183" i="7" s="1"/>
  <c r="O73" i="7"/>
  <c r="O182" i="7" s="1"/>
  <c r="N73" i="7"/>
  <c r="N182" i="7" s="1"/>
  <c r="M73" i="7"/>
  <c r="M182" i="7" s="1"/>
  <c r="L73" i="7"/>
  <c r="L182" i="7" s="1"/>
  <c r="K73" i="7"/>
  <c r="K182" i="7" s="1"/>
  <c r="J73" i="7"/>
  <c r="J182" i="7" s="1"/>
  <c r="I73" i="7"/>
  <c r="I182" i="7" s="1"/>
  <c r="H73" i="7"/>
  <c r="H182" i="7" s="1"/>
  <c r="G73" i="7"/>
  <c r="G182" i="7" s="1"/>
  <c r="F73" i="7"/>
  <c r="F182" i="7" s="1"/>
  <c r="E73" i="7"/>
  <c r="E182" i="7" s="1"/>
  <c r="D73" i="7"/>
  <c r="D182" i="7" s="1"/>
  <c r="C73" i="7"/>
  <c r="C182" i="7" s="1"/>
  <c r="B73" i="7"/>
  <c r="B182" i="7" s="1"/>
  <c r="O72" i="7"/>
  <c r="O181" i="7" s="1"/>
  <c r="N72" i="7"/>
  <c r="N181" i="7" s="1"/>
  <c r="M72" i="7"/>
  <c r="M181" i="7" s="1"/>
  <c r="L72" i="7"/>
  <c r="L181" i="7" s="1"/>
  <c r="K72" i="7"/>
  <c r="K181" i="7" s="1"/>
  <c r="J72" i="7"/>
  <c r="J181" i="7" s="1"/>
  <c r="I72" i="7"/>
  <c r="I181" i="7" s="1"/>
  <c r="H72" i="7"/>
  <c r="H181" i="7" s="1"/>
  <c r="G72" i="7"/>
  <c r="G181" i="7" s="1"/>
  <c r="F72" i="7"/>
  <c r="F181" i="7" s="1"/>
  <c r="E72" i="7"/>
  <c r="E181" i="7" s="1"/>
  <c r="D72" i="7"/>
  <c r="D181" i="7" s="1"/>
  <c r="C72" i="7"/>
  <c r="C181" i="7" s="1"/>
  <c r="B72" i="7"/>
  <c r="B181" i="7" s="1"/>
  <c r="O71" i="7"/>
  <c r="O180" i="7" s="1"/>
  <c r="N71" i="7"/>
  <c r="N180" i="7" s="1"/>
  <c r="M71" i="7"/>
  <c r="M180" i="7" s="1"/>
  <c r="L71" i="7"/>
  <c r="L180" i="7" s="1"/>
  <c r="K71" i="7"/>
  <c r="K180" i="7" s="1"/>
  <c r="J71" i="7"/>
  <c r="J180" i="7" s="1"/>
  <c r="I71" i="7"/>
  <c r="I180" i="7" s="1"/>
  <c r="H71" i="7"/>
  <c r="H180" i="7" s="1"/>
  <c r="G71" i="7"/>
  <c r="G180" i="7" s="1"/>
  <c r="F71" i="7"/>
  <c r="F180" i="7" s="1"/>
  <c r="E71" i="7"/>
  <c r="E180" i="7" s="1"/>
  <c r="D71" i="7"/>
  <c r="D180" i="7" s="1"/>
  <c r="C71" i="7"/>
  <c r="C180" i="7" s="1"/>
  <c r="B71" i="7"/>
  <c r="B180" i="7" s="1"/>
  <c r="O70" i="7"/>
  <c r="O179" i="7" s="1"/>
  <c r="N70" i="7"/>
  <c r="N179" i="7" s="1"/>
  <c r="M70" i="7"/>
  <c r="M179" i="7" s="1"/>
  <c r="L70" i="7"/>
  <c r="L179" i="7" s="1"/>
  <c r="K70" i="7"/>
  <c r="K179" i="7" s="1"/>
  <c r="J70" i="7"/>
  <c r="J179" i="7" s="1"/>
  <c r="I70" i="7"/>
  <c r="I179" i="7" s="1"/>
  <c r="H70" i="7"/>
  <c r="H179" i="7" s="1"/>
  <c r="G70" i="7"/>
  <c r="G179" i="7" s="1"/>
  <c r="F70" i="7"/>
  <c r="F179" i="7" s="1"/>
  <c r="E70" i="7"/>
  <c r="E179" i="7" s="1"/>
  <c r="D70" i="7"/>
  <c r="D179" i="7" s="1"/>
  <c r="C70" i="7"/>
  <c r="C179" i="7" s="1"/>
  <c r="B70" i="7"/>
  <c r="B179" i="7" s="1"/>
  <c r="O69" i="7"/>
  <c r="O178" i="7" s="1"/>
  <c r="N69" i="7"/>
  <c r="N178" i="7" s="1"/>
  <c r="M69" i="7"/>
  <c r="M178" i="7" s="1"/>
  <c r="L69" i="7"/>
  <c r="L178" i="7" s="1"/>
  <c r="K69" i="7"/>
  <c r="K178" i="7" s="1"/>
  <c r="J69" i="7"/>
  <c r="J178" i="7" s="1"/>
  <c r="I69" i="7"/>
  <c r="I178" i="7" s="1"/>
  <c r="H69" i="7"/>
  <c r="H178" i="7" s="1"/>
  <c r="G69" i="7"/>
  <c r="G178" i="7" s="1"/>
  <c r="F69" i="7"/>
  <c r="F178" i="7" s="1"/>
  <c r="E69" i="7"/>
  <c r="E178" i="7" s="1"/>
  <c r="D69" i="7"/>
  <c r="D178" i="7" s="1"/>
  <c r="C69" i="7"/>
  <c r="C178" i="7" s="1"/>
  <c r="B69" i="7"/>
  <c r="B178" i="7" s="1"/>
  <c r="O68" i="7"/>
  <c r="O177" i="7" s="1"/>
  <c r="N68" i="7"/>
  <c r="N177" i="7" s="1"/>
  <c r="M68" i="7"/>
  <c r="M177" i="7" s="1"/>
  <c r="L68" i="7"/>
  <c r="L177" i="7" s="1"/>
  <c r="K68" i="7"/>
  <c r="K177" i="7" s="1"/>
  <c r="J68" i="7"/>
  <c r="J177" i="7" s="1"/>
  <c r="I68" i="7"/>
  <c r="I177" i="7" s="1"/>
  <c r="H68" i="7"/>
  <c r="H177" i="7" s="1"/>
  <c r="G68" i="7"/>
  <c r="G177" i="7" s="1"/>
  <c r="F68" i="7"/>
  <c r="F177" i="7" s="1"/>
  <c r="E68" i="7"/>
  <c r="E177" i="7" s="1"/>
  <c r="D68" i="7"/>
  <c r="D177" i="7" s="1"/>
  <c r="C68" i="7"/>
  <c r="C177" i="7" s="1"/>
  <c r="B68" i="7"/>
  <c r="B177" i="7" s="1"/>
  <c r="O67" i="7"/>
  <c r="O176" i="7" s="1"/>
  <c r="N67" i="7"/>
  <c r="N176" i="7" s="1"/>
  <c r="M67" i="7"/>
  <c r="M176" i="7" s="1"/>
  <c r="L67" i="7"/>
  <c r="L176" i="7" s="1"/>
  <c r="K67" i="7"/>
  <c r="K176" i="7" s="1"/>
  <c r="J67" i="7"/>
  <c r="J176" i="7" s="1"/>
  <c r="I67" i="7"/>
  <c r="I176" i="7" s="1"/>
  <c r="H67" i="7"/>
  <c r="H176" i="7" s="1"/>
  <c r="G67" i="7"/>
  <c r="G176" i="7" s="1"/>
  <c r="F67" i="7"/>
  <c r="F176" i="7" s="1"/>
  <c r="E67" i="7"/>
  <c r="E176" i="7" s="1"/>
  <c r="D67" i="7"/>
  <c r="D176" i="7" s="1"/>
  <c r="C67" i="7"/>
  <c r="C176" i="7" s="1"/>
  <c r="B67" i="7"/>
  <c r="B176" i="7" s="1"/>
  <c r="O66" i="7"/>
  <c r="O175" i="7" s="1"/>
  <c r="N66" i="7"/>
  <c r="N175" i="7" s="1"/>
  <c r="M66" i="7"/>
  <c r="M175" i="7" s="1"/>
  <c r="L66" i="7"/>
  <c r="L175" i="7" s="1"/>
  <c r="K66" i="7"/>
  <c r="K175" i="7" s="1"/>
  <c r="J66" i="7"/>
  <c r="J175" i="7" s="1"/>
  <c r="I66" i="7"/>
  <c r="I175" i="7" s="1"/>
  <c r="H66" i="7"/>
  <c r="H175" i="7" s="1"/>
  <c r="G66" i="7"/>
  <c r="G175" i="7" s="1"/>
  <c r="F66" i="7"/>
  <c r="F175" i="7" s="1"/>
  <c r="E66" i="7"/>
  <c r="E175" i="7" s="1"/>
  <c r="D66" i="7"/>
  <c r="D175" i="7" s="1"/>
  <c r="C66" i="7"/>
  <c r="C175" i="7" s="1"/>
  <c r="B66" i="7"/>
  <c r="B175" i="7" s="1"/>
  <c r="O65" i="7"/>
  <c r="O174" i="7" s="1"/>
  <c r="N65" i="7"/>
  <c r="N174" i="7" s="1"/>
  <c r="M65" i="7"/>
  <c r="M174" i="7" s="1"/>
  <c r="L65" i="7"/>
  <c r="L174" i="7" s="1"/>
  <c r="K65" i="7"/>
  <c r="K174" i="7" s="1"/>
  <c r="J65" i="7"/>
  <c r="J174" i="7" s="1"/>
  <c r="I65" i="7"/>
  <c r="I174" i="7" s="1"/>
  <c r="H65" i="7"/>
  <c r="H174" i="7" s="1"/>
  <c r="G65" i="7"/>
  <c r="G174" i="7" s="1"/>
  <c r="F65" i="7"/>
  <c r="F174" i="7" s="1"/>
  <c r="E65" i="7"/>
  <c r="E174" i="7" s="1"/>
  <c r="D65" i="7"/>
  <c r="D174" i="7" s="1"/>
  <c r="C65" i="7"/>
  <c r="C174" i="7" s="1"/>
  <c r="B65" i="7"/>
  <c r="B174" i="7" s="1"/>
  <c r="O64" i="7"/>
  <c r="O173" i="7" s="1"/>
  <c r="N64" i="7"/>
  <c r="N173" i="7" s="1"/>
  <c r="M64" i="7"/>
  <c r="M173" i="7" s="1"/>
  <c r="L64" i="7"/>
  <c r="L173" i="7" s="1"/>
  <c r="K64" i="7"/>
  <c r="K173" i="7" s="1"/>
  <c r="J64" i="7"/>
  <c r="J173" i="7" s="1"/>
  <c r="I64" i="7"/>
  <c r="I173" i="7" s="1"/>
  <c r="H64" i="7"/>
  <c r="H173" i="7" s="1"/>
  <c r="G64" i="7"/>
  <c r="G173" i="7" s="1"/>
  <c r="F64" i="7"/>
  <c r="F173" i="7" s="1"/>
  <c r="E64" i="7"/>
  <c r="E173" i="7" s="1"/>
  <c r="D64" i="7"/>
  <c r="D173" i="7" s="1"/>
  <c r="C64" i="7"/>
  <c r="C173" i="7" s="1"/>
  <c r="B64" i="7"/>
  <c r="B173" i="7" s="1"/>
  <c r="O63" i="7"/>
  <c r="O172" i="7" s="1"/>
  <c r="N63" i="7"/>
  <c r="N172" i="7" s="1"/>
  <c r="M63" i="7"/>
  <c r="M172" i="7" s="1"/>
  <c r="L63" i="7"/>
  <c r="L172" i="7" s="1"/>
  <c r="K63" i="7"/>
  <c r="K172" i="7" s="1"/>
  <c r="J63" i="7"/>
  <c r="J172" i="7" s="1"/>
  <c r="I63" i="7"/>
  <c r="I172" i="7" s="1"/>
  <c r="H63" i="7"/>
  <c r="H172" i="7" s="1"/>
  <c r="G63" i="7"/>
  <c r="G172" i="7" s="1"/>
  <c r="F63" i="7"/>
  <c r="F172" i="7" s="1"/>
  <c r="E63" i="7"/>
  <c r="E172" i="7" s="1"/>
  <c r="D63" i="7"/>
  <c r="D172" i="7" s="1"/>
  <c r="C63" i="7"/>
  <c r="C172" i="7" s="1"/>
  <c r="B63" i="7"/>
  <c r="B172" i="7" s="1"/>
  <c r="O62" i="7"/>
  <c r="O171" i="7" s="1"/>
  <c r="N62" i="7"/>
  <c r="N171" i="7" s="1"/>
  <c r="M62" i="7"/>
  <c r="M171" i="7" s="1"/>
  <c r="L62" i="7"/>
  <c r="L171" i="7" s="1"/>
  <c r="K62" i="7"/>
  <c r="K171" i="7" s="1"/>
  <c r="J62" i="7"/>
  <c r="J171" i="7" s="1"/>
  <c r="I62" i="7"/>
  <c r="I171" i="7" s="1"/>
  <c r="H62" i="7"/>
  <c r="H171" i="7" s="1"/>
  <c r="G62" i="7"/>
  <c r="G171" i="7" s="1"/>
  <c r="F62" i="7"/>
  <c r="F171" i="7" s="1"/>
  <c r="E62" i="7"/>
  <c r="E171" i="7" s="1"/>
  <c r="D62" i="7"/>
  <c r="D171" i="7" s="1"/>
  <c r="C62" i="7"/>
  <c r="C171" i="7" s="1"/>
  <c r="B62" i="7"/>
  <c r="B171" i="7" s="1"/>
  <c r="O61" i="7"/>
  <c r="O170" i="7" s="1"/>
  <c r="N61" i="7"/>
  <c r="N170" i="7" s="1"/>
  <c r="M61" i="7"/>
  <c r="M170" i="7" s="1"/>
  <c r="L61" i="7"/>
  <c r="L170" i="7" s="1"/>
  <c r="K61" i="7"/>
  <c r="K170" i="7" s="1"/>
  <c r="J61" i="7"/>
  <c r="J170" i="7" s="1"/>
  <c r="I61" i="7"/>
  <c r="I170" i="7" s="1"/>
  <c r="H61" i="7"/>
  <c r="H170" i="7" s="1"/>
  <c r="G61" i="7"/>
  <c r="G170" i="7" s="1"/>
  <c r="F61" i="7"/>
  <c r="F170" i="7" s="1"/>
  <c r="E61" i="7"/>
  <c r="E170" i="7" s="1"/>
  <c r="D61" i="7"/>
  <c r="D170" i="7" s="1"/>
  <c r="C61" i="7"/>
  <c r="C170" i="7" s="1"/>
  <c r="B61" i="7"/>
  <c r="B170" i="7" s="1"/>
  <c r="O60" i="7"/>
  <c r="O169" i="7" s="1"/>
  <c r="N60" i="7"/>
  <c r="N169" i="7" s="1"/>
  <c r="M60" i="7"/>
  <c r="M169" i="7" s="1"/>
  <c r="L60" i="7"/>
  <c r="L169" i="7" s="1"/>
  <c r="K60" i="7"/>
  <c r="K169" i="7" s="1"/>
  <c r="J60" i="7"/>
  <c r="J169" i="7" s="1"/>
  <c r="I60" i="7"/>
  <c r="I169" i="7" s="1"/>
  <c r="H60" i="7"/>
  <c r="H169" i="7" s="1"/>
  <c r="G60" i="7"/>
  <c r="G169" i="7" s="1"/>
  <c r="F60" i="7"/>
  <c r="F169" i="7" s="1"/>
  <c r="E60" i="7"/>
  <c r="E169" i="7" s="1"/>
  <c r="D60" i="7"/>
  <c r="D169" i="7" s="1"/>
  <c r="C60" i="7"/>
  <c r="C169" i="7" s="1"/>
  <c r="B60" i="7"/>
  <c r="B169" i="7" s="1"/>
  <c r="O59" i="7"/>
  <c r="O168" i="7" s="1"/>
  <c r="N59" i="7"/>
  <c r="N168" i="7" s="1"/>
  <c r="M59" i="7"/>
  <c r="M168" i="7" s="1"/>
  <c r="L59" i="7"/>
  <c r="L168" i="7" s="1"/>
  <c r="K59" i="7"/>
  <c r="K168" i="7" s="1"/>
  <c r="J59" i="7"/>
  <c r="J168" i="7" s="1"/>
  <c r="I59" i="7"/>
  <c r="I168" i="7" s="1"/>
  <c r="H59" i="7"/>
  <c r="H168" i="7" s="1"/>
  <c r="G59" i="7"/>
  <c r="G168" i="7" s="1"/>
  <c r="F59" i="7"/>
  <c r="F168" i="7" s="1"/>
  <c r="E59" i="7"/>
  <c r="E168" i="7" s="1"/>
  <c r="D59" i="7"/>
  <c r="D168" i="7" s="1"/>
  <c r="C59" i="7"/>
  <c r="C168" i="7" s="1"/>
  <c r="B59" i="7"/>
  <c r="B168" i="7" s="1"/>
  <c r="O58" i="7"/>
  <c r="O167" i="7" s="1"/>
  <c r="N58" i="7"/>
  <c r="N167" i="7" s="1"/>
  <c r="M58" i="7"/>
  <c r="M167" i="7" s="1"/>
  <c r="L58" i="7"/>
  <c r="L167" i="7" s="1"/>
  <c r="K58" i="7"/>
  <c r="K167" i="7" s="1"/>
  <c r="J58" i="7"/>
  <c r="J167" i="7" s="1"/>
  <c r="I58" i="7"/>
  <c r="I167" i="7" s="1"/>
  <c r="H58" i="7"/>
  <c r="H167" i="7" s="1"/>
  <c r="G58" i="7"/>
  <c r="G167" i="7" s="1"/>
  <c r="F58" i="7"/>
  <c r="F167" i="7" s="1"/>
  <c r="E58" i="7"/>
  <c r="E167" i="7" s="1"/>
  <c r="D58" i="7"/>
  <c r="D167" i="7" s="1"/>
  <c r="C58" i="7"/>
  <c r="C167" i="7" s="1"/>
  <c r="B58" i="7"/>
  <c r="B167" i="7" s="1"/>
  <c r="O57" i="7"/>
  <c r="O166" i="7" s="1"/>
  <c r="N57" i="7"/>
  <c r="N166" i="7" s="1"/>
  <c r="M57" i="7"/>
  <c r="M166" i="7" s="1"/>
  <c r="L57" i="7"/>
  <c r="L166" i="7" s="1"/>
  <c r="K57" i="7"/>
  <c r="K166" i="7" s="1"/>
  <c r="J57" i="7"/>
  <c r="J166" i="7" s="1"/>
  <c r="I57" i="7"/>
  <c r="I166" i="7" s="1"/>
  <c r="H57" i="7"/>
  <c r="H166" i="7" s="1"/>
  <c r="G57" i="7"/>
  <c r="G166" i="7" s="1"/>
  <c r="F57" i="7"/>
  <c r="F166" i="7" s="1"/>
  <c r="E57" i="7"/>
  <c r="E166" i="7" s="1"/>
  <c r="D57" i="7"/>
  <c r="D166" i="7" s="1"/>
  <c r="C57" i="7"/>
  <c r="C166" i="7" s="1"/>
  <c r="B57" i="7"/>
  <c r="B166" i="7" s="1"/>
  <c r="O56" i="7"/>
  <c r="O165" i="7" s="1"/>
  <c r="N56" i="7"/>
  <c r="N165" i="7" s="1"/>
  <c r="M56" i="7"/>
  <c r="M165" i="7" s="1"/>
  <c r="L56" i="7"/>
  <c r="L165" i="7" s="1"/>
  <c r="K56" i="7"/>
  <c r="K165" i="7" s="1"/>
  <c r="J56" i="7"/>
  <c r="J165" i="7" s="1"/>
  <c r="I56" i="7"/>
  <c r="I165" i="7" s="1"/>
  <c r="H56" i="7"/>
  <c r="H165" i="7" s="1"/>
  <c r="G56" i="7"/>
  <c r="G165" i="7" s="1"/>
  <c r="F56" i="7"/>
  <c r="F165" i="7" s="1"/>
  <c r="E56" i="7"/>
  <c r="E165" i="7" s="1"/>
  <c r="D56" i="7"/>
  <c r="D165" i="7" s="1"/>
  <c r="C56" i="7"/>
  <c r="C165" i="7" s="1"/>
  <c r="B56" i="7"/>
  <c r="B165" i="7" s="1"/>
  <c r="O55" i="7"/>
  <c r="O164" i="7" s="1"/>
  <c r="N55" i="7"/>
  <c r="N164" i="7" s="1"/>
  <c r="M55" i="7"/>
  <c r="M164" i="7" s="1"/>
  <c r="L55" i="7"/>
  <c r="L164" i="7" s="1"/>
  <c r="K55" i="7"/>
  <c r="K164" i="7" s="1"/>
  <c r="J55" i="7"/>
  <c r="J164" i="7" s="1"/>
  <c r="I55" i="7"/>
  <c r="I164" i="7" s="1"/>
  <c r="H55" i="7"/>
  <c r="H164" i="7" s="1"/>
  <c r="G55" i="7"/>
  <c r="G164" i="7" s="1"/>
  <c r="F55" i="7"/>
  <c r="F164" i="7" s="1"/>
  <c r="E55" i="7"/>
  <c r="E164" i="7" s="1"/>
  <c r="D55" i="7"/>
  <c r="D164" i="7" s="1"/>
  <c r="C55" i="7"/>
  <c r="C164" i="7" s="1"/>
  <c r="B55" i="7"/>
  <c r="B164" i="7" s="1"/>
  <c r="O54" i="7"/>
  <c r="O163" i="7" s="1"/>
  <c r="N54" i="7"/>
  <c r="N163" i="7" s="1"/>
  <c r="M54" i="7"/>
  <c r="M163" i="7" s="1"/>
  <c r="L54" i="7"/>
  <c r="L163" i="7" s="1"/>
  <c r="K54" i="7"/>
  <c r="K163" i="7" s="1"/>
  <c r="J54" i="7"/>
  <c r="J163" i="7" s="1"/>
  <c r="I54" i="7"/>
  <c r="I163" i="7" s="1"/>
  <c r="H54" i="7"/>
  <c r="H163" i="7" s="1"/>
  <c r="G54" i="7"/>
  <c r="G163" i="7" s="1"/>
  <c r="F54" i="7"/>
  <c r="F163" i="7" s="1"/>
  <c r="E54" i="7"/>
  <c r="E163" i="7" s="1"/>
  <c r="D54" i="7"/>
  <c r="D163" i="7" s="1"/>
  <c r="C54" i="7"/>
  <c r="C163" i="7" s="1"/>
  <c r="B54" i="7"/>
  <c r="B163" i="7" s="1"/>
  <c r="O53" i="7"/>
  <c r="O162" i="7" s="1"/>
  <c r="N53" i="7"/>
  <c r="N162" i="7" s="1"/>
  <c r="M53" i="7"/>
  <c r="M162" i="7" s="1"/>
  <c r="L53" i="7"/>
  <c r="L162" i="7" s="1"/>
  <c r="K53" i="7"/>
  <c r="K162" i="7" s="1"/>
  <c r="J53" i="7"/>
  <c r="J162" i="7" s="1"/>
  <c r="I53" i="7"/>
  <c r="I162" i="7" s="1"/>
  <c r="H53" i="7"/>
  <c r="H162" i="7" s="1"/>
  <c r="G53" i="7"/>
  <c r="G162" i="7" s="1"/>
  <c r="F53" i="7"/>
  <c r="F162" i="7" s="1"/>
  <c r="E53" i="7"/>
  <c r="E162" i="7" s="1"/>
  <c r="D53" i="7"/>
  <c r="D162" i="7" s="1"/>
  <c r="C53" i="7"/>
  <c r="C162" i="7" s="1"/>
  <c r="B53" i="7"/>
  <c r="B162" i="7" s="1"/>
  <c r="O52" i="7"/>
  <c r="O161" i="7" s="1"/>
  <c r="N52" i="7"/>
  <c r="N161" i="7" s="1"/>
  <c r="M52" i="7"/>
  <c r="M161" i="7" s="1"/>
  <c r="L52" i="7"/>
  <c r="L161" i="7" s="1"/>
  <c r="K52" i="7"/>
  <c r="K161" i="7" s="1"/>
  <c r="J52" i="7"/>
  <c r="J161" i="7" s="1"/>
  <c r="I52" i="7"/>
  <c r="I161" i="7" s="1"/>
  <c r="H52" i="7"/>
  <c r="H161" i="7" s="1"/>
  <c r="G52" i="7"/>
  <c r="G161" i="7" s="1"/>
  <c r="F52" i="7"/>
  <c r="F161" i="7" s="1"/>
  <c r="E52" i="7"/>
  <c r="E161" i="7" s="1"/>
  <c r="D52" i="7"/>
  <c r="D161" i="7" s="1"/>
  <c r="C52" i="7"/>
  <c r="C161" i="7" s="1"/>
  <c r="B52" i="7"/>
  <c r="B161" i="7" s="1"/>
  <c r="O51" i="7"/>
  <c r="O160" i="7" s="1"/>
  <c r="N51" i="7"/>
  <c r="N160" i="7" s="1"/>
  <c r="M51" i="7"/>
  <c r="M160" i="7" s="1"/>
  <c r="L51" i="7"/>
  <c r="L160" i="7" s="1"/>
  <c r="K51" i="7"/>
  <c r="K160" i="7" s="1"/>
  <c r="J51" i="7"/>
  <c r="J160" i="7" s="1"/>
  <c r="I51" i="7"/>
  <c r="I160" i="7" s="1"/>
  <c r="H51" i="7"/>
  <c r="H160" i="7" s="1"/>
  <c r="G51" i="7"/>
  <c r="G160" i="7" s="1"/>
  <c r="F51" i="7"/>
  <c r="F160" i="7" s="1"/>
  <c r="E51" i="7"/>
  <c r="E160" i="7" s="1"/>
  <c r="D51" i="7"/>
  <c r="D160" i="7" s="1"/>
  <c r="C51" i="7"/>
  <c r="C160" i="7" s="1"/>
  <c r="B51" i="7"/>
  <c r="B160" i="7" s="1"/>
  <c r="O50" i="7"/>
  <c r="O159" i="7" s="1"/>
  <c r="N50" i="7"/>
  <c r="N159" i="7" s="1"/>
  <c r="M50" i="7"/>
  <c r="M159" i="7" s="1"/>
  <c r="L50" i="7"/>
  <c r="L159" i="7" s="1"/>
  <c r="K50" i="7"/>
  <c r="K159" i="7" s="1"/>
  <c r="J50" i="7"/>
  <c r="J159" i="7" s="1"/>
  <c r="I50" i="7"/>
  <c r="I159" i="7" s="1"/>
  <c r="H50" i="7"/>
  <c r="H159" i="7" s="1"/>
  <c r="G50" i="7"/>
  <c r="G159" i="7" s="1"/>
  <c r="F50" i="7"/>
  <c r="F159" i="7" s="1"/>
  <c r="E50" i="7"/>
  <c r="E159" i="7" s="1"/>
  <c r="D50" i="7"/>
  <c r="D159" i="7" s="1"/>
  <c r="C50" i="7"/>
  <c r="C159" i="7" s="1"/>
  <c r="B50" i="7"/>
  <c r="B159" i="7" s="1"/>
  <c r="O49" i="7"/>
  <c r="O158" i="7" s="1"/>
  <c r="N49" i="7"/>
  <c r="N158" i="7" s="1"/>
  <c r="M49" i="7"/>
  <c r="M158" i="7" s="1"/>
  <c r="L49" i="7"/>
  <c r="L158" i="7" s="1"/>
  <c r="K49" i="7"/>
  <c r="K158" i="7" s="1"/>
  <c r="J49" i="7"/>
  <c r="J158" i="7" s="1"/>
  <c r="I49" i="7"/>
  <c r="I158" i="7" s="1"/>
  <c r="H49" i="7"/>
  <c r="H158" i="7" s="1"/>
  <c r="G49" i="7"/>
  <c r="G158" i="7" s="1"/>
  <c r="F49" i="7"/>
  <c r="F158" i="7" s="1"/>
  <c r="E49" i="7"/>
  <c r="E158" i="7" s="1"/>
  <c r="D49" i="7"/>
  <c r="D158" i="7" s="1"/>
  <c r="C49" i="7"/>
  <c r="C158" i="7" s="1"/>
  <c r="B49" i="7"/>
  <c r="B158" i="7" s="1"/>
  <c r="O48" i="7"/>
  <c r="O157" i="7" s="1"/>
  <c r="N48" i="7"/>
  <c r="N157" i="7" s="1"/>
  <c r="M48" i="7"/>
  <c r="M157" i="7" s="1"/>
  <c r="L48" i="7"/>
  <c r="L157" i="7" s="1"/>
  <c r="K48" i="7"/>
  <c r="K157" i="7" s="1"/>
  <c r="J48" i="7"/>
  <c r="J157" i="7" s="1"/>
  <c r="I48" i="7"/>
  <c r="I157" i="7" s="1"/>
  <c r="H48" i="7"/>
  <c r="H157" i="7" s="1"/>
  <c r="G48" i="7"/>
  <c r="G157" i="7" s="1"/>
  <c r="F48" i="7"/>
  <c r="F157" i="7" s="1"/>
  <c r="E48" i="7"/>
  <c r="E157" i="7" s="1"/>
  <c r="D48" i="7"/>
  <c r="D157" i="7" s="1"/>
  <c r="C48" i="7"/>
  <c r="C157" i="7" s="1"/>
  <c r="B48" i="7"/>
  <c r="B157" i="7" s="1"/>
  <c r="O47" i="7"/>
  <c r="O156" i="7" s="1"/>
  <c r="N47" i="7"/>
  <c r="N156" i="7" s="1"/>
  <c r="M47" i="7"/>
  <c r="M156" i="7" s="1"/>
  <c r="L47" i="7"/>
  <c r="L156" i="7" s="1"/>
  <c r="K47" i="7"/>
  <c r="K156" i="7" s="1"/>
  <c r="J47" i="7"/>
  <c r="J156" i="7" s="1"/>
  <c r="I47" i="7"/>
  <c r="I156" i="7" s="1"/>
  <c r="H47" i="7"/>
  <c r="H156" i="7" s="1"/>
  <c r="G47" i="7"/>
  <c r="G156" i="7" s="1"/>
  <c r="F47" i="7"/>
  <c r="F156" i="7" s="1"/>
  <c r="E47" i="7"/>
  <c r="E156" i="7" s="1"/>
  <c r="D47" i="7"/>
  <c r="D156" i="7" s="1"/>
  <c r="C47" i="7"/>
  <c r="C156" i="7" s="1"/>
  <c r="B47" i="7"/>
  <c r="B156" i="7" s="1"/>
  <c r="O46" i="7"/>
  <c r="O155" i="7" s="1"/>
  <c r="N46" i="7"/>
  <c r="N155" i="7" s="1"/>
  <c r="M46" i="7"/>
  <c r="M155" i="7" s="1"/>
  <c r="L46" i="7"/>
  <c r="L155" i="7" s="1"/>
  <c r="K46" i="7"/>
  <c r="K155" i="7" s="1"/>
  <c r="J46" i="7"/>
  <c r="J155" i="7" s="1"/>
  <c r="I46" i="7"/>
  <c r="I155" i="7" s="1"/>
  <c r="H46" i="7"/>
  <c r="H155" i="7" s="1"/>
  <c r="G46" i="7"/>
  <c r="G155" i="7" s="1"/>
  <c r="F46" i="7"/>
  <c r="F155" i="7" s="1"/>
  <c r="E46" i="7"/>
  <c r="E155" i="7" s="1"/>
  <c r="D46" i="7"/>
  <c r="D155" i="7" s="1"/>
  <c r="C46" i="7"/>
  <c r="C155" i="7" s="1"/>
  <c r="B46" i="7"/>
  <c r="B155" i="7" s="1"/>
  <c r="O45" i="7"/>
  <c r="O154" i="7" s="1"/>
  <c r="N45" i="7"/>
  <c r="N154" i="7" s="1"/>
  <c r="M45" i="7"/>
  <c r="M154" i="7" s="1"/>
  <c r="L45" i="7"/>
  <c r="L154" i="7" s="1"/>
  <c r="K45" i="7"/>
  <c r="K154" i="7" s="1"/>
  <c r="J45" i="7"/>
  <c r="J154" i="7" s="1"/>
  <c r="I45" i="7"/>
  <c r="I154" i="7" s="1"/>
  <c r="H45" i="7"/>
  <c r="H154" i="7" s="1"/>
  <c r="G45" i="7"/>
  <c r="G154" i="7" s="1"/>
  <c r="F45" i="7"/>
  <c r="F154" i="7" s="1"/>
  <c r="E45" i="7"/>
  <c r="E154" i="7" s="1"/>
  <c r="D45" i="7"/>
  <c r="D154" i="7" s="1"/>
  <c r="C45" i="7"/>
  <c r="C154" i="7" s="1"/>
  <c r="B45" i="7"/>
  <c r="B154" i="7" s="1"/>
  <c r="O44" i="7"/>
  <c r="O153" i="7" s="1"/>
  <c r="N44" i="7"/>
  <c r="N153" i="7" s="1"/>
  <c r="M44" i="7"/>
  <c r="M153" i="7" s="1"/>
  <c r="L44" i="7"/>
  <c r="L153" i="7" s="1"/>
  <c r="K44" i="7"/>
  <c r="K153" i="7" s="1"/>
  <c r="J44" i="7"/>
  <c r="J153" i="7" s="1"/>
  <c r="I44" i="7"/>
  <c r="I153" i="7" s="1"/>
  <c r="H44" i="7"/>
  <c r="H153" i="7" s="1"/>
  <c r="G44" i="7"/>
  <c r="G153" i="7" s="1"/>
  <c r="F44" i="7"/>
  <c r="F153" i="7" s="1"/>
  <c r="E44" i="7"/>
  <c r="E153" i="7" s="1"/>
  <c r="D44" i="7"/>
  <c r="D153" i="7" s="1"/>
  <c r="C44" i="7"/>
  <c r="C153" i="7" s="1"/>
  <c r="B44" i="7"/>
  <c r="B153" i="7" s="1"/>
  <c r="O43" i="7"/>
  <c r="O152" i="7" s="1"/>
  <c r="N43" i="7"/>
  <c r="N152" i="7" s="1"/>
  <c r="M43" i="7"/>
  <c r="M152" i="7" s="1"/>
  <c r="L43" i="7"/>
  <c r="L152" i="7" s="1"/>
  <c r="K43" i="7"/>
  <c r="K152" i="7" s="1"/>
  <c r="J43" i="7"/>
  <c r="J152" i="7" s="1"/>
  <c r="I43" i="7"/>
  <c r="I152" i="7" s="1"/>
  <c r="H43" i="7"/>
  <c r="H152" i="7" s="1"/>
  <c r="G43" i="7"/>
  <c r="G152" i="7" s="1"/>
  <c r="F43" i="7"/>
  <c r="F152" i="7" s="1"/>
  <c r="E43" i="7"/>
  <c r="E152" i="7" s="1"/>
  <c r="D43" i="7"/>
  <c r="D152" i="7" s="1"/>
  <c r="C43" i="7"/>
  <c r="C152" i="7" s="1"/>
  <c r="B43" i="7"/>
  <c r="B152" i="7" s="1"/>
  <c r="O42" i="7"/>
  <c r="O151" i="7" s="1"/>
  <c r="N42" i="7"/>
  <c r="N151" i="7" s="1"/>
  <c r="M42" i="7"/>
  <c r="M151" i="7" s="1"/>
  <c r="L42" i="7"/>
  <c r="L151" i="7" s="1"/>
  <c r="K42" i="7"/>
  <c r="K151" i="7" s="1"/>
  <c r="J42" i="7"/>
  <c r="J151" i="7" s="1"/>
  <c r="I42" i="7"/>
  <c r="I151" i="7" s="1"/>
  <c r="H42" i="7"/>
  <c r="H151" i="7" s="1"/>
  <c r="G42" i="7"/>
  <c r="G151" i="7" s="1"/>
  <c r="F42" i="7"/>
  <c r="F151" i="7" s="1"/>
  <c r="E42" i="7"/>
  <c r="E151" i="7" s="1"/>
  <c r="D42" i="7"/>
  <c r="D151" i="7" s="1"/>
  <c r="C42" i="7"/>
  <c r="C151" i="7" s="1"/>
  <c r="B42" i="7"/>
  <c r="B151" i="7" s="1"/>
  <c r="O41" i="7"/>
  <c r="O150" i="7" s="1"/>
  <c r="N41" i="7"/>
  <c r="N150" i="7" s="1"/>
  <c r="M41" i="7"/>
  <c r="M150" i="7" s="1"/>
  <c r="L41" i="7"/>
  <c r="L150" i="7" s="1"/>
  <c r="K41" i="7"/>
  <c r="K150" i="7" s="1"/>
  <c r="J41" i="7"/>
  <c r="J150" i="7" s="1"/>
  <c r="I41" i="7"/>
  <c r="I150" i="7" s="1"/>
  <c r="H41" i="7"/>
  <c r="H150" i="7" s="1"/>
  <c r="G41" i="7"/>
  <c r="G150" i="7" s="1"/>
  <c r="F41" i="7"/>
  <c r="F150" i="7" s="1"/>
  <c r="E41" i="7"/>
  <c r="E150" i="7" s="1"/>
  <c r="D41" i="7"/>
  <c r="D150" i="7" s="1"/>
  <c r="C41" i="7"/>
  <c r="C150" i="7" s="1"/>
  <c r="B41" i="7"/>
  <c r="B150" i="7" s="1"/>
  <c r="O40" i="7"/>
  <c r="O149" i="7" s="1"/>
  <c r="N40" i="7"/>
  <c r="N149" i="7" s="1"/>
  <c r="M40" i="7"/>
  <c r="M149" i="7" s="1"/>
  <c r="L40" i="7"/>
  <c r="L149" i="7" s="1"/>
  <c r="K40" i="7"/>
  <c r="K149" i="7" s="1"/>
  <c r="J40" i="7"/>
  <c r="J149" i="7" s="1"/>
  <c r="I40" i="7"/>
  <c r="I149" i="7" s="1"/>
  <c r="H40" i="7"/>
  <c r="H149" i="7" s="1"/>
  <c r="G40" i="7"/>
  <c r="G149" i="7" s="1"/>
  <c r="F40" i="7"/>
  <c r="F149" i="7" s="1"/>
  <c r="E40" i="7"/>
  <c r="E149" i="7" s="1"/>
  <c r="D40" i="7"/>
  <c r="D149" i="7" s="1"/>
  <c r="C40" i="7"/>
  <c r="C149" i="7" s="1"/>
  <c r="B40" i="7"/>
  <c r="B149" i="7" s="1"/>
  <c r="O39" i="7"/>
  <c r="O148" i="7" s="1"/>
  <c r="N39" i="7"/>
  <c r="N148" i="7" s="1"/>
  <c r="M39" i="7"/>
  <c r="M148" i="7" s="1"/>
  <c r="L39" i="7"/>
  <c r="L148" i="7" s="1"/>
  <c r="K39" i="7"/>
  <c r="K148" i="7" s="1"/>
  <c r="J39" i="7"/>
  <c r="J148" i="7" s="1"/>
  <c r="I39" i="7"/>
  <c r="I148" i="7" s="1"/>
  <c r="H39" i="7"/>
  <c r="H148" i="7" s="1"/>
  <c r="G39" i="7"/>
  <c r="G148" i="7" s="1"/>
  <c r="F39" i="7"/>
  <c r="F148" i="7" s="1"/>
  <c r="E39" i="7"/>
  <c r="E148" i="7" s="1"/>
  <c r="D39" i="7"/>
  <c r="D148" i="7" s="1"/>
  <c r="C39" i="7"/>
  <c r="C148" i="7" s="1"/>
  <c r="B39" i="7"/>
  <c r="B148" i="7" s="1"/>
  <c r="O38" i="7"/>
  <c r="O147" i="7" s="1"/>
  <c r="N38" i="7"/>
  <c r="N147" i="7" s="1"/>
  <c r="M38" i="7"/>
  <c r="M147" i="7" s="1"/>
  <c r="L38" i="7"/>
  <c r="L147" i="7" s="1"/>
  <c r="K38" i="7"/>
  <c r="K147" i="7" s="1"/>
  <c r="J38" i="7"/>
  <c r="J147" i="7" s="1"/>
  <c r="I38" i="7"/>
  <c r="I147" i="7" s="1"/>
  <c r="H38" i="7"/>
  <c r="H147" i="7" s="1"/>
  <c r="G38" i="7"/>
  <c r="G147" i="7" s="1"/>
  <c r="F38" i="7"/>
  <c r="F147" i="7" s="1"/>
  <c r="E38" i="7"/>
  <c r="E147" i="7" s="1"/>
  <c r="D38" i="7"/>
  <c r="D147" i="7" s="1"/>
  <c r="C38" i="7"/>
  <c r="C147" i="7" s="1"/>
  <c r="B38" i="7"/>
  <c r="B147" i="7" s="1"/>
  <c r="O37" i="7"/>
  <c r="O146" i="7" s="1"/>
  <c r="N37" i="7"/>
  <c r="N146" i="7" s="1"/>
  <c r="M37" i="7"/>
  <c r="M146" i="7" s="1"/>
  <c r="L37" i="7"/>
  <c r="L146" i="7" s="1"/>
  <c r="K37" i="7"/>
  <c r="K146" i="7" s="1"/>
  <c r="J37" i="7"/>
  <c r="J146" i="7" s="1"/>
  <c r="I37" i="7"/>
  <c r="I146" i="7" s="1"/>
  <c r="H37" i="7"/>
  <c r="H146" i="7" s="1"/>
  <c r="G37" i="7"/>
  <c r="G146" i="7" s="1"/>
  <c r="F37" i="7"/>
  <c r="F146" i="7" s="1"/>
  <c r="E37" i="7"/>
  <c r="E146" i="7" s="1"/>
  <c r="D37" i="7"/>
  <c r="D146" i="7" s="1"/>
  <c r="C37" i="7"/>
  <c r="C146" i="7" s="1"/>
  <c r="B37" i="7"/>
  <c r="B146" i="7" s="1"/>
  <c r="O36" i="7"/>
  <c r="O145" i="7" s="1"/>
  <c r="N36" i="7"/>
  <c r="N145" i="7" s="1"/>
  <c r="M36" i="7"/>
  <c r="M145" i="7" s="1"/>
  <c r="L36" i="7"/>
  <c r="L145" i="7" s="1"/>
  <c r="K36" i="7"/>
  <c r="K145" i="7" s="1"/>
  <c r="J36" i="7"/>
  <c r="J145" i="7" s="1"/>
  <c r="I36" i="7"/>
  <c r="I145" i="7" s="1"/>
  <c r="H36" i="7"/>
  <c r="H145" i="7" s="1"/>
  <c r="G36" i="7"/>
  <c r="G145" i="7" s="1"/>
  <c r="F36" i="7"/>
  <c r="F145" i="7" s="1"/>
  <c r="E36" i="7"/>
  <c r="E145" i="7" s="1"/>
  <c r="D36" i="7"/>
  <c r="D145" i="7" s="1"/>
  <c r="C36" i="7"/>
  <c r="C145" i="7" s="1"/>
  <c r="B36" i="7"/>
  <c r="B145" i="7" s="1"/>
  <c r="O35" i="7"/>
  <c r="O144" i="7" s="1"/>
  <c r="N35" i="7"/>
  <c r="N144" i="7" s="1"/>
  <c r="M35" i="7"/>
  <c r="M144" i="7" s="1"/>
  <c r="L35" i="7"/>
  <c r="L144" i="7" s="1"/>
  <c r="K35" i="7"/>
  <c r="K144" i="7" s="1"/>
  <c r="J35" i="7"/>
  <c r="J144" i="7" s="1"/>
  <c r="I35" i="7"/>
  <c r="I144" i="7" s="1"/>
  <c r="H35" i="7"/>
  <c r="H144" i="7" s="1"/>
  <c r="G35" i="7"/>
  <c r="G144" i="7" s="1"/>
  <c r="F35" i="7"/>
  <c r="F144" i="7" s="1"/>
  <c r="E35" i="7"/>
  <c r="E144" i="7" s="1"/>
  <c r="D35" i="7"/>
  <c r="D144" i="7" s="1"/>
  <c r="C35" i="7"/>
  <c r="C144" i="7" s="1"/>
  <c r="B35" i="7"/>
  <c r="B144" i="7" s="1"/>
  <c r="O34" i="7"/>
  <c r="O143" i="7" s="1"/>
  <c r="N34" i="7"/>
  <c r="N143" i="7" s="1"/>
  <c r="M34" i="7"/>
  <c r="M143" i="7" s="1"/>
  <c r="L34" i="7"/>
  <c r="L143" i="7" s="1"/>
  <c r="K34" i="7"/>
  <c r="K143" i="7" s="1"/>
  <c r="J34" i="7"/>
  <c r="J143" i="7" s="1"/>
  <c r="I34" i="7"/>
  <c r="I143" i="7" s="1"/>
  <c r="H34" i="7"/>
  <c r="H143" i="7" s="1"/>
  <c r="G34" i="7"/>
  <c r="G143" i="7" s="1"/>
  <c r="F34" i="7"/>
  <c r="F143" i="7" s="1"/>
  <c r="E34" i="7"/>
  <c r="E143" i="7" s="1"/>
  <c r="D34" i="7"/>
  <c r="D143" i="7" s="1"/>
  <c r="C34" i="7"/>
  <c r="C143" i="7" s="1"/>
  <c r="B34" i="7"/>
  <c r="B143" i="7" s="1"/>
  <c r="O33" i="7"/>
  <c r="O142" i="7" s="1"/>
  <c r="N33" i="7"/>
  <c r="N142" i="7" s="1"/>
  <c r="M33" i="7"/>
  <c r="M142" i="7" s="1"/>
  <c r="L33" i="7"/>
  <c r="L142" i="7" s="1"/>
  <c r="K33" i="7"/>
  <c r="K142" i="7" s="1"/>
  <c r="J33" i="7"/>
  <c r="J142" i="7" s="1"/>
  <c r="I33" i="7"/>
  <c r="I142" i="7" s="1"/>
  <c r="H33" i="7"/>
  <c r="H142" i="7" s="1"/>
  <c r="G33" i="7"/>
  <c r="G142" i="7" s="1"/>
  <c r="F33" i="7"/>
  <c r="F142" i="7" s="1"/>
  <c r="E33" i="7"/>
  <c r="E142" i="7" s="1"/>
  <c r="D33" i="7"/>
  <c r="D142" i="7" s="1"/>
  <c r="C33" i="7"/>
  <c r="C142" i="7" s="1"/>
  <c r="B33" i="7"/>
  <c r="B142" i="7" s="1"/>
  <c r="O32" i="7"/>
  <c r="O141" i="7" s="1"/>
  <c r="N32" i="7"/>
  <c r="N141" i="7" s="1"/>
  <c r="M32" i="7"/>
  <c r="M141" i="7" s="1"/>
  <c r="L32" i="7"/>
  <c r="L141" i="7" s="1"/>
  <c r="K32" i="7"/>
  <c r="K141" i="7" s="1"/>
  <c r="J32" i="7"/>
  <c r="J141" i="7" s="1"/>
  <c r="I32" i="7"/>
  <c r="I141" i="7" s="1"/>
  <c r="H32" i="7"/>
  <c r="H141" i="7" s="1"/>
  <c r="G32" i="7"/>
  <c r="G141" i="7" s="1"/>
  <c r="F32" i="7"/>
  <c r="F141" i="7" s="1"/>
  <c r="E32" i="7"/>
  <c r="E141" i="7" s="1"/>
  <c r="D32" i="7"/>
  <c r="D141" i="7" s="1"/>
  <c r="C32" i="7"/>
  <c r="C141" i="7" s="1"/>
  <c r="B32" i="7"/>
  <c r="B141" i="7" s="1"/>
  <c r="O31" i="7"/>
  <c r="O140" i="7" s="1"/>
  <c r="N31" i="7"/>
  <c r="N140" i="7" s="1"/>
  <c r="M31" i="7"/>
  <c r="M140" i="7" s="1"/>
  <c r="L31" i="7"/>
  <c r="L140" i="7" s="1"/>
  <c r="K31" i="7"/>
  <c r="K140" i="7" s="1"/>
  <c r="J31" i="7"/>
  <c r="J140" i="7" s="1"/>
  <c r="I31" i="7"/>
  <c r="I140" i="7" s="1"/>
  <c r="H31" i="7"/>
  <c r="H140" i="7" s="1"/>
  <c r="G31" i="7"/>
  <c r="G140" i="7" s="1"/>
  <c r="F31" i="7"/>
  <c r="F140" i="7" s="1"/>
  <c r="E31" i="7"/>
  <c r="E140" i="7" s="1"/>
  <c r="D31" i="7"/>
  <c r="D140" i="7" s="1"/>
  <c r="C31" i="7"/>
  <c r="C140" i="7" s="1"/>
  <c r="B31" i="7"/>
  <c r="B140" i="7" s="1"/>
  <c r="O30" i="7"/>
  <c r="O139" i="7" s="1"/>
  <c r="N30" i="7"/>
  <c r="N139" i="7" s="1"/>
  <c r="M30" i="7"/>
  <c r="M139" i="7" s="1"/>
  <c r="L30" i="7"/>
  <c r="L139" i="7" s="1"/>
  <c r="K30" i="7"/>
  <c r="K139" i="7" s="1"/>
  <c r="J30" i="7"/>
  <c r="J139" i="7" s="1"/>
  <c r="I30" i="7"/>
  <c r="I139" i="7" s="1"/>
  <c r="H30" i="7"/>
  <c r="H139" i="7" s="1"/>
  <c r="G30" i="7"/>
  <c r="G139" i="7" s="1"/>
  <c r="F30" i="7"/>
  <c r="F139" i="7" s="1"/>
  <c r="E30" i="7"/>
  <c r="E139" i="7" s="1"/>
  <c r="D30" i="7"/>
  <c r="D139" i="7" s="1"/>
  <c r="C30" i="7"/>
  <c r="C139" i="7" s="1"/>
  <c r="B30" i="7"/>
  <c r="B139" i="7" s="1"/>
  <c r="O29" i="7"/>
  <c r="O138" i="7" s="1"/>
  <c r="N29" i="7"/>
  <c r="N138" i="7" s="1"/>
  <c r="M29" i="7"/>
  <c r="M138" i="7" s="1"/>
  <c r="L29" i="7"/>
  <c r="L138" i="7" s="1"/>
  <c r="K29" i="7"/>
  <c r="K138" i="7" s="1"/>
  <c r="J29" i="7"/>
  <c r="J138" i="7" s="1"/>
  <c r="I29" i="7"/>
  <c r="I138" i="7" s="1"/>
  <c r="H29" i="7"/>
  <c r="H138" i="7" s="1"/>
  <c r="G29" i="7"/>
  <c r="G138" i="7" s="1"/>
  <c r="F29" i="7"/>
  <c r="F138" i="7" s="1"/>
  <c r="E29" i="7"/>
  <c r="E138" i="7" s="1"/>
  <c r="D29" i="7"/>
  <c r="D138" i="7" s="1"/>
  <c r="C29" i="7"/>
  <c r="C138" i="7" s="1"/>
  <c r="B29" i="7"/>
  <c r="B138" i="7" s="1"/>
  <c r="O28" i="7"/>
  <c r="O137" i="7" s="1"/>
  <c r="N28" i="7"/>
  <c r="N137" i="7" s="1"/>
  <c r="M28" i="7"/>
  <c r="M137" i="7" s="1"/>
  <c r="L28" i="7"/>
  <c r="L137" i="7" s="1"/>
  <c r="K28" i="7"/>
  <c r="K137" i="7" s="1"/>
  <c r="J28" i="7"/>
  <c r="J137" i="7" s="1"/>
  <c r="I28" i="7"/>
  <c r="I137" i="7" s="1"/>
  <c r="H28" i="7"/>
  <c r="H137" i="7" s="1"/>
  <c r="G28" i="7"/>
  <c r="G137" i="7" s="1"/>
  <c r="F28" i="7"/>
  <c r="F137" i="7" s="1"/>
  <c r="E28" i="7"/>
  <c r="E137" i="7" s="1"/>
  <c r="D28" i="7"/>
  <c r="D137" i="7" s="1"/>
  <c r="C28" i="7"/>
  <c r="C137" i="7" s="1"/>
  <c r="B28" i="7"/>
  <c r="B137" i="7" s="1"/>
  <c r="O27" i="7"/>
  <c r="O136" i="7" s="1"/>
  <c r="N27" i="7"/>
  <c r="N136" i="7" s="1"/>
  <c r="M27" i="7"/>
  <c r="M136" i="7" s="1"/>
  <c r="L27" i="7"/>
  <c r="L136" i="7" s="1"/>
  <c r="K27" i="7"/>
  <c r="K136" i="7" s="1"/>
  <c r="J27" i="7"/>
  <c r="J136" i="7" s="1"/>
  <c r="I27" i="7"/>
  <c r="I136" i="7" s="1"/>
  <c r="H27" i="7"/>
  <c r="H136" i="7" s="1"/>
  <c r="G27" i="7"/>
  <c r="G136" i="7" s="1"/>
  <c r="F27" i="7"/>
  <c r="F136" i="7" s="1"/>
  <c r="E27" i="7"/>
  <c r="E136" i="7" s="1"/>
  <c r="D27" i="7"/>
  <c r="D136" i="7" s="1"/>
  <c r="C27" i="7"/>
  <c r="C136" i="7" s="1"/>
  <c r="B27" i="7"/>
  <c r="B136" i="7" s="1"/>
  <c r="O26" i="7"/>
  <c r="O135" i="7" s="1"/>
  <c r="N26" i="7"/>
  <c r="N135" i="7" s="1"/>
  <c r="M26" i="7"/>
  <c r="M135" i="7" s="1"/>
  <c r="L26" i="7"/>
  <c r="L135" i="7" s="1"/>
  <c r="K26" i="7"/>
  <c r="K135" i="7" s="1"/>
  <c r="J26" i="7"/>
  <c r="J135" i="7" s="1"/>
  <c r="I26" i="7"/>
  <c r="I135" i="7" s="1"/>
  <c r="H26" i="7"/>
  <c r="H135" i="7" s="1"/>
  <c r="G26" i="7"/>
  <c r="G135" i="7" s="1"/>
  <c r="F26" i="7"/>
  <c r="F135" i="7" s="1"/>
  <c r="E26" i="7"/>
  <c r="E135" i="7" s="1"/>
  <c r="D26" i="7"/>
  <c r="D135" i="7" s="1"/>
  <c r="C26" i="7"/>
  <c r="C135" i="7" s="1"/>
  <c r="B26" i="7"/>
  <c r="B135" i="7" s="1"/>
  <c r="O25" i="7"/>
  <c r="O134" i="7" s="1"/>
  <c r="N25" i="7"/>
  <c r="N134" i="7" s="1"/>
  <c r="M25" i="7"/>
  <c r="M134" i="7" s="1"/>
  <c r="L25" i="7"/>
  <c r="L134" i="7" s="1"/>
  <c r="K25" i="7"/>
  <c r="K134" i="7" s="1"/>
  <c r="J25" i="7"/>
  <c r="J134" i="7" s="1"/>
  <c r="I25" i="7"/>
  <c r="I134" i="7" s="1"/>
  <c r="H25" i="7"/>
  <c r="H134" i="7" s="1"/>
  <c r="G25" i="7"/>
  <c r="G134" i="7" s="1"/>
  <c r="F25" i="7"/>
  <c r="F134" i="7" s="1"/>
  <c r="E25" i="7"/>
  <c r="E134" i="7" s="1"/>
  <c r="D25" i="7"/>
  <c r="D134" i="7" s="1"/>
  <c r="C25" i="7"/>
  <c r="C134" i="7" s="1"/>
  <c r="B25" i="7"/>
  <c r="B134" i="7" s="1"/>
  <c r="O24" i="7"/>
  <c r="O133" i="7" s="1"/>
  <c r="N24" i="7"/>
  <c r="N133" i="7" s="1"/>
  <c r="M24" i="7"/>
  <c r="M133" i="7" s="1"/>
  <c r="L24" i="7"/>
  <c r="L133" i="7" s="1"/>
  <c r="K24" i="7"/>
  <c r="K133" i="7" s="1"/>
  <c r="J24" i="7"/>
  <c r="J133" i="7" s="1"/>
  <c r="I24" i="7"/>
  <c r="I133" i="7" s="1"/>
  <c r="H24" i="7"/>
  <c r="H133" i="7" s="1"/>
  <c r="G24" i="7"/>
  <c r="G133" i="7" s="1"/>
  <c r="F24" i="7"/>
  <c r="F133" i="7" s="1"/>
  <c r="E24" i="7"/>
  <c r="E133" i="7" s="1"/>
  <c r="D24" i="7"/>
  <c r="D133" i="7" s="1"/>
  <c r="C24" i="7"/>
  <c r="C133" i="7" s="1"/>
  <c r="B24" i="7"/>
  <c r="B133" i="7" s="1"/>
  <c r="O23" i="7"/>
  <c r="O132" i="7" s="1"/>
  <c r="N23" i="7"/>
  <c r="N132" i="7" s="1"/>
  <c r="M23" i="7"/>
  <c r="M132" i="7" s="1"/>
  <c r="L23" i="7"/>
  <c r="L132" i="7" s="1"/>
  <c r="K23" i="7"/>
  <c r="K132" i="7" s="1"/>
  <c r="J23" i="7"/>
  <c r="J132" i="7" s="1"/>
  <c r="I23" i="7"/>
  <c r="I132" i="7" s="1"/>
  <c r="H23" i="7"/>
  <c r="H132" i="7" s="1"/>
  <c r="G23" i="7"/>
  <c r="G132" i="7" s="1"/>
  <c r="F23" i="7"/>
  <c r="F132" i="7" s="1"/>
  <c r="E23" i="7"/>
  <c r="E132" i="7" s="1"/>
  <c r="D23" i="7"/>
  <c r="D132" i="7" s="1"/>
  <c r="C23" i="7"/>
  <c r="C132" i="7" s="1"/>
  <c r="B23" i="7"/>
  <c r="B132" i="7" s="1"/>
  <c r="O22" i="7"/>
  <c r="O131" i="7" s="1"/>
  <c r="N22" i="7"/>
  <c r="N131" i="7" s="1"/>
  <c r="M22" i="7"/>
  <c r="M131" i="7" s="1"/>
  <c r="L22" i="7"/>
  <c r="L131" i="7" s="1"/>
  <c r="K22" i="7"/>
  <c r="K131" i="7" s="1"/>
  <c r="J22" i="7"/>
  <c r="J131" i="7" s="1"/>
  <c r="I22" i="7"/>
  <c r="I131" i="7" s="1"/>
  <c r="H22" i="7"/>
  <c r="H131" i="7" s="1"/>
  <c r="G22" i="7"/>
  <c r="G131" i="7" s="1"/>
  <c r="F22" i="7"/>
  <c r="F131" i="7" s="1"/>
  <c r="E22" i="7"/>
  <c r="E131" i="7" s="1"/>
  <c r="D22" i="7"/>
  <c r="D131" i="7" s="1"/>
  <c r="C22" i="7"/>
  <c r="C131" i="7" s="1"/>
  <c r="B22" i="7"/>
  <c r="B131" i="7" s="1"/>
  <c r="O21" i="7"/>
  <c r="O130" i="7" s="1"/>
  <c r="N21" i="7"/>
  <c r="N130" i="7" s="1"/>
  <c r="M21" i="7"/>
  <c r="M130" i="7" s="1"/>
  <c r="L21" i="7"/>
  <c r="L130" i="7" s="1"/>
  <c r="K21" i="7"/>
  <c r="K130" i="7" s="1"/>
  <c r="J21" i="7"/>
  <c r="J130" i="7" s="1"/>
  <c r="I21" i="7"/>
  <c r="I130" i="7" s="1"/>
  <c r="H21" i="7"/>
  <c r="H130" i="7" s="1"/>
  <c r="G21" i="7"/>
  <c r="G130" i="7" s="1"/>
  <c r="F21" i="7"/>
  <c r="F130" i="7" s="1"/>
  <c r="E21" i="7"/>
  <c r="E130" i="7" s="1"/>
  <c r="D21" i="7"/>
  <c r="D130" i="7" s="1"/>
  <c r="C21" i="7"/>
  <c r="C130" i="7" s="1"/>
  <c r="B21" i="7"/>
  <c r="B130" i="7" s="1"/>
  <c r="O20" i="7"/>
  <c r="O129" i="7" s="1"/>
  <c r="N20" i="7"/>
  <c r="N129" i="7" s="1"/>
  <c r="M20" i="7"/>
  <c r="M129" i="7" s="1"/>
  <c r="L20" i="7"/>
  <c r="L129" i="7" s="1"/>
  <c r="K20" i="7"/>
  <c r="K129" i="7" s="1"/>
  <c r="J20" i="7"/>
  <c r="J129" i="7" s="1"/>
  <c r="I20" i="7"/>
  <c r="I129" i="7" s="1"/>
  <c r="H20" i="7"/>
  <c r="H129" i="7" s="1"/>
  <c r="G20" i="7"/>
  <c r="G129" i="7" s="1"/>
  <c r="F20" i="7"/>
  <c r="F129" i="7" s="1"/>
  <c r="E20" i="7"/>
  <c r="E129" i="7" s="1"/>
  <c r="D20" i="7"/>
  <c r="D129" i="7" s="1"/>
  <c r="C20" i="7"/>
  <c r="C129" i="7" s="1"/>
  <c r="B20" i="7"/>
  <c r="B129" i="7" s="1"/>
  <c r="O19" i="7"/>
  <c r="O128" i="7" s="1"/>
  <c r="N19" i="7"/>
  <c r="N128" i="7" s="1"/>
  <c r="M19" i="7"/>
  <c r="M128" i="7" s="1"/>
  <c r="L19" i="7"/>
  <c r="L128" i="7" s="1"/>
  <c r="K19" i="7"/>
  <c r="K128" i="7" s="1"/>
  <c r="J19" i="7"/>
  <c r="J128" i="7" s="1"/>
  <c r="I19" i="7"/>
  <c r="I128" i="7" s="1"/>
  <c r="H19" i="7"/>
  <c r="H128" i="7" s="1"/>
  <c r="G19" i="7"/>
  <c r="G128" i="7" s="1"/>
  <c r="F19" i="7"/>
  <c r="F128" i="7" s="1"/>
  <c r="E19" i="7"/>
  <c r="E128" i="7" s="1"/>
  <c r="D19" i="7"/>
  <c r="D128" i="7" s="1"/>
  <c r="C19" i="7"/>
  <c r="C128" i="7" s="1"/>
  <c r="B19" i="7"/>
  <c r="B128" i="7" s="1"/>
  <c r="O18" i="7"/>
  <c r="O127" i="7" s="1"/>
  <c r="N18" i="7"/>
  <c r="N127" i="7" s="1"/>
  <c r="M18" i="7"/>
  <c r="M127" i="7" s="1"/>
  <c r="L18" i="7"/>
  <c r="L127" i="7" s="1"/>
  <c r="K18" i="7"/>
  <c r="K127" i="7" s="1"/>
  <c r="J18" i="7"/>
  <c r="J127" i="7" s="1"/>
  <c r="I18" i="7"/>
  <c r="I127" i="7" s="1"/>
  <c r="H18" i="7"/>
  <c r="H127" i="7" s="1"/>
  <c r="G18" i="7"/>
  <c r="G127" i="7" s="1"/>
  <c r="F18" i="7"/>
  <c r="F127" i="7" s="1"/>
  <c r="E18" i="7"/>
  <c r="E127" i="7" s="1"/>
  <c r="D18" i="7"/>
  <c r="D127" i="7" s="1"/>
  <c r="C18" i="7"/>
  <c r="C127" i="7" s="1"/>
  <c r="B18" i="7"/>
  <c r="B127" i="7" s="1"/>
  <c r="O17" i="7"/>
  <c r="O126" i="7" s="1"/>
  <c r="N17" i="7"/>
  <c r="N126" i="7" s="1"/>
  <c r="M17" i="7"/>
  <c r="M126" i="7" s="1"/>
  <c r="L17" i="7"/>
  <c r="L126" i="7" s="1"/>
  <c r="K17" i="7"/>
  <c r="K126" i="7" s="1"/>
  <c r="J17" i="7"/>
  <c r="J126" i="7" s="1"/>
  <c r="I17" i="7"/>
  <c r="I126" i="7" s="1"/>
  <c r="H17" i="7"/>
  <c r="H126" i="7" s="1"/>
  <c r="G17" i="7"/>
  <c r="G126" i="7" s="1"/>
  <c r="F17" i="7"/>
  <c r="F126" i="7" s="1"/>
  <c r="E17" i="7"/>
  <c r="E126" i="7" s="1"/>
  <c r="D17" i="7"/>
  <c r="D126" i="7" s="1"/>
  <c r="C17" i="7"/>
  <c r="C126" i="7" s="1"/>
  <c r="B17" i="7"/>
  <c r="B126" i="7" s="1"/>
  <c r="O16" i="7"/>
  <c r="O125" i="7" s="1"/>
  <c r="N16" i="7"/>
  <c r="N125" i="7" s="1"/>
  <c r="M16" i="7"/>
  <c r="M125" i="7" s="1"/>
  <c r="L16" i="7"/>
  <c r="L125" i="7" s="1"/>
  <c r="K16" i="7"/>
  <c r="K125" i="7" s="1"/>
  <c r="J16" i="7"/>
  <c r="J125" i="7" s="1"/>
  <c r="I16" i="7"/>
  <c r="I125" i="7" s="1"/>
  <c r="H16" i="7"/>
  <c r="H125" i="7" s="1"/>
  <c r="G16" i="7"/>
  <c r="G125" i="7" s="1"/>
  <c r="F16" i="7"/>
  <c r="F125" i="7" s="1"/>
  <c r="E16" i="7"/>
  <c r="E125" i="7" s="1"/>
  <c r="D16" i="7"/>
  <c r="D125" i="7" s="1"/>
  <c r="C16" i="7"/>
  <c r="C125" i="7" s="1"/>
  <c r="B16" i="7"/>
  <c r="B125" i="7" s="1"/>
  <c r="O15" i="7"/>
  <c r="O124" i="7" s="1"/>
  <c r="N15" i="7"/>
  <c r="N124" i="7" s="1"/>
  <c r="M15" i="7"/>
  <c r="M124" i="7" s="1"/>
  <c r="L15" i="7"/>
  <c r="L124" i="7" s="1"/>
  <c r="K15" i="7"/>
  <c r="K124" i="7" s="1"/>
  <c r="J15" i="7"/>
  <c r="J124" i="7" s="1"/>
  <c r="I15" i="7"/>
  <c r="I124" i="7" s="1"/>
  <c r="H15" i="7"/>
  <c r="H124" i="7" s="1"/>
  <c r="G15" i="7"/>
  <c r="G124" i="7" s="1"/>
  <c r="F15" i="7"/>
  <c r="F124" i="7" s="1"/>
  <c r="E15" i="7"/>
  <c r="E124" i="7" s="1"/>
  <c r="D15" i="7"/>
  <c r="D124" i="7" s="1"/>
  <c r="C15" i="7"/>
  <c r="C124" i="7" s="1"/>
  <c r="B15" i="7"/>
  <c r="B124" i="7" s="1"/>
  <c r="O14" i="7"/>
  <c r="O123" i="7" s="1"/>
  <c r="N14" i="7"/>
  <c r="N123" i="7" s="1"/>
  <c r="M14" i="7"/>
  <c r="M123" i="7" s="1"/>
  <c r="L14" i="7"/>
  <c r="L123" i="7" s="1"/>
  <c r="K14" i="7"/>
  <c r="K123" i="7" s="1"/>
  <c r="J14" i="7"/>
  <c r="J123" i="7" s="1"/>
  <c r="I14" i="7"/>
  <c r="I123" i="7" s="1"/>
  <c r="H14" i="7"/>
  <c r="H123" i="7" s="1"/>
  <c r="G14" i="7"/>
  <c r="G123" i="7" s="1"/>
  <c r="F14" i="7"/>
  <c r="F123" i="7" s="1"/>
  <c r="E14" i="7"/>
  <c r="E123" i="7" s="1"/>
  <c r="D14" i="7"/>
  <c r="D123" i="7" s="1"/>
  <c r="C14" i="7"/>
  <c r="C123" i="7" s="1"/>
  <c r="B14" i="7"/>
  <c r="B123" i="7" s="1"/>
  <c r="O13" i="7"/>
  <c r="O122" i="7" s="1"/>
  <c r="N13" i="7"/>
  <c r="N122" i="7" s="1"/>
  <c r="M13" i="7"/>
  <c r="M122" i="7" s="1"/>
  <c r="L13" i="7"/>
  <c r="L122" i="7" s="1"/>
  <c r="K13" i="7"/>
  <c r="K122" i="7" s="1"/>
  <c r="J13" i="7"/>
  <c r="J122" i="7" s="1"/>
  <c r="I13" i="7"/>
  <c r="I122" i="7" s="1"/>
  <c r="H13" i="7"/>
  <c r="H122" i="7" s="1"/>
  <c r="G13" i="7"/>
  <c r="G122" i="7" s="1"/>
  <c r="F13" i="7"/>
  <c r="F122" i="7" s="1"/>
  <c r="E13" i="7"/>
  <c r="E122" i="7" s="1"/>
  <c r="D13" i="7"/>
  <c r="D122" i="7" s="1"/>
  <c r="C13" i="7"/>
  <c r="C122" i="7" s="1"/>
  <c r="B13" i="7"/>
  <c r="B122" i="7" s="1"/>
  <c r="O12" i="7"/>
  <c r="O121" i="7" s="1"/>
  <c r="N12" i="7"/>
  <c r="N121" i="7" s="1"/>
  <c r="M12" i="7"/>
  <c r="M121" i="7" s="1"/>
  <c r="L12" i="7"/>
  <c r="L121" i="7" s="1"/>
  <c r="K12" i="7"/>
  <c r="K121" i="7" s="1"/>
  <c r="J12" i="7"/>
  <c r="J121" i="7" s="1"/>
  <c r="I12" i="7"/>
  <c r="I121" i="7" s="1"/>
  <c r="H12" i="7"/>
  <c r="H121" i="7" s="1"/>
  <c r="G12" i="7"/>
  <c r="G121" i="7" s="1"/>
  <c r="F12" i="7"/>
  <c r="F121" i="7" s="1"/>
  <c r="E12" i="7"/>
  <c r="E121" i="7" s="1"/>
  <c r="D12" i="7"/>
  <c r="D121" i="7" s="1"/>
  <c r="C12" i="7"/>
  <c r="C121" i="7" s="1"/>
  <c r="B12" i="7"/>
  <c r="B121" i="7" s="1"/>
  <c r="O11" i="7"/>
  <c r="O120" i="7" s="1"/>
  <c r="N11" i="7"/>
  <c r="N120" i="7" s="1"/>
  <c r="M11" i="7"/>
  <c r="M120" i="7" s="1"/>
  <c r="L11" i="7"/>
  <c r="L120" i="7" s="1"/>
  <c r="K11" i="7"/>
  <c r="K120" i="7" s="1"/>
  <c r="J11" i="7"/>
  <c r="J120" i="7" s="1"/>
  <c r="I11" i="7"/>
  <c r="I120" i="7" s="1"/>
  <c r="H11" i="7"/>
  <c r="H120" i="7" s="1"/>
  <c r="G11" i="7"/>
  <c r="G120" i="7" s="1"/>
  <c r="F11" i="7"/>
  <c r="F120" i="7" s="1"/>
  <c r="E11" i="7"/>
  <c r="E120" i="7" s="1"/>
  <c r="D11" i="7"/>
  <c r="D120" i="7" s="1"/>
  <c r="C11" i="7"/>
  <c r="C120" i="7" s="1"/>
  <c r="B11" i="7"/>
  <c r="B120" i="7" s="1"/>
  <c r="O10" i="7"/>
  <c r="O119" i="7" s="1"/>
  <c r="N10" i="7"/>
  <c r="N119" i="7" s="1"/>
  <c r="M10" i="7"/>
  <c r="M119" i="7" s="1"/>
  <c r="L10" i="7"/>
  <c r="L119" i="7" s="1"/>
  <c r="K10" i="7"/>
  <c r="K119" i="7" s="1"/>
  <c r="J10" i="7"/>
  <c r="J119" i="7" s="1"/>
  <c r="I10" i="7"/>
  <c r="I119" i="7" s="1"/>
  <c r="H10" i="7"/>
  <c r="H119" i="7" s="1"/>
  <c r="G10" i="7"/>
  <c r="G119" i="7" s="1"/>
  <c r="F10" i="7"/>
  <c r="F119" i="7" s="1"/>
  <c r="E10" i="7"/>
  <c r="E119" i="7" s="1"/>
  <c r="D10" i="7"/>
  <c r="D119" i="7" s="1"/>
  <c r="C10" i="7"/>
  <c r="C119" i="7" s="1"/>
  <c r="B10" i="7"/>
  <c r="B119" i="7" s="1"/>
  <c r="O9" i="7"/>
  <c r="O118" i="7" s="1"/>
  <c r="N9" i="7"/>
  <c r="N118" i="7" s="1"/>
  <c r="M9" i="7"/>
  <c r="M118" i="7" s="1"/>
  <c r="L9" i="7"/>
  <c r="L118" i="7" s="1"/>
  <c r="K9" i="7"/>
  <c r="K118" i="7" s="1"/>
  <c r="J9" i="7"/>
  <c r="J118" i="7" s="1"/>
  <c r="I9" i="7"/>
  <c r="I118" i="7" s="1"/>
  <c r="H9" i="7"/>
  <c r="H118" i="7" s="1"/>
  <c r="G9" i="7"/>
  <c r="G118" i="7" s="1"/>
  <c r="F9" i="7"/>
  <c r="F118" i="7" s="1"/>
  <c r="E9" i="7"/>
  <c r="E118" i="7" s="1"/>
  <c r="D9" i="7"/>
  <c r="D118" i="7" s="1"/>
  <c r="C9" i="7"/>
  <c r="C118" i="7" s="1"/>
  <c r="B9" i="7"/>
  <c r="B118" i="7" s="1"/>
  <c r="O8" i="7"/>
  <c r="O117" i="7" s="1"/>
  <c r="N8" i="7"/>
  <c r="N117" i="7" s="1"/>
  <c r="M8" i="7"/>
  <c r="M117" i="7" s="1"/>
  <c r="L8" i="7"/>
  <c r="L117" i="7" s="1"/>
  <c r="K8" i="7"/>
  <c r="K117" i="7" s="1"/>
  <c r="J8" i="7"/>
  <c r="J117" i="7" s="1"/>
  <c r="I8" i="7"/>
  <c r="I117" i="7" s="1"/>
  <c r="H8" i="7"/>
  <c r="H117" i="7" s="1"/>
  <c r="G8" i="7"/>
  <c r="G117" i="7" s="1"/>
  <c r="F8" i="7"/>
  <c r="F117" i="7" s="1"/>
  <c r="E8" i="7"/>
  <c r="E117" i="7" s="1"/>
  <c r="D8" i="7"/>
  <c r="D117" i="7" s="1"/>
  <c r="C8" i="7"/>
  <c r="C117" i="7" s="1"/>
  <c r="B8" i="7"/>
  <c r="B117" i="7" s="1"/>
  <c r="O7" i="7"/>
  <c r="O116" i="7" s="1"/>
  <c r="N7" i="7"/>
  <c r="N116" i="7" s="1"/>
  <c r="M7" i="7"/>
  <c r="M116" i="7" s="1"/>
  <c r="L7" i="7"/>
  <c r="L116" i="7" s="1"/>
  <c r="K7" i="7"/>
  <c r="K116" i="7" s="1"/>
  <c r="J7" i="7"/>
  <c r="J116" i="7" s="1"/>
  <c r="I7" i="7"/>
  <c r="I116" i="7" s="1"/>
  <c r="H7" i="7"/>
  <c r="H116" i="7" s="1"/>
  <c r="G7" i="7"/>
  <c r="G116" i="7" s="1"/>
  <c r="F7" i="7"/>
  <c r="F116" i="7" s="1"/>
  <c r="E7" i="7"/>
  <c r="E116" i="7" s="1"/>
  <c r="D7" i="7"/>
  <c r="D116" i="7" s="1"/>
  <c r="C7" i="7"/>
  <c r="C116" i="7" s="1"/>
  <c r="B7" i="7"/>
  <c r="B116" i="7" s="1"/>
  <c r="O6" i="7"/>
  <c r="O115" i="7" s="1"/>
  <c r="N6" i="7"/>
  <c r="N115" i="7" s="1"/>
  <c r="M6" i="7"/>
  <c r="M115" i="7" s="1"/>
  <c r="L6" i="7"/>
  <c r="L115" i="7" s="1"/>
  <c r="K6" i="7"/>
  <c r="K115" i="7" s="1"/>
  <c r="J6" i="7"/>
  <c r="J115" i="7" s="1"/>
  <c r="I6" i="7"/>
  <c r="I115" i="7" s="1"/>
  <c r="H6" i="7"/>
  <c r="H115" i="7" s="1"/>
  <c r="G6" i="7"/>
  <c r="G115" i="7" s="1"/>
  <c r="F6" i="7"/>
  <c r="F115" i="7" s="1"/>
  <c r="E6" i="7"/>
  <c r="E115" i="7" s="1"/>
  <c r="D6" i="7"/>
  <c r="D115" i="7" s="1"/>
  <c r="C6" i="7"/>
  <c r="C115" i="7" s="1"/>
  <c r="B6" i="7"/>
  <c r="B115" i="7" s="1"/>
  <c r="O5" i="7"/>
  <c r="O114" i="7" s="1"/>
  <c r="N5" i="7"/>
  <c r="N114" i="7" s="1"/>
  <c r="M5" i="7"/>
  <c r="M114" i="7" s="1"/>
  <c r="L5" i="7"/>
  <c r="L114" i="7" s="1"/>
  <c r="K5" i="7"/>
  <c r="K114" i="7" s="1"/>
  <c r="J5" i="7"/>
  <c r="J114" i="7" s="1"/>
  <c r="I5" i="7"/>
  <c r="I114" i="7" s="1"/>
  <c r="H5" i="7"/>
  <c r="H114" i="7" s="1"/>
  <c r="G5" i="7"/>
  <c r="G114" i="7" s="1"/>
  <c r="F5" i="7"/>
  <c r="F114" i="7" s="1"/>
  <c r="E5" i="7"/>
  <c r="E114" i="7" s="1"/>
  <c r="D5" i="7"/>
  <c r="D114" i="7" s="1"/>
  <c r="C5" i="7"/>
  <c r="C114" i="7" s="1"/>
  <c r="B5" i="7"/>
  <c r="B114" i="7" s="1"/>
  <c r="O4" i="7"/>
  <c r="O113" i="7" s="1"/>
  <c r="N4" i="7"/>
  <c r="N113" i="7" s="1"/>
  <c r="M4" i="7"/>
  <c r="M113" i="7" s="1"/>
  <c r="L4" i="7"/>
  <c r="L113" i="7" s="1"/>
  <c r="K4" i="7"/>
  <c r="K113" i="7" s="1"/>
  <c r="J4" i="7"/>
  <c r="J113" i="7" s="1"/>
  <c r="I4" i="7"/>
  <c r="I113" i="7" s="1"/>
  <c r="H4" i="7"/>
  <c r="H113" i="7" s="1"/>
  <c r="G4" i="7"/>
  <c r="G113" i="7" s="1"/>
  <c r="F4" i="7"/>
  <c r="F113" i="7" s="1"/>
  <c r="E4" i="7"/>
  <c r="E113" i="7" s="1"/>
  <c r="D4" i="7"/>
  <c r="D113" i="7" s="1"/>
  <c r="C4" i="7"/>
  <c r="C113" i="7" s="1"/>
  <c r="B4" i="7"/>
  <c r="B113" i="7" s="1"/>
  <c r="O3" i="7"/>
  <c r="O112" i="7" s="1"/>
  <c r="N3" i="7"/>
  <c r="N112" i="7" s="1"/>
  <c r="M3" i="7"/>
  <c r="M112" i="7" s="1"/>
  <c r="L3" i="7"/>
  <c r="L112" i="7" s="1"/>
  <c r="K3" i="7"/>
  <c r="K112" i="7" s="1"/>
  <c r="J3" i="7"/>
  <c r="J112" i="7" s="1"/>
  <c r="I3" i="7"/>
  <c r="I112" i="7" s="1"/>
  <c r="H3" i="7"/>
  <c r="H112" i="7" s="1"/>
  <c r="G3" i="7"/>
  <c r="G112" i="7" s="1"/>
  <c r="F3" i="7"/>
  <c r="F112" i="7" s="1"/>
  <c r="E3" i="7"/>
  <c r="E112" i="7" s="1"/>
  <c r="D3" i="7"/>
  <c r="D112" i="7" s="1"/>
  <c r="C3" i="7"/>
  <c r="C112" i="7" s="1"/>
  <c r="B3" i="7"/>
  <c r="B112" i="7" s="1"/>
  <c r="O2" i="7"/>
  <c r="O111" i="7" s="1"/>
  <c r="N2" i="7"/>
  <c r="N111" i="7" s="1"/>
  <c r="M2" i="7"/>
  <c r="M111" i="7" s="1"/>
  <c r="L2" i="7"/>
  <c r="L111" i="7" s="1"/>
  <c r="K2" i="7"/>
  <c r="K111" i="7" s="1"/>
  <c r="J2" i="7"/>
  <c r="J111" i="7" s="1"/>
  <c r="I2" i="7"/>
  <c r="I111" i="7" s="1"/>
  <c r="H2" i="7"/>
  <c r="H111" i="7" s="1"/>
  <c r="G2" i="7"/>
  <c r="G111" i="7" s="1"/>
  <c r="F2" i="7"/>
  <c r="F111" i="7" s="1"/>
  <c r="E2" i="7"/>
  <c r="E111" i="7" s="1"/>
  <c r="D2" i="7"/>
  <c r="D111" i="7" s="1"/>
  <c r="C2" i="7"/>
  <c r="C111" i="7" s="1"/>
  <c r="B2" i="7"/>
  <c r="B111" i="7" s="1"/>
  <c r="O1" i="7"/>
  <c r="O110" i="7" s="1"/>
  <c r="N1" i="7"/>
  <c r="N110" i="7" s="1"/>
  <c r="M1" i="7"/>
  <c r="M110" i="7" s="1"/>
  <c r="L1" i="7"/>
  <c r="L110" i="7" s="1"/>
  <c r="K1" i="7"/>
  <c r="K110" i="7" s="1"/>
  <c r="J1" i="7"/>
  <c r="J110" i="7" s="1"/>
  <c r="I1" i="7"/>
  <c r="I110" i="7" s="1"/>
  <c r="H1" i="7"/>
  <c r="H110" i="7" s="1"/>
  <c r="G1" i="7"/>
  <c r="G110" i="7" s="1"/>
  <c r="F1" i="7"/>
  <c r="F110" i="7" s="1"/>
  <c r="E1" i="7"/>
  <c r="E110" i="7" s="1"/>
  <c r="D1" i="7"/>
  <c r="D110" i="7" s="1"/>
  <c r="C1" i="7"/>
  <c r="C110" i="7" s="1"/>
  <c r="B1" i="7"/>
  <c r="B110" i="7" s="1"/>
  <c r="B4" i="6" a="1"/>
  <c r="AH106" i="5"/>
  <c r="J106" i="5"/>
  <c r="H106" i="5"/>
  <c r="G106" i="5"/>
  <c r="F106" i="5"/>
  <c r="E106" i="5"/>
  <c r="D106" i="5"/>
  <c r="C106" i="5"/>
  <c r="B106" i="5"/>
  <c r="A106" i="5"/>
  <c r="P105" i="5"/>
  <c r="H105" i="5"/>
  <c r="G105" i="5"/>
  <c r="F105" i="5"/>
  <c r="E105" i="5"/>
  <c r="D105" i="5"/>
  <c r="C105" i="5"/>
  <c r="B105" i="5"/>
  <c r="A105" i="5"/>
  <c r="Z104" i="5"/>
  <c r="H104" i="5"/>
  <c r="G104" i="5"/>
  <c r="F104" i="5"/>
  <c r="E104" i="5"/>
  <c r="D104" i="5"/>
  <c r="C104" i="5"/>
  <c r="B104" i="5"/>
  <c r="A104" i="5"/>
  <c r="J103" i="5"/>
  <c r="H103" i="5"/>
  <c r="G103" i="5"/>
  <c r="F103" i="5"/>
  <c r="E103" i="5"/>
  <c r="D103" i="5"/>
  <c r="C103" i="5"/>
  <c r="B103" i="5"/>
  <c r="A103" i="5"/>
  <c r="T102" i="5"/>
  <c r="P102" i="5"/>
  <c r="H102" i="5"/>
  <c r="G102" i="5"/>
  <c r="F102" i="5"/>
  <c r="E102" i="5"/>
  <c r="D102" i="5"/>
  <c r="C102" i="5"/>
  <c r="B102" i="5"/>
  <c r="A102" i="5"/>
  <c r="H101" i="5"/>
  <c r="G101" i="5"/>
  <c r="F101" i="5"/>
  <c r="E101" i="5"/>
  <c r="D101" i="5"/>
  <c r="C101" i="5"/>
  <c r="B101" i="5"/>
  <c r="A101" i="5"/>
  <c r="H100" i="5"/>
  <c r="G100" i="5"/>
  <c r="F100" i="5"/>
  <c r="E100" i="5"/>
  <c r="D100" i="5"/>
  <c r="C100" i="5"/>
  <c r="B100" i="5"/>
  <c r="A100" i="5"/>
  <c r="J99" i="5"/>
  <c r="H99" i="5"/>
  <c r="G99" i="5"/>
  <c r="F99" i="5"/>
  <c r="E99" i="5"/>
  <c r="D99" i="5"/>
  <c r="C99" i="5"/>
  <c r="B99" i="5"/>
  <c r="A99" i="5"/>
  <c r="H98" i="5"/>
  <c r="G98" i="5"/>
  <c r="F98" i="5"/>
  <c r="E98" i="5"/>
  <c r="D98" i="5"/>
  <c r="C98" i="5"/>
  <c r="B98" i="5"/>
  <c r="A98" i="5"/>
  <c r="AH97" i="5"/>
  <c r="H97" i="5"/>
  <c r="G97" i="5"/>
  <c r="F97" i="5"/>
  <c r="E97" i="5"/>
  <c r="D97" i="5"/>
  <c r="C97" i="5"/>
  <c r="B97" i="5"/>
  <c r="A97" i="5"/>
  <c r="H96" i="5"/>
  <c r="G96" i="5"/>
  <c r="F96" i="5"/>
  <c r="E96" i="5"/>
  <c r="D96" i="5"/>
  <c r="C96" i="5"/>
  <c r="B96" i="5"/>
  <c r="A96" i="5"/>
  <c r="V95" i="5"/>
  <c r="H95" i="5"/>
  <c r="G95" i="5"/>
  <c r="F95" i="5"/>
  <c r="E95" i="5"/>
  <c r="D95" i="5"/>
  <c r="C95" i="5"/>
  <c r="B95" i="5"/>
  <c r="A95" i="5"/>
  <c r="AG94" i="5"/>
  <c r="H94" i="5"/>
  <c r="G94" i="5"/>
  <c r="F94" i="5"/>
  <c r="E94" i="5"/>
  <c r="D94" i="5"/>
  <c r="C94" i="5"/>
  <c r="B94" i="5"/>
  <c r="A94" i="5"/>
  <c r="R93" i="5"/>
  <c r="H93" i="5"/>
  <c r="G93" i="5"/>
  <c r="F93" i="5"/>
  <c r="E93" i="5"/>
  <c r="D93" i="5"/>
  <c r="C93" i="5"/>
  <c r="B93" i="5"/>
  <c r="A93" i="5"/>
  <c r="J92" i="5"/>
  <c r="H92" i="5"/>
  <c r="G92" i="5"/>
  <c r="F92" i="5"/>
  <c r="E92" i="5"/>
  <c r="D92" i="5"/>
  <c r="C92" i="5"/>
  <c r="B92" i="5"/>
  <c r="A92" i="5"/>
  <c r="V91" i="5"/>
  <c r="H91" i="5"/>
  <c r="G91" i="5"/>
  <c r="F91" i="5"/>
  <c r="E91" i="5"/>
  <c r="D91" i="5"/>
  <c r="C91" i="5"/>
  <c r="B91" i="5"/>
  <c r="A91" i="5"/>
  <c r="AH90" i="5"/>
  <c r="H90" i="5"/>
  <c r="G90" i="5"/>
  <c r="F90" i="5"/>
  <c r="E90" i="5"/>
  <c r="D90" i="5"/>
  <c r="C90" i="5"/>
  <c r="B90" i="5"/>
  <c r="A90" i="5"/>
  <c r="AB89" i="5"/>
  <c r="Z89" i="5"/>
  <c r="P89" i="5"/>
  <c r="H89" i="5"/>
  <c r="G89" i="5"/>
  <c r="F89" i="5"/>
  <c r="E89" i="5"/>
  <c r="D89" i="5"/>
  <c r="C89" i="5"/>
  <c r="B89" i="5"/>
  <c r="A89" i="5"/>
  <c r="H88" i="5"/>
  <c r="G88" i="5"/>
  <c r="F88" i="5"/>
  <c r="E88" i="5"/>
  <c r="D88" i="5"/>
  <c r="C88" i="5"/>
  <c r="B88" i="5"/>
  <c r="A88" i="5"/>
  <c r="P87" i="5"/>
  <c r="H87" i="5"/>
  <c r="G87" i="5"/>
  <c r="F87" i="5"/>
  <c r="E87" i="5"/>
  <c r="D87" i="5"/>
  <c r="C87" i="5"/>
  <c r="B87" i="5"/>
  <c r="A87" i="5"/>
  <c r="R86" i="5"/>
  <c r="H86" i="5"/>
  <c r="G86" i="5"/>
  <c r="F86" i="5"/>
  <c r="E86" i="5"/>
  <c r="D86" i="5"/>
  <c r="C86" i="5"/>
  <c r="B86" i="5"/>
  <c r="A86" i="5"/>
  <c r="AH85" i="5"/>
  <c r="R85" i="5"/>
  <c r="H85" i="5"/>
  <c r="G85" i="5"/>
  <c r="F85" i="5"/>
  <c r="E85" i="5"/>
  <c r="D85" i="5"/>
  <c r="C85" i="5"/>
  <c r="B85" i="5"/>
  <c r="A85" i="5"/>
  <c r="AB84" i="5"/>
  <c r="N84" i="5"/>
  <c r="H84" i="5"/>
  <c r="G84" i="5"/>
  <c r="F84" i="5"/>
  <c r="E84" i="5"/>
  <c r="D84" i="5"/>
  <c r="C84" i="5"/>
  <c r="B84" i="5"/>
  <c r="A84" i="5"/>
  <c r="AB83" i="5"/>
  <c r="H83" i="5"/>
  <c r="G83" i="5"/>
  <c r="F83" i="5"/>
  <c r="E83" i="5"/>
  <c r="D83" i="5"/>
  <c r="C83" i="5"/>
  <c r="B83" i="5"/>
  <c r="A83" i="5"/>
  <c r="Q82" i="5"/>
  <c r="P82" i="5"/>
  <c r="H82" i="5"/>
  <c r="G82" i="5"/>
  <c r="F82" i="5"/>
  <c r="E82" i="5"/>
  <c r="D82" i="5"/>
  <c r="C82" i="5"/>
  <c r="B82" i="5"/>
  <c r="A82" i="5"/>
  <c r="AB81" i="5"/>
  <c r="H81" i="5"/>
  <c r="G81" i="5"/>
  <c r="F81" i="5"/>
  <c r="E81" i="5"/>
  <c r="D81" i="5"/>
  <c r="C81" i="5"/>
  <c r="B81" i="5"/>
  <c r="A81" i="5"/>
  <c r="T80" i="5"/>
  <c r="H80" i="5"/>
  <c r="G80" i="5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H78" i="5"/>
  <c r="G78" i="5"/>
  <c r="F78" i="5"/>
  <c r="E78" i="5"/>
  <c r="D78" i="5"/>
  <c r="C78" i="5"/>
  <c r="B78" i="5"/>
  <c r="A78" i="5"/>
  <c r="AD77" i="5"/>
  <c r="V77" i="5"/>
  <c r="H77" i="5"/>
  <c r="G77" i="5"/>
  <c r="F77" i="5"/>
  <c r="E77" i="5"/>
  <c r="D77" i="5"/>
  <c r="C77" i="5"/>
  <c r="B77" i="5"/>
  <c r="A77" i="5"/>
  <c r="R76" i="5"/>
  <c r="H76" i="5"/>
  <c r="G76" i="5"/>
  <c r="F76" i="5"/>
  <c r="E76" i="5"/>
  <c r="D76" i="5"/>
  <c r="C76" i="5"/>
  <c r="B76" i="5"/>
  <c r="A76" i="5"/>
  <c r="I75" i="5"/>
  <c r="H75" i="5"/>
  <c r="G75" i="5"/>
  <c r="F75" i="5"/>
  <c r="E75" i="5"/>
  <c r="D75" i="5"/>
  <c r="C75" i="5"/>
  <c r="B75" i="5"/>
  <c r="A75" i="5"/>
  <c r="AB74" i="5"/>
  <c r="P74" i="5"/>
  <c r="M74" i="5"/>
  <c r="H74" i="5"/>
  <c r="G74" i="5"/>
  <c r="F74" i="5"/>
  <c r="E74" i="5"/>
  <c r="D74" i="5"/>
  <c r="C74" i="5"/>
  <c r="B74" i="5"/>
  <c r="A74" i="5"/>
  <c r="V73" i="5"/>
  <c r="P73" i="5"/>
  <c r="H73" i="5"/>
  <c r="G73" i="5"/>
  <c r="F73" i="5"/>
  <c r="E73" i="5"/>
  <c r="D73" i="5"/>
  <c r="C73" i="5"/>
  <c r="B73" i="5"/>
  <c r="A73" i="5"/>
  <c r="AA72" i="5"/>
  <c r="Y72" i="5"/>
  <c r="H72" i="5"/>
  <c r="G72" i="5"/>
  <c r="F72" i="5"/>
  <c r="E72" i="5"/>
  <c r="D72" i="5"/>
  <c r="C72" i="5"/>
  <c r="B72" i="5"/>
  <c r="A72" i="5"/>
  <c r="H71" i="5"/>
  <c r="G71" i="5"/>
  <c r="F71" i="5"/>
  <c r="E71" i="5"/>
  <c r="D71" i="5"/>
  <c r="C71" i="5"/>
  <c r="B71" i="5"/>
  <c r="A71" i="5"/>
  <c r="H70" i="5"/>
  <c r="G70" i="5"/>
  <c r="F70" i="5"/>
  <c r="E70" i="5"/>
  <c r="D70" i="5"/>
  <c r="C70" i="5"/>
  <c r="B70" i="5"/>
  <c r="A70" i="5"/>
  <c r="P69" i="5"/>
  <c r="H69" i="5"/>
  <c r="G69" i="5"/>
  <c r="F69" i="5"/>
  <c r="E69" i="5"/>
  <c r="D69" i="5"/>
  <c r="C69" i="5"/>
  <c r="B69" i="5"/>
  <c r="A69" i="5"/>
  <c r="AA68" i="5"/>
  <c r="M68" i="5"/>
  <c r="H68" i="5"/>
  <c r="G68" i="5"/>
  <c r="F68" i="5"/>
  <c r="E68" i="5"/>
  <c r="D68" i="5"/>
  <c r="C68" i="5"/>
  <c r="B68" i="5"/>
  <c r="A68" i="5"/>
  <c r="AD67" i="5"/>
  <c r="H67" i="5"/>
  <c r="G67" i="5"/>
  <c r="F67" i="5"/>
  <c r="E67" i="5"/>
  <c r="D67" i="5"/>
  <c r="C67" i="5"/>
  <c r="B67" i="5"/>
  <c r="A67" i="5"/>
  <c r="AB66" i="5"/>
  <c r="P66" i="5"/>
  <c r="H66" i="5"/>
  <c r="G66" i="5"/>
  <c r="F66" i="5"/>
  <c r="E66" i="5"/>
  <c r="D66" i="5"/>
  <c r="C66" i="5"/>
  <c r="B66" i="5"/>
  <c r="A66" i="5"/>
  <c r="AD65" i="5"/>
  <c r="P65" i="5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AB63" i="5"/>
  <c r="H63" i="5"/>
  <c r="G63" i="5"/>
  <c r="F63" i="5"/>
  <c r="E63" i="5"/>
  <c r="D63" i="5"/>
  <c r="C63" i="5"/>
  <c r="B63" i="5"/>
  <c r="A63" i="5"/>
  <c r="P62" i="5"/>
  <c r="H62" i="5"/>
  <c r="G62" i="5"/>
  <c r="F62" i="5"/>
  <c r="E62" i="5"/>
  <c r="D62" i="5"/>
  <c r="C62" i="5"/>
  <c r="B62" i="5"/>
  <c r="A62" i="5"/>
  <c r="N61" i="5"/>
  <c r="H61" i="5"/>
  <c r="G61" i="5"/>
  <c r="F61" i="5"/>
  <c r="E61" i="5"/>
  <c r="D61" i="5"/>
  <c r="C61" i="5"/>
  <c r="B61" i="5"/>
  <c r="A61" i="5"/>
  <c r="P60" i="5"/>
  <c r="H60" i="5"/>
  <c r="G60" i="5"/>
  <c r="F60" i="5"/>
  <c r="E60" i="5"/>
  <c r="D60" i="5"/>
  <c r="C60" i="5"/>
  <c r="B60" i="5"/>
  <c r="A60" i="5"/>
  <c r="Z59" i="5"/>
  <c r="P59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AB57" i="5"/>
  <c r="H57" i="5"/>
  <c r="G57" i="5"/>
  <c r="F57" i="5"/>
  <c r="E57" i="5"/>
  <c r="D57" i="5"/>
  <c r="C57" i="5"/>
  <c r="B57" i="5"/>
  <c r="A57" i="5"/>
  <c r="N56" i="5"/>
  <c r="H56" i="5"/>
  <c r="G56" i="5"/>
  <c r="F56" i="5"/>
  <c r="E56" i="5"/>
  <c r="D56" i="5"/>
  <c r="C56" i="5"/>
  <c r="B56" i="5"/>
  <c r="A56" i="5"/>
  <c r="AI55" i="5"/>
  <c r="P55" i="5"/>
  <c r="H55" i="5"/>
  <c r="G55" i="5"/>
  <c r="F55" i="5"/>
  <c r="E55" i="5"/>
  <c r="D55" i="5"/>
  <c r="C55" i="5"/>
  <c r="B55" i="5"/>
  <c r="A55" i="5"/>
  <c r="T54" i="5"/>
  <c r="Q54" i="5"/>
  <c r="H54" i="5"/>
  <c r="G54" i="5"/>
  <c r="F54" i="5"/>
  <c r="E54" i="5"/>
  <c r="D54" i="5"/>
  <c r="C54" i="5"/>
  <c r="B54" i="5"/>
  <c r="A54" i="5"/>
  <c r="AB53" i="5"/>
  <c r="P53" i="5"/>
  <c r="H53" i="5"/>
  <c r="G53" i="5"/>
  <c r="F53" i="5"/>
  <c r="E53" i="5"/>
  <c r="D53" i="5"/>
  <c r="C53" i="5"/>
  <c r="B53" i="5"/>
  <c r="A53" i="5"/>
  <c r="AB52" i="5"/>
  <c r="R52" i="5"/>
  <c r="P52" i="5"/>
  <c r="H52" i="5"/>
  <c r="G52" i="5"/>
  <c r="F52" i="5"/>
  <c r="E52" i="5"/>
  <c r="D52" i="5"/>
  <c r="C52" i="5"/>
  <c r="B52" i="5"/>
  <c r="A52" i="5"/>
  <c r="Z51" i="5"/>
  <c r="Q51" i="5"/>
  <c r="M51" i="5"/>
  <c r="H51" i="5"/>
  <c r="G51" i="5"/>
  <c r="F51" i="5"/>
  <c r="E51" i="5"/>
  <c r="D51" i="5"/>
  <c r="C51" i="5"/>
  <c r="B51" i="5"/>
  <c r="A51" i="5"/>
  <c r="M50" i="5"/>
  <c r="H50" i="5"/>
  <c r="G50" i="5"/>
  <c r="F50" i="5"/>
  <c r="E50" i="5"/>
  <c r="D50" i="5"/>
  <c r="C50" i="5"/>
  <c r="B50" i="5"/>
  <c r="A50" i="5"/>
  <c r="P49" i="5"/>
  <c r="N49" i="5"/>
  <c r="H49" i="5"/>
  <c r="G49" i="5"/>
  <c r="F49" i="5"/>
  <c r="E49" i="5"/>
  <c r="D49" i="5"/>
  <c r="C49" i="5"/>
  <c r="B49" i="5"/>
  <c r="A49" i="5"/>
  <c r="Y48" i="5"/>
  <c r="U48" i="5"/>
  <c r="N48" i="5"/>
  <c r="H48" i="5"/>
  <c r="G48" i="5"/>
  <c r="F48" i="5"/>
  <c r="E48" i="5"/>
  <c r="D48" i="5"/>
  <c r="C48" i="5"/>
  <c r="B48" i="5"/>
  <c r="A48" i="5"/>
  <c r="AB47" i="5"/>
  <c r="Q47" i="5"/>
  <c r="H47" i="5"/>
  <c r="G47" i="5"/>
  <c r="F47" i="5"/>
  <c r="E47" i="5"/>
  <c r="D47" i="5"/>
  <c r="C47" i="5"/>
  <c r="B47" i="5"/>
  <c r="A47" i="5"/>
  <c r="W46" i="5"/>
  <c r="H46" i="5"/>
  <c r="G46" i="5"/>
  <c r="F46" i="5"/>
  <c r="E46" i="5"/>
  <c r="D46" i="5"/>
  <c r="C46" i="5"/>
  <c r="B46" i="5"/>
  <c r="A46" i="5"/>
  <c r="AG45" i="5"/>
  <c r="AB45" i="5"/>
  <c r="N45" i="5"/>
  <c r="L45" i="5"/>
  <c r="H45" i="5"/>
  <c r="G45" i="5"/>
  <c r="F45" i="5"/>
  <c r="E45" i="5"/>
  <c r="D45" i="5"/>
  <c r="C45" i="5"/>
  <c r="B45" i="5"/>
  <c r="A45" i="5"/>
  <c r="I44" i="5"/>
  <c r="H44" i="5"/>
  <c r="G44" i="5"/>
  <c r="F44" i="5"/>
  <c r="E44" i="5"/>
  <c r="D44" i="5"/>
  <c r="C44" i="5"/>
  <c r="B44" i="5"/>
  <c r="A44" i="5"/>
  <c r="AB43" i="5"/>
  <c r="P43" i="5"/>
  <c r="H43" i="5"/>
  <c r="G43" i="5"/>
  <c r="F43" i="5"/>
  <c r="E43" i="5"/>
  <c r="D43" i="5"/>
  <c r="C43" i="5"/>
  <c r="B43" i="5"/>
  <c r="A43" i="5"/>
  <c r="P42" i="5"/>
  <c r="N42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P40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AB38" i="5"/>
  <c r="AA38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Z36" i="5"/>
  <c r="P36" i="5"/>
  <c r="H36" i="5"/>
  <c r="G36" i="5"/>
  <c r="F36" i="5"/>
  <c r="E36" i="5"/>
  <c r="D36" i="5"/>
  <c r="C36" i="5"/>
  <c r="B36" i="5"/>
  <c r="A36" i="5"/>
  <c r="AF35" i="5"/>
  <c r="P35" i="5"/>
  <c r="H35" i="5"/>
  <c r="G35" i="5"/>
  <c r="F35" i="5"/>
  <c r="E35" i="5"/>
  <c r="D35" i="5"/>
  <c r="C35" i="5"/>
  <c r="B35" i="5"/>
  <c r="A35" i="5"/>
  <c r="AB34" i="5"/>
  <c r="S34" i="5"/>
  <c r="H34" i="5"/>
  <c r="G34" i="5"/>
  <c r="F34" i="5"/>
  <c r="E34" i="5"/>
  <c r="D34" i="5"/>
  <c r="C34" i="5"/>
  <c r="B34" i="5"/>
  <c r="A34" i="5"/>
  <c r="AI33" i="5"/>
  <c r="H33" i="5"/>
  <c r="G33" i="5"/>
  <c r="F33" i="5"/>
  <c r="E33" i="5"/>
  <c r="D33" i="5"/>
  <c r="C33" i="5"/>
  <c r="B33" i="5"/>
  <c r="A33" i="5"/>
  <c r="AJ32" i="5"/>
  <c r="H32" i="5"/>
  <c r="G32" i="5"/>
  <c r="F32" i="5"/>
  <c r="E32" i="5"/>
  <c r="D32" i="5"/>
  <c r="C32" i="5"/>
  <c r="B32" i="5"/>
  <c r="A32" i="5"/>
  <c r="N31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U27" i="5"/>
  <c r="I27" i="5"/>
  <c r="H27" i="5"/>
  <c r="G27" i="5"/>
  <c r="F27" i="5"/>
  <c r="E27" i="5"/>
  <c r="D27" i="5"/>
  <c r="C27" i="5"/>
  <c r="B27" i="5"/>
  <c r="A27" i="5"/>
  <c r="AA26" i="5"/>
  <c r="N26" i="5"/>
  <c r="H26" i="5"/>
  <c r="G26" i="5"/>
  <c r="F26" i="5"/>
  <c r="E26" i="5"/>
  <c r="D26" i="5"/>
  <c r="C26" i="5"/>
  <c r="B26" i="5"/>
  <c r="A26" i="5"/>
  <c r="W25" i="5"/>
  <c r="U25" i="5"/>
  <c r="H25" i="5"/>
  <c r="G25" i="5"/>
  <c r="F25" i="5"/>
  <c r="E25" i="5"/>
  <c r="D25" i="5"/>
  <c r="C25" i="5"/>
  <c r="B25" i="5"/>
  <c r="A25" i="5"/>
  <c r="Q24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S22" i="5"/>
  <c r="M22" i="5"/>
  <c r="H22" i="5"/>
  <c r="G22" i="5"/>
  <c r="F22" i="5"/>
  <c r="E22" i="5"/>
  <c r="D22" i="5"/>
  <c r="C22" i="5"/>
  <c r="B22" i="5"/>
  <c r="A22" i="5"/>
  <c r="AG21" i="5"/>
  <c r="H21" i="5"/>
  <c r="G21" i="5"/>
  <c r="F21" i="5"/>
  <c r="E21" i="5"/>
  <c r="D21" i="5"/>
  <c r="C21" i="5"/>
  <c r="B21" i="5"/>
  <c r="A21" i="5"/>
  <c r="AI20" i="5"/>
  <c r="AC20" i="5"/>
  <c r="H20" i="5"/>
  <c r="G20" i="5"/>
  <c r="F20" i="5"/>
  <c r="E20" i="5"/>
  <c r="D20" i="5"/>
  <c r="C20" i="5"/>
  <c r="B20" i="5"/>
  <c r="A20" i="5"/>
  <c r="AC19" i="5"/>
  <c r="H19" i="5"/>
  <c r="G19" i="5"/>
  <c r="F19" i="5"/>
  <c r="E19" i="5"/>
  <c r="D19" i="5"/>
  <c r="C19" i="5"/>
  <c r="B19" i="5"/>
  <c r="A19" i="5"/>
  <c r="AE18" i="5"/>
  <c r="H18" i="5"/>
  <c r="G18" i="5"/>
  <c r="F18" i="5"/>
  <c r="E18" i="5"/>
  <c r="D18" i="5"/>
  <c r="C18" i="5"/>
  <c r="B18" i="5"/>
  <c r="A18" i="5"/>
  <c r="AB17" i="5"/>
  <c r="H17" i="5"/>
  <c r="G17" i="5"/>
  <c r="F17" i="5"/>
  <c r="E17" i="5"/>
  <c r="D17" i="5"/>
  <c r="C17" i="5"/>
  <c r="B17" i="5"/>
  <c r="A17" i="5"/>
  <c r="AJ16" i="5"/>
  <c r="H16" i="5"/>
  <c r="G16" i="5"/>
  <c r="F16" i="5"/>
  <c r="E16" i="5"/>
  <c r="D16" i="5"/>
  <c r="C16" i="5"/>
  <c r="B16" i="5"/>
  <c r="A16" i="5"/>
  <c r="P15" i="5"/>
  <c r="L15" i="5"/>
  <c r="H15" i="5"/>
  <c r="G15" i="5"/>
  <c r="F15" i="5"/>
  <c r="E15" i="5"/>
  <c r="D15" i="5"/>
  <c r="C15" i="5"/>
  <c r="B15" i="5"/>
  <c r="A15" i="5"/>
  <c r="S14" i="5"/>
  <c r="H14" i="5"/>
  <c r="G14" i="5"/>
  <c r="F14" i="5"/>
  <c r="E14" i="5"/>
  <c r="D14" i="5"/>
  <c r="C14" i="5"/>
  <c r="B14" i="5"/>
  <c r="A14" i="5"/>
  <c r="W13" i="5"/>
  <c r="O13" i="5"/>
  <c r="H13" i="5"/>
  <c r="G13" i="5"/>
  <c r="F13" i="5"/>
  <c r="E13" i="5"/>
  <c r="D13" i="5"/>
  <c r="C13" i="5"/>
  <c r="B13" i="5"/>
  <c r="A13" i="5"/>
  <c r="AE12" i="5"/>
  <c r="H12" i="5"/>
  <c r="G12" i="5"/>
  <c r="F12" i="5"/>
  <c r="E12" i="5"/>
  <c r="D12" i="5"/>
  <c r="C12" i="5"/>
  <c r="B12" i="5"/>
  <c r="A12" i="5"/>
  <c r="Z11" i="5"/>
  <c r="T11" i="5"/>
  <c r="H11" i="5"/>
  <c r="G11" i="5"/>
  <c r="F11" i="5"/>
  <c r="E11" i="5"/>
  <c r="D11" i="5"/>
  <c r="C11" i="5"/>
  <c r="B11" i="5"/>
  <c r="A11" i="5"/>
  <c r="AI10" i="5"/>
  <c r="X10" i="5"/>
  <c r="S10" i="5"/>
  <c r="O10" i="5"/>
  <c r="H10" i="5"/>
  <c r="G10" i="5"/>
  <c r="F10" i="5"/>
  <c r="E10" i="5"/>
  <c r="D10" i="5"/>
  <c r="C10" i="5"/>
  <c r="B10" i="5"/>
  <c r="A10" i="5"/>
  <c r="AJ9" i="5"/>
  <c r="S9" i="5"/>
  <c r="K9" i="5"/>
  <c r="H9" i="5"/>
  <c r="G9" i="5"/>
  <c r="F9" i="5"/>
  <c r="E9" i="5"/>
  <c r="D9" i="5"/>
  <c r="C9" i="5"/>
  <c r="B9" i="5"/>
  <c r="A9" i="5"/>
  <c r="O8" i="5"/>
  <c r="M8" i="5"/>
  <c r="H8" i="5"/>
  <c r="G8" i="5"/>
  <c r="F8" i="5"/>
  <c r="E8" i="5"/>
  <c r="D8" i="5"/>
  <c r="C8" i="5"/>
  <c r="B8" i="5"/>
  <c r="A8" i="5"/>
  <c r="Z7" i="5"/>
  <c r="Y7" i="5"/>
  <c r="U7" i="5"/>
  <c r="I7" i="5"/>
  <c r="H7" i="5"/>
  <c r="G7" i="5"/>
  <c r="F7" i="5"/>
  <c r="E7" i="5"/>
  <c r="D7" i="5"/>
  <c r="C7" i="5"/>
  <c r="B7" i="5"/>
  <c r="A7" i="5"/>
  <c r="X6" i="5"/>
  <c r="P6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AI3" i="5"/>
  <c r="W3" i="5"/>
  <c r="Q3" i="5"/>
  <c r="H3" i="5"/>
  <c r="G3" i="5"/>
  <c r="F3" i="5"/>
  <c r="E3" i="5"/>
  <c r="D3" i="5"/>
  <c r="C3" i="5"/>
  <c r="B3" i="5"/>
  <c r="A3" i="5"/>
  <c r="AI1" i="5"/>
  <c r="AG1" i="5"/>
  <c r="AE1" i="5"/>
  <c r="AC1" i="5"/>
  <c r="AA1" i="5"/>
  <c r="Y1" i="5"/>
  <c r="W1" i="5"/>
  <c r="U1" i="5"/>
  <c r="S1" i="5"/>
  <c r="Q1" i="5"/>
  <c r="O1" i="5"/>
  <c r="M1" i="5"/>
  <c r="K1" i="5"/>
  <c r="I1" i="5"/>
  <c r="H1" i="5"/>
  <c r="F1" i="5"/>
  <c r="D1" i="5"/>
  <c r="C1" i="5"/>
  <c r="B1" i="5"/>
  <c r="A1" i="5"/>
  <c r="BK105" i="4"/>
  <c r="AJ106" i="5" s="1"/>
  <c r="BG105" i="4"/>
  <c r="BC105" i="4"/>
  <c r="AF106" i="5" s="1"/>
  <c r="AZ105" i="4"/>
  <c r="AY105" i="4"/>
  <c r="AD106" i="5" s="1"/>
  <c r="AU105" i="4"/>
  <c r="AB106" i="5" s="1"/>
  <c r="AR105" i="4"/>
  <c r="AQ105" i="4"/>
  <c r="Z106" i="5" s="1"/>
  <c r="AM105" i="4"/>
  <c r="X106" i="5" s="1"/>
  <c r="AI105" i="4"/>
  <c r="V106" i="5" s="1"/>
  <c r="AE105" i="4"/>
  <c r="T106" i="5" s="1"/>
  <c r="AA105" i="4"/>
  <c r="R106" i="5" s="1"/>
  <c r="W105" i="4"/>
  <c r="P106" i="5" s="1"/>
  <c r="T105" i="4"/>
  <c r="S105" i="4"/>
  <c r="N106" i="5" s="1"/>
  <c r="O105" i="4"/>
  <c r="L106" i="5" s="1"/>
  <c r="K105" i="4"/>
  <c r="H105" i="4"/>
  <c r="G105" i="4"/>
  <c r="AF105" i="4" s="1"/>
  <c r="F105" i="4"/>
  <c r="E105" i="4"/>
  <c r="D105" i="4"/>
  <c r="C105" i="4"/>
  <c r="B105" i="4"/>
  <c r="A105" i="4"/>
  <c r="BL104" i="4"/>
  <c r="BK104" i="4"/>
  <c r="AJ105" i="5" s="1"/>
  <c r="BG104" i="4"/>
  <c r="AH105" i="5" s="1"/>
  <c r="BD104" i="4"/>
  <c r="BC104" i="4"/>
  <c r="AF105" i="5" s="1"/>
  <c r="AZ104" i="4"/>
  <c r="AY104" i="4"/>
  <c r="AD105" i="5" s="1"/>
  <c r="AU104" i="4"/>
  <c r="AB105" i="5" s="1"/>
  <c r="AR104" i="4"/>
  <c r="AQ104" i="4"/>
  <c r="Z105" i="5" s="1"/>
  <c r="AN104" i="4"/>
  <c r="AM104" i="4"/>
  <c r="X105" i="5" s="1"/>
  <c r="AI104" i="4"/>
  <c r="V105" i="5" s="1"/>
  <c r="AE104" i="4"/>
  <c r="T105" i="5" s="1"/>
  <c r="AA104" i="4"/>
  <c r="R105" i="5" s="1"/>
  <c r="X104" i="4"/>
  <c r="W104" i="4"/>
  <c r="T104" i="4"/>
  <c r="S104" i="4"/>
  <c r="N105" i="5" s="1"/>
  <c r="P104" i="4"/>
  <c r="O104" i="4"/>
  <c r="L105" i="5" s="1"/>
  <c r="K104" i="4"/>
  <c r="J105" i="5" s="1"/>
  <c r="H104" i="4"/>
  <c r="G104" i="4"/>
  <c r="F104" i="4"/>
  <c r="E104" i="4"/>
  <c r="AV104" i="4" s="1"/>
  <c r="D104" i="4"/>
  <c r="C104" i="4"/>
  <c r="B104" i="4"/>
  <c r="A104" i="4"/>
  <c r="BL103" i="4"/>
  <c r="BK103" i="4"/>
  <c r="AJ104" i="5" s="1"/>
  <c r="BG103" i="4"/>
  <c r="AH104" i="5" s="1"/>
  <c r="BD103" i="4"/>
  <c r="BC103" i="4"/>
  <c r="AF104" i="5" s="1"/>
  <c r="AY103" i="4"/>
  <c r="AD104" i="5" s="1"/>
  <c r="AU103" i="4"/>
  <c r="AB104" i="5" s="1"/>
  <c r="AR103" i="4"/>
  <c r="AQ103" i="4"/>
  <c r="AN103" i="4"/>
  <c r="AM103" i="4"/>
  <c r="X104" i="5" s="1"/>
  <c r="AI103" i="4"/>
  <c r="V104" i="5" s="1"/>
  <c r="AF103" i="4"/>
  <c r="AE103" i="4"/>
  <c r="T104" i="5" s="1"/>
  <c r="AA103" i="4"/>
  <c r="R104" i="5" s="1"/>
  <c r="X103" i="4"/>
  <c r="W103" i="4"/>
  <c r="P104" i="5" s="1"/>
  <c r="T103" i="4"/>
  <c r="S103" i="4"/>
  <c r="N104" i="5" s="1"/>
  <c r="O103" i="4"/>
  <c r="L104" i="5" s="1"/>
  <c r="K103" i="4"/>
  <c r="J104" i="5" s="1"/>
  <c r="H103" i="4"/>
  <c r="G103" i="4"/>
  <c r="F103" i="4"/>
  <c r="E103" i="4"/>
  <c r="D103" i="4"/>
  <c r="C103" i="4"/>
  <c r="B103" i="4"/>
  <c r="A103" i="4"/>
  <c r="BK102" i="4"/>
  <c r="AJ103" i="5" s="1"/>
  <c r="BG102" i="4"/>
  <c r="AH103" i="5" s="1"/>
  <c r="BD102" i="4"/>
  <c r="BC102" i="4"/>
  <c r="AF103" i="5" s="1"/>
  <c r="AY102" i="4"/>
  <c r="AD103" i="5" s="1"/>
  <c r="AU102" i="4"/>
  <c r="AB103" i="5" s="1"/>
  <c r="AQ102" i="4"/>
  <c r="Z103" i="5" s="1"/>
  <c r="AM102" i="4"/>
  <c r="X103" i="5" s="1"/>
  <c r="AI102" i="4"/>
  <c r="V103" i="5" s="1"/>
  <c r="AE102" i="4"/>
  <c r="T103" i="5" s="1"/>
  <c r="AA102" i="4"/>
  <c r="R103" i="5" s="1"/>
  <c r="W102" i="4"/>
  <c r="P103" i="5" s="1"/>
  <c r="S102" i="4"/>
  <c r="N103" i="5" s="1"/>
  <c r="O102" i="4"/>
  <c r="L103" i="5" s="1"/>
  <c r="K102" i="4"/>
  <c r="H102" i="4"/>
  <c r="G102" i="4"/>
  <c r="F102" i="4"/>
  <c r="E102" i="4"/>
  <c r="AB102" i="4" s="1"/>
  <c r="D102" i="4"/>
  <c r="C102" i="4"/>
  <c r="B102" i="4"/>
  <c r="A102" i="4"/>
  <c r="BL101" i="4"/>
  <c r="BK101" i="4"/>
  <c r="AJ102" i="5" s="1"/>
  <c r="BG101" i="4"/>
  <c r="AH102" i="5" s="1"/>
  <c r="BD101" i="4"/>
  <c r="BC101" i="4"/>
  <c r="AF102" i="5" s="1"/>
  <c r="AZ101" i="4"/>
  <c r="AY101" i="4"/>
  <c r="AD102" i="5" s="1"/>
  <c r="AV101" i="4"/>
  <c r="AU101" i="4"/>
  <c r="AB102" i="5" s="1"/>
  <c r="AR101" i="4"/>
  <c r="AQ101" i="4"/>
  <c r="Z102" i="5" s="1"/>
  <c r="AM101" i="4"/>
  <c r="X102" i="5" s="1"/>
  <c r="AI101" i="4"/>
  <c r="V102" i="5" s="1"/>
  <c r="AF101" i="4"/>
  <c r="AE101" i="4"/>
  <c r="AA101" i="4"/>
  <c r="R102" i="5" s="1"/>
  <c r="X101" i="4"/>
  <c r="W101" i="4"/>
  <c r="T101" i="4"/>
  <c r="S101" i="4"/>
  <c r="N102" i="5" s="1"/>
  <c r="O101" i="4"/>
  <c r="L102" i="5" s="1"/>
  <c r="K101" i="4"/>
  <c r="J102" i="5" s="1"/>
  <c r="H101" i="4"/>
  <c r="G101" i="4"/>
  <c r="AN101" i="4" s="1"/>
  <c r="F101" i="4"/>
  <c r="E101" i="4"/>
  <c r="D101" i="4"/>
  <c r="C101" i="4"/>
  <c r="B101" i="4"/>
  <c r="A101" i="4"/>
  <c r="BL100" i="4"/>
  <c r="BK100" i="4"/>
  <c r="AJ101" i="5" s="1"/>
  <c r="BG100" i="4"/>
  <c r="AH101" i="5" s="1"/>
  <c r="BD100" i="4"/>
  <c r="BC100" i="4"/>
  <c r="AF101" i="5" s="1"/>
  <c r="AZ100" i="4"/>
  <c r="AY100" i="4"/>
  <c r="AD101" i="5" s="1"/>
  <c r="AU100" i="4"/>
  <c r="AB101" i="5" s="1"/>
  <c r="AR100" i="4"/>
  <c r="AQ100" i="4"/>
  <c r="Z101" i="5" s="1"/>
  <c r="AN100" i="4"/>
  <c r="AM100" i="4"/>
  <c r="X101" i="5" s="1"/>
  <c r="AI100" i="4"/>
  <c r="V101" i="5" s="1"/>
  <c r="AE100" i="4"/>
  <c r="T101" i="5" s="1"/>
  <c r="AA100" i="4"/>
  <c r="R101" i="5" s="1"/>
  <c r="X100" i="4"/>
  <c r="W100" i="4"/>
  <c r="P101" i="5" s="1"/>
  <c r="T100" i="4"/>
  <c r="S100" i="4"/>
  <c r="N101" i="5" s="1"/>
  <c r="P100" i="4"/>
  <c r="O100" i="4"/>
  <c r="L101" i="5" s="1"/>
  <c r="K100" i="4"/>
  <c r="J101" i="5" s="1"/>
  <c r="H100" i="4"/>
  <c r="G100" i="4"/>
  <c r="F100" i="4"/>
  <c r="E100" i="4"/>
  <c r="AV100" i="4" s="1"/>
  <c r="D100" i="4"/>
  <c r="C100" i="4"/>
  <c r="B100" i="4"/>
  <c r="A100" i="4"/>
  <c r="BK99" i="4"/>
  <c r="AJ100" i="5" s="1"/>
  <c r="BG99" i="4"/>
  <c r="AH100" i="5" s="1"/>
  <c r="BC99" i="4"/>
  <c r="AF100" i="5" s="1"/>
  <c r="AY99" i="4"/>
  <c r="AD100" i="5" s="1"/>
  <c r="AU99" i="4"/>
  <c r="AB100" i="5" s="1"/>
  <c r="AQ99" i="4"/>
  <c r="Z100" i="5" s="1"/>
  <c r="AM99" i="4"/>
  <c r="X100" i="5" s="1"/>
  <c r="AI99" i="4"/>
  <c r="V100" i="5" s="1"/>
  <c r="AE99" i="4"/>
  <c r="T100" i="5" s="1"/>
  <c r="AA99" i="4"/>
  <c r="R100" i="5" s="1"/>
  <c r="X99" i="4"/>
  <c r="W99" i="4"/>
  <c r="P100" i="5" s="1"/>
  <c r="S99" i="4"/>
  <c r="N100" i="5" s="1"/>
  <c r="O99" i="4"/>
  <c r="L100" i="5" s="1"/>
  <c r="K99" i="4"/>
  <c r="J100" i="5" s="1"/>
  <c r="H99" i="4"/>
  <c r="G99" i="4"/>
  <c r="F99" i="4"/>
  <c r="E99" i="4"/>
  <c r="D99" i="4"/>
  <c r="C99" i="4"/>
  <c r="B99" i="4"/>
  <c r="A99" i="4"/>
  <c r="BK98" i="4"/>
  <c r="AJ99" i="5" s="1"/>
  <c r="BG98" i="4"/>
  <c r="AH99" i="5" s="1"/>
  <c r="BD98" i="4"/>
  <c r="BC98" i="4"/>
  <c r="AF99" i="5" s="1"/>
  <c r="AY98" i="4"/>
  <c r="AD99" i="5" s="1"/>
  <c r="AU98" i="4"/>
  <c r="AB99" i="5" s="1"/>
  <c r="AQ98" i="4"/>
  <c r="Z99" i="5" s="1"/>
  <c r="AN98" i="4"/>
  <c r="AM98" i="4"/>
  <c r="X99" i="5" s="1"/>
  <c r="AI98" i="4"/>
  <c r="V99" i="5" s="1"/>
  <c r="AE98" i="4"/>
  <c r="T99" i="5" s="1"/>
  <c r="AA98" i="4"/>
  <c r="R99" i="5" s="1"/>
  <c r="W98" i="4"/>
  <c r="P99" i="5" s="1"/>
  <c r="S98" i="4"/>
  <c r="N99" i="5" s="1"/>
  <c r="O98" i="4"/>
  <c r="L99" i="5" s="1"/>
  <c r="K98" i="4"/>
  <c r="H98" i="4"/>
  <c r="G98" i="4"/>
  <c r="F98" i="4"/>
  <c r="E98" i="4"/>
  <c r="D98" i="4"/>
  <c r="C98" i="4"/>
  <c r="B98" i="4"/>
  <c r="A98" i="4"/>
  <c r="BK97" i="4"/>
  <c r="AJ98" i="5" s="1"/>
  <c r="BG97" i="4"/>
  <c r="AH98" i="5" s="1"/>
  <c r="BC97" i="4"/>
  <c r="AF98" i="5" s="1"/>
  <c r="AY97" i="4"/>
  <c r="AD98" i="5" s="1"/>
  <c r="AU97" i="4"/>
  <c r="AB98" i="5" s="1"/>
  <c r="AQ97" i="4"/>
  <c r="Z98" i="5" s="1"/>
  <c r="AM97" i="4"/>
  <c r="X98" i="5" s="1"/>
  <c r="AI97" i="4"/>
  <c r="V98" i="5" s="1"/>
  <c r="AE97" i="4"/>
  <c r="T98" i="5" s="1"/>
  <c r="AA97" i="4"/>
  <c r="R98" i="5" s="1"/>
  <c r="X97" i="4"/>
  <c r="W97" i="4"/>
  <c r="P98" i="5" s="1"/>
  <c r="S97" i="4"/>
  <c r="N98" i="5" s="1"/>
  <c r="O97" i="4"/>
  <c r="L98" i="5" s="1"/>
  <c r="K97" i="4"/>
  <c r="J98" i="5" s="1"/>
  <c r="H97" i="4"/>
  <c r="G97" i="4"/>
  <c r="F97" i="4"/>
  <c r="E97" i="4"/>
  <c r="D97" i="4"/>
  <c r="C97" i="4"/>
  <c r="B97" i="4"/>
  <c r="A97" i="4"/>
  <c r="BL96" i="4"/>
  <c r="BK96" i="4"/>
  <c r="AJ97" i="5" s="1"/>
  <c r="BG96" i="4"/>
  <c r="BD96" i="4"/>
  <c r="BC96" i="4"/>
  <c r="AF97" i="5" s="1"/>
  <c r="AZ96" i="4"/>
  <c r="AY96" i="4"/>
  <c r="AD97" i="5" s="1"/>
  <c r="AU96" i="4"/>
  <c r="AB97" i="5" s="1"/>
  <c r="AR96" i="4"/>
  <c r="AQ96" i="4"/>
  <c r="Z97" i="5" s="1"/>
  <c r="AN96" i="4"/>
  <c r="AM96" i="4"/>
  <c r="X97" i="5" s="1"/>
  <c r="AI96" i="4"/>
  <c r="V97" i="5" s="1"/>
  <c r="AE96" i="4"/>
  <c r="T97" i="5" s="1"/>
  <c r="AA96" i="4"/>
  <c r="R97" i="5" s="1"/>
  <c r="X96" i="4"/>
  <c r="W96" i="4"/>
  <c r="P97" i="5" s="1"/>
  <c r="T96" i="4"/>
  <c r="S96" i="4"/>
  <c r="N97" i="5" s="1"/>
  <c r="P96" i="4"/>
  <c r="O96" i="4"/>
  <c r="L97" i="5" s="1"/>
  <c r="K96" i="4"/>
  <c r="J97" i="5" s="1"/>
  <c r="H96" i="4"/>
  <c r="G96" i="4"/>
  <c r="F96" i="4"/>
  <c r="E96" i="4"/>
  <c r="AV96" i="4" s="1"/>
  <c r="D96" i="4"/>
  <c r="C96" i="4"/>
  <c r="B96" i="4"/>
  <c r="A96" i="4"/>
  <c r="BK95" i="4"/>
  <c r="AJ96" i="5" s="1"/>
  <c r="BG95" i="4"/>
  <c r="AH96" i="5" s="1"/>
  <c r="BC95" i="4"/>
  <c r="AF96" i="5" s="1"/>
  <c r="AY95" i="4"/>
  <c r="AD96" i="5" s="1"/>
  <c r="AU95" i="4"/>
  <c r="AB96" i="5" s="1"/>
  <c r="AQ95" i="4"/>
  <c r="Z96" i="5" s="1"/>
  <c r="AN95" i="4"/>
  <c r="AM95" i="4"/>
  <c r="X96" i="5" s="1"/>
  <c r="AI95" i="4"/>
  <c r="V96" i="5" s="1"/>
  <c r="AE95" i="4"/>
  <c r="T96" i="5" s="1"/>
  <c r="AA95" i="4"/>
  <c r="R96" i="5" s="1"/>
  <c r="W95" i="4"/>
  <c r="P96" i="5" s="1"/>
  <c r="S95" i="4"/>
  <c r="N96" i="5" s="1"/>
  <c r="O95" i="4"/>
  <c r="L96" i="5" s="1"/>
  <c r="K95" i="4"/>
  <c r="J96" i="5" s="1"/>
  <c r="H95" i="4"/>
  <c r="G95" i="4"/>
  <c r="F95" i="4"/>
  <c r="E95" i="4"/>
  <c r="D95" i="4"/>
  <c r="C95" i="4"/>
  <c r="B95" i="4"/>
  <c r="A95" i="4"/>
  <c r="BL94" i="4"/>
  <c r="BK94" i="4"/>
  <c r="AJ95" i="5" s="1"/>
  <c r="BG94" i="4"/>
  <c r="AH95" i="5" s="1"/>
  <c r="BD94" i="4"/>
  <c r="BC94" i="4"/>
  <c r="AF95" i="5" s="1"/>
  <c r="AZ94" i="4"/>
  <c r="AY94" i="4"/>
  <c r="AD95" i="5" s="1"/>
  <c r="AU94" i="4"/>
  <c r="AB95" i="5" s="1"/>
  <c r="AQ94" i="4"/>
  <c r="Z95" i="5" s="1"/>
  <c r="AM94" i="4"/>
  <c r="X95" i="5" s="1"/>
  <c r="AI94" i="4"/>
  <c r="AE94" i="4"/>
  <c r="T95" i="5" s="1"/>
  <c r="AB94" i="4"/>
  <c r="AA94" i="4"/>
  <c r="R95" i="5" s="1"/>
  <c r="W94" i="4"/>
  <c r="P95" i="5" s="1"/>
  <c r="S94" i="4"/>
  <c r="N95" i="5" s="1"/>
  <c r="O94" i="4"/>
  <c r="L95" i="5" s="1"/>
  <c r="K94" i="4"/>
  <c r="J95" i="5" s="1"/>
  <c r="H94" i="4"/>
  <c r="G94" i="4"/>
  <c r="AR94" i="4" s="1"/>
  <c r="F94" i="4"/>
  <c r="E94" i="4"/>
  <c r="D94" i="4"/>
  <c r="C94" i="4"/>
  <c r="B94" i="4"/>
  <c r="A94" i="4"/>
  <c r="BL93" i="4"/>
  <c r="BK93" i="4"/>
  <c r="AJ94" i="5" s="1"/>
  <c r="BG93" i="4"/>
  <c r="AH94" i="5" s="1"/>
  <c r="BD93" i="4"/>
  <c r="BC93" i="4"/>
  <c r="AF94" i="5" s="1"/>
  <c r="AY93" i="4"/>
  <c r="AD94" i="5" s="1"/>
  <c r="AU93" i="4"/>
  <c r="AB94" i="5" s="1"/>
  <c r="AQ93" i="4"/>
  <c r="Z94" i="5" s="1"/>
  <c r="AM93" i="4"/>
  <c r="X94" i="5" s="1"/>
  <c r="AI93" i="4"/>
  <c r="V94" i="5" s="1"/>
  <c r="AE93" i="4"/>
  <c r="T94" i="5" s="1"/>
  <c r="AA93" i="4"/>
  <c r="R94" i="5" s="1"/>
  <c r="W93" i="4"/>
  <c r="P94" i="5" s="1"/>
  <c r="T93" i="4"/>
  <c r="S93" i="4"/>
  <c r="N94" i="5" s="1"/>
  <c r="O93" i="4"/>
  <c r="L94" i="5" s="1"/>
  <c r="K93" i="4"/>
  <c r="J94" i="5" s="1"/>
  <c r="H93" i="4"/>
  <c r="G93" i="4"/>
  <c r="F93" i="4"/>
  <c r="E93" i="4"/>
  <c r="D93" i="4"/>
  <c r="C93" i="4"/>
  <c r="B93" i="4"/>
  <c r="A93" i="4"/>
  <c r="BL92" i="4"/>
  <c r="BK92" i="4"/>
  <c r="AJ93" i="5" s="1"/>
  <c r="BG92" i="4"/>
  <c r="AH93" i="5" s="1"/>
  <c r="BD92" i="4"/>
  <c r="BC92" i="4"/>
  <c r="AF93" i="5" s="1"/>
  <c r="AZ92" i="4"/>
  <c r="AY92" i="4"/>
  <c r="AD93" i="5" s="1"/>
  <c r="AU92" i="4"/>
  <c r="AB93" i="5" s="1"/>
  <c r="AR92" i="4"/>
  <c r="AQ92" i="4"/>
  <c r="Z93" i="5" s="1"/>
  <c r="AN92" i="4"/>
  <c r="AM92" i="4"/>
  <c r="X93" i="5" s="1"/>
  <c r="AI92" i="4"/>
  <c r="V93" i="5" s="1"/>
  <c r="AE92" i="4"/>
  <c r="T93" i="5" s="1"/>
  <c r="AA92" i="4"/>
  <c r="X92" i="4"/>
  <c r="W92" i="4"/>
  <c r="P93" i="5" s="1"/>
  <c r="T92" i="4"/>
  <c r="S92" i="4"/>
  <c r="N93" i="5" s="1"/>
  <c r="P92" i="4"/>
  <c r="O92" i="4"/>
  <c r="L93" i="5" s="1"/>
  <c r="K92" i="4"/>
  <c r="J93" i="5" s="1"/>
  <c r="H92" i="4"/>
  <c r="G92" i="4"/>
  <c r="AF92" i="4" s="1"/>
  <c r="F92" i="4"/>
  <c r="E92" i="4"/>
  <c r="AV92" i="4" s="1"/>
  <c r="D92" i="4"/>
  <c r="C92" i="4"/>
  <c r="B92" i="4"/>
  <c r="A92" i="4"/>
  <c r="BK91" i="4"/>
  <c r="AJ92" i="5" s="1"/>
  <c r="BG91" i="4"/>
  <c r="AH92" i="5" s="1"/>
  <c r="BD91" i="4"/>
  <c r="BC91" i="4"/>
  <c r="AF92" i="5" s="1"/>
  <c r="AY91" i="4"/>
  <c r="AD92" i="5" s="1"/>
  <c r="AU91" i="4"/>
  <c r="AB92" i="5" s="1"/>
  <c r="AQ91" i="4"/>
  <c r="Z92" i="5" s="1"/>
  <c r="AM91" i="4"/>
  <c r="X92" i="5" s="1"/>
  <c r="AI91" i="4"/>
  <c r="V92" i="5" s="1"/>
  <c r="AE91" i="4"/>
  <c r="T92" i="5" s="1"/>
  <c r="AA91" i="4"/>
  <c r="R92" i="5" s="1"/>
  <c r="W91" i="4"/>
  <c r="P92" i="5" s="1"/>
  <c r="S91" i="4"/>
  <c r="N92" i="5" s="1"/>
  <c r="O91" i="4"/>
  <c r="L92" i="5" s="1"/>
  <c r="K91" i="4"/>
  <c r="H91" i="4"/>
  <c r="G91" i="4"/>
  <c r="F91" i="4"/>
  <c r="E91" i="4"/>
  <c r="D91" i="4"/>
  <c r="C91" i="4"/>
  <c r="B91" i="4"/>
  <c r="A91" i="4"/>
  <c r="BK90" i="4"/>
  <c r="AJ91" i="5" s="1"/>
  <c r="BG90" i="4"/>
  <c r="AH91" i="5" s="1"/>
  <c r="BC90" i="4"/>
  <c r="AF91" i="5" s="1"/>
  <c r="AY90" i="4"/>
  <c r="AD91" i="5" s="1"/>
  <c r="AU90" i="4"/>
  <c r="AB91" i="5" s="1"/>
  <c r="AQ90" i="4"/>
  <c r="Z91" i="5" s="1"/>
  <c r="AM90" i="4"/>
  <c r="X91" i="5" s="1"/>
  <c r="AI90" i="4"/>
  <c r="AE90" i="4"/>
  <c r="T91" i="5" s="1"/>
  <c r="AA90" i="4"/>
  <c r="R91" i="5" s="1"/>
  <c r="W90" i="4"/>
  <c r="P91" i="5" s="1"/>
  <c r="S90" i="4"/>
  <c r="N91" i="5" s="1"/>
  <c r="O90" i="4"/>
  <c r="L91" i="5" s="1"/>
  <c r="K90" i="4"/>
  <c r="J91" i="5" s="1"/>
  <c r="H90" i="4"/>
  <c r="G90" i="4"/>
  <c r="F90" i="4"/>
  <c r="E90" i="4"/>
  <c r="D90" i="4"/>
  <c r="C90" i="4"/>
  <c r="B90" i="4"/>
  <c r="A90" i="4"/>
  <c r="BK89" i="4"/>
  <c r="AJ90" i="5" s="1"/>
  <c r="BG89" i="4"/>
  <c r="BD89" i="4"/>
  <c r="BC89" i="4"/>
  <c r="AF90" i="5" s="1"/>
  <c r="AZ89" i="4"/>
  <c r="AY89" i="4"/>
  <c r="AD90" i="5" s="1"/>
  <c r="AU89" i="4"/>
  <c r="AB90" i="5" s="1"/>
  <c r="AQ89" i="4"/>
  <c r="Z90" i="5" s="1"/>
  <c r="AM89" i="4"/>
  <c r="X90" i="5" s="1"/>
  <c r="AI89" i="4"/>
  <c r="V90" i="5" s="1"/>
  <c r="AE89" i="4"/>
  <c r="T90" i="5" s="1"/>
  <c r="AA89" i="4"/>
  <c r="R90" i="5" s="1"/>
  <c r="X89" i="4"/>
  <c r="W89" i="4"/>
  <c r="P90" i="5" s="1"/>
  <c r="S89" i="4"/>
  <c r="N90" i="5" s="1"/>
  <c r="O89" i="4"/>
  <c r="L90" i="5" s="1"/>
  <c r="K89" i="4"/>
  <c r="J90" i="5" s="1"/>
  <c r="H89" i="4"/>
  <c r="G89" i="4"/>
  <c r="L89" i="4" s="1"/>
  <c r="F89" i="4"/>
  <c r="E89" i="4"/>
  <c r="AV89" i="4" s="1"/>
  <c r="D89" i="4"/>
  <c r="C89" i="4"/>
  <c r="B89" i="4"/>
  <c r="A89" i="4"/>
  <c r="BK88" i="4"/>
  <c r="AJ89" i="5" s="1"/>
  <c r="BG88" i="4"/>
  <c r="AH89" i="5" s="1"/>
  <c r="BC88" i="4"/>
  <c r="AF89" i="5" s="1"/>
  <c r="AZ88" i="4"/>
  <c r="AY88" i="4"/>
  <c r="AD89" i="5" s="1"/>
  <c r="AU88" i="4"/>
  <c r="AQ88" i="4"/>
  <c r="AM88" i="4"/>
  <c r="X89" i="5" s="1"/>
  <c r="AI88" i="4"/>
  <c r="V89" i="5" s="1"/>
  <c r="AE88" i="4"/>
  <c r="T89" i="5" s="1"/>
  <c r="AB88" i="4"/>
  <c r="AA88" i="4"/>
  <c r="R89" i="5" s="1"/>
  <c r="W88" i="4"/>
  <c r="S88" i="4"/>
  <c r="N89" i="5" s="1"/>
  <c r="O88" i="4"/>
  <c r="L89" i="5" s="1"/>
  <c r="K88" i="4"/>
  <c r="J89" i="5" s="1"/>
  <c r="H88" i="4"/>
  <c r="G88" i="4"/>
  <c r="F88" i="4"/>
  <c r="E88" i="4"/>
  <c r="D88" i="4"/>
  <c r="C88" i="4"/>
  <c r="B88" i="4"/>
  <c r="A88" i="4"/>
  <c r="BK87" i="4"/>
  <c r="AJ88" i="5" s="1"/>
  <c r="BH87" i="4"/>
  <c r="BG87" i="4"/>
  <c r="AH88" i="5" s="1"/>
  <c r="BD87" i="4"/>
  <c r="BC87" i="4"/>
  <c r="AF88" i="5" s="1"/>
  <c r="AY87" i="4"/>
  <c r="AD88" i="5" s="1"/>
  <c r="AV87" i="4"/>
  <c r="AU87" i="4"/>
  <c r="AB88" i="5" s="1"/>
  <c r="AQ87" i="4"/>
  <c r="Z88" i="5" s="1"/>
  <c r="AM87" i="4"/>
  <c r="X88" i="5" s="1"/>
  <c r="AI87" i="4"/>
  <c r="V88" i="5" s="1"/>
  <c r="AF87" i="4"/>
  <c r="AE87" i="4"/>
  <c r="T88" i="5" s="1"/>
  <c r="AB87" i="4"/>
  <c r="AA87" i="4"/>
  <c r="R88" i="5" s="1"/>
  <c r="W87" i="4"/>
  <c r="P88" i="5" s="1"/>
  <c r="S87" i="4"/>
  <c r="N88" i="5" s="1"/>
  <c r="O87" i="4"/>
  <c r="L88" i="5" s="1"/>
  <c r="L87" i="4"/>
  <c r="K87" i="4"/>
  <c r="J88" i="5" s="1"/>
  <c r="H87" i="4"/>
  <c r="G87" i="4"/>
  <c r="AZ87" i="4" s="1"/>
  <c r="F87" i="4"/>
  <c r="E87" i="4"/>
  <c r="D87" i="4"/>
  <c r="C87" i="4"/>
  <c r="B87" i="4"/>
  <c r="A87" i="4"/>
  <c r="BK86" i="4"/>
  <c r="AJ87" i="5" s="1"/>
  <c r="BG86" i="4"/>
  <c r="AH87" i="5" s="1"/>
  <c r="BD86" i="4"/>
  <c r="BC86" i="4"/>
  <c r="AF87" i="5" s="1"/>
  <c r="AY86" i="4"/>
  <c r="AD87" i="5" s="1"/>
  <c r="AU86" i="4"/>
  <c r="AB87" i="5" s="1"/>
  <c r="AQ86" i="4"/>
  <c r="Z87" i="5" s="1"/>
  <c r="AM86" i="4"/>
  <c r="X87" i="5" s="1"/>
  <c r="AI86" i="4"/>
  <c r="V87" i="5" s="1"/>
  <c r="AE86" i="4"/>
  <c r="T87" i="5" s="1"/>
  <c r="AB86" i="4"/>
  <c r="AA86" i="4"/>
  <c r="R87" i="5" s="1"/>
  <c r="W86" i="4"/>
  <c r="S86" i="4"/>
  <c r="N87" i="5" s="1"/>
  <c r="O86" i="4"/>
  <c r="L87" i="5" s="1"/>
  <c r="L86" i="4"/>
  <c r="K86" i="4"/>
  <c r="J87" i="5" s="1"/>
  <c r="H86" i="4"/>
  <c r="G86" i="4"/>
  <c r="F86" i="4"/>
  <c r="E86" i="4"/>
  <c r="BH86" i="4" s="1"/>
  <c r="D86" i="4"/>
  <c r="C86" i="4"/>
  <c r="B86" i="4"/>
  <c r="A86" i="4"/>
  <c r="BK85" i="4"/>
  <c r="AJ86" i="5" s="1"/>
  <c r="BH85" i="4"/>
  <c r="BG85" i="4"/>
  <c r="AH86" i="5" s="1"/>
  <c r="BC85" i="4"/>
  <c r="AF86" i="5" s="1"/>
  <c r="AY85" i="4"/>
  <c r="AD86" i="5" s="1"/>
  <c r="AV85" i="4"/>
  <c r="AU85" i="4"/>
  <c r="AB86" i="5" s="1"/>
  <c r="AQ85" i="4"/>
  <c r="Z86" i="5" s="1"/>
  <c r="AM85" i="4"/>
  <c r="X86" i="5" s="1"/>
  <c r="AI85" i="4"/>
  <c r="V86" i="5" s="1"/>
  <c r="AF85" i="4"/>
  <c r="AE85" i="4"/>
  <c r="T86" i="5" s="1"/>
  <c r="AA85" i="4"/>
  <c r="X85" i="4"/>
  <c r="W85" i="4"/>
  <c r="P86" i="5" s="1"/>
  <c r="S85" i="4"/>
  <c r="N86" i="5" s="1"/>
  <c r="O85" i="4"/>
  <c r="L86" i="5" s="1"/>
  <c r="K85" i="4"/>
  <c r="J86" i="5" s="1"/>
  <c r="H85" i="4"/>
  <c r="G85" i="4"/>
  <c r="F85" i="4"/>
  <c r="E85" i="4"/>
  <c r="D85" i="4"/>
  <c r="C85" i="4"/>
  <c r="B85" i="4"/>
  <c r="A85" i="4"/>
  <c r="BK84" i="4"/>
  <c r="AJ85" i="5" s="1"/>
  <c r="BG84" i="4"/>
  <c r="BC84" i="4"/>
  <c r="AF85" i="5" s="1"/>
  <c r="AY84" i="4"/>
  <c r="AD85" i="5" s="1"/>
  <c r="AV84" i="4"/>
  <c r="AU84" i="4"/>
  <c r="AB85" i="5" s="1"/>
  <c r="AQ84" i="4"/>
  <c r="Z85" i="5" s="1"/>
  <c r="AM84" i="4"/>
  <c r="X85" i="5" s="1"/>
  <c r="AJ84" i="4"/>
  <c r="AI84" i="4"/>
  <c r="V85" i="5" s="1"/>
  <c r="AF84" i="4"/>
  <c r="AE84" i="4"/>
  <c r="T85" i="5" s="1"/>
  <c r="AA84" i="4"/>
  <c r="W84" i="4"/>
  <c r="P85" i="5" s="1"/>
  <c r="S84" i="4"/>
  <c r="N85" i="5" s="1"/>
  <c r="O84" i="4"/>
  <c r="L85" i="5" s="1"/>
  <c r="K84" i="4"/>
  <c r="J85" i="5" s="1"/>
  <c r="H84" i="4"/>
  <c r="G84" i="4"/>
  <c r="F84" i="4"/>
  <c r="E84" i="4"/>
  <c r="D84" i="4"/>
  <c r="C84" i="4"/>
  <c r="B84" i="4"/>
  <c r="A84" i="4"/>
  <c r="BK83" i="4"/>
  <c r="AJ84" i="5" s="1"/>
  <c r="BG83" i="4"/>
  <c r="AH84" i="5" s="1"/>
  <c r="BC83" i="4"/>
  <c r="AF84" i="5" s="1"/>
  <c r="AY83" i="4"/>
  <c r="AD84" i="5" s="1"/>
  <c r="AU83" i="4"/>
  <c r="AQ83" i="4"/>
  <c r="Z84" i="5" s="1"/>
  <c r="AM83" i="4"/>
  <c r="X84" i="5" s="1"/>
  <c r="AI83" i="4"/>
  <c r="V84" i="5" s="1"/>
  <c r="AE83" i="4"/>
  <c r="T84" i="5" s="1"/>
  <c r="AA83" i="4"/>
  <c r="R84" i="5" s="1"/>
  <c r="W83" i="4"/>
  <c r="P84" i="5" s="1"/>
  <c r="S83" i="4"/>
  <c r="O83" i="4"/>
  <c r="L84" i="5" s="1"/>
  <c r="K83" i="4"/>
  <c r="J84" i="5" s="1"/>
  <c r="H83" i="4"/>
  <c r="G83" i="4"/>
  <c r="AJ83" i="4" s="1"/>
  <c r="F83" i="4"/>
  <c r="E83" i="4"/>
  <c r="D83" i="4"/>
  <c r="C83" i="4"/>
  <c r="B83" i="4"/>
  <c r="A83" i="4"/>
  <c r="BK82" i="4"/>
  <c r="AJ83" i="5" s="1"/>
  <c r="BG82" i="4"/>
  <c r="AH83" i="5" s="1"/>
  <c r="BC82" i="4"/>
  <c r="AF83" i="5" s="1"/>
  <c r="AZ82" i="4"/>
  <c r="AY82" i="4"/>
  <c r="AD83" i="5" s="1"/>
  <c r="AU82" i="4"/>
  <c r="AQ82" i="4"/>
  <c r="Z83" i="5" s="1"/>
  <c r="AM82" i="4"/>
  <c r="X83" i="5" s="1"/>
  <c r="AJ82" i="4"/>
  <c r="AI82" i="4"/>
  <c r="V83" i="5" s="1"/>
  <c r="AE82" i="4"/>
  <c r="T83" i="5" s="1"/>
  <c r="AA82" i="4"/>
  <c r="R83" i="5" s="1"/>
  <c r="W82" i="4"/>
  <c r="P83" i="5" s="1"/>
  <c r="S82" i="4"/>
  <c r="N83" i="5" s="1"/>
  <c r="O82" i="4"/>
  <c r="L83" i="5" s="1"/>
  <c r="L82" i="4"/>
  <c r="K82" i="4"/>
  <c r="J83" i="5" s="1"/>
  <c r="H82" i="4"/>
  <c r="G82" i="4"/>
  <c r="F82" i="4"/>
  <c r="E82" i="4"/>
  <c r="X82" i="4" s="1"/>
  <c r="D82" i="4"/>
  <c r="C82" i="4"/>
  <c r="B82" i="4"/>
  <c r="A82" i="4"/>
  <c r="BK81" i="4"/>
  <c r="AJ82" i="5" s="1"/>
  <c r="BH81" i="4"/>
  <c r="BG81" i="4"/>
  <c r="AH82" i="5" s="1"/>
  <c r="BD81" i="4"/>
  <c r="BC81" i="4"/>
  <c r="AF82" i="5" s="1"/>
  <c r="AY81" i="4"/>
  <c r="AD82" i="5" s="1"/>
  <c r="AV81" i="4"/>
  <c r="AU81" i="4"/>
  <c r="AB82" i="5" s="1"/>
  <c r="AQ81" i="4"/>
  <c r="Z82" i="5" s="1"/>
  <c r="AM81" i="4"/>
  <c r="X82" i="5" s="1"/>
  <c r="AI81" i="4"/>
  <c r="V82" i="5" s="1"/>
  <c r="AE81" i="4"/>
  <c r="T82" i="5" s="1"/>
  <c r="AB81" i="4"/>
  <c r="AA81" i="4"/>
  <c r="R82" i="5" s="1"/>
  <c r="W81" i="4"/>
  <c r="S81" i="4"/>
  <c r="N82" i="5" s="1"/>
  <c r="O81" i="4"/>
  <c r="L82" i="5" s="1"/>
  <c r="L81" i="4"/>
  <c r="K81" i="4"/>
  <c r="J82" i="5" s="1"/>
  <c r="H81" i="4"/>
  <c r="G81" i="4"/>
  <c r="F81" i="4"/>
  <c r="E81" i="4"/>
  <c r="D81" i="4"/>
  <c r="C81" i="4"/>
  <c r="B81" i="4"/>
  <c r="A81" i="4"/>
  <c r="BK80" i="4"/>
  <c r="AJ81" i="5" s="1"/>
  <c r="BG80" i="4"/>
  <c r="AH81" i="5" s="1"/>
  <c r="BD80" i="4"/>
  <c r="BC80" i="4"/>
  <c r="AF81" i="5" s="1"/>
  <c r="AY80" i="4"/>
  <c r="AD81" i="5" s="1"/>
  <c r="AU80" i="4"/>
  <c r="AQ80" i="4"/>
  <c r="Z81" i="5" s="1"/>
  <c r="AM80" i="4"/>
  <c r="X81" i="5" s="1"/>
  <c r="AI80" i="4"/>
  <c r="V81" i="5" s="1"/>
  <c r="AE80" i="4"/>
  <c r="T81" i="5" s="1"/>
  <c r="AA80" i="4"/>
  <c r="R81" i="5" s="1"/>
  <c r="W80" i="4"/>
  <c r="P81" i="5" s="1"/>
  <c r="S80" i="4"/>
  <c r="N81" i="5" s="1"/>
  <c r="O80" i="4"/>
  <c r="L81" i="5" s="1"/>
  <c r="K80" i="4"/>
  <c r="J81" i="5" s="1"/>
  <c r="H80" i="4"/>
  <c r="G80" i="4"/>
  <c r="F80" i="4"/>
  <c r="E80" i="4"/>
  <c r="AB80" i="4" s="1"/>
  <c r="D80" i="4"/>
  <c r="C80" i="4"/>
  <c r="B80" i="4"/>
  <c r="A80" i="4"/>
  <c r="BK79" i="4"/>
  <c r="AJ80" i="5" s="1"/>
  <c r="BG79" i="4"/>
  <c r="AH80" i="5" s="1"/>
  <c r="BC79" i="4"/>
  <c r="AF80" i="5" s="1"/>
  <c r="AY79" i="4"/>
  <c r="AD80" i="5" s="1"/>
  <c r="AU79" i="4"/>
  <c r="AB80" i="5" s="1"/>
  <c r="AQ79" i="4"/>
  <c r="Z80" i="5" s="1"/>
  <c r="AM79" i="4"/>
  <c r="X80" i="5" s="1"/>
  <c r="AI79" i="4"/>
  <c r="V80" i="5" s="1"/>
  <c r="AE79" i="4"/>
  <c r="AA79" i="4"/>
  <c r="R80" i="5" s="1"/>
  <c r="X79" i="4"/>
  <c r="W79" i="4"/>
  <c r="P80" i="5" s="1"/>
  <c r="S79" i="4"/>
  <c r="N80" i="5" s="1"/>
  <c r="O79" i="4"/>
  <c r="L80" i="5" s="1"/>
  <c r="K79" i="4"/>
  <c r="J80" i="5" s="1"/>
  <c r="H79" i="4"/>
  <c r="G79" i="4"/>
  <c r="AF79" i="4" s="1"/>
  <c r="F79" i="4"/>
  <c r="E79" i="4"/>
  <c r="D79" i="4"/>
  <c r="C79" i="4"/>
  <c r="B79" i="4"/>
  <c r="A79" i="4"/>
  <c r="BK78" i="4"/>
  <c r="AJ79" i="5" s="1"/>
  <c r="BG78" i="4"/>
  <c r="AH79" i="5" s="1"/>
  <c r="BC78" i="4"/>
  <c r="AF79" i="5" s="1"/>
  <c r="AY78" i="4"/>
  <c r="AD79" i="5" s="1"/>
  <c r="AU78" i="4"/>
  <c r="AB79" i="5" s="1"/>
  <c r="AQ78" i="4"/>
  <c r="Z79" i="5" s="1"/>
  <c r="AM78" i="4"/>
  <c r="X79" i="5" s="1"/>
  <c r="AI78" i="4"/>
  <c r="V79" i="5" s="1"/>
  <c r="AE78" i="4"/>
  <c r="T79" i="5" s="1"/>
  <c r="AA78" i="4"/>
  <c r="R79" i="5" s="1"/>
  <c r="X78" i="4"/>
  <c r="W78" i="4"/>
  <c r="P79" i="5" s="1"/>
  <c r="S78" i="4"/>
  <c r="N79" i="5" s="1"/>
  <c r="O78" i="4"/>
  <c r="L79" i="5" s="1"/>
  <c r="K78" i="4"/>
  <c r="J79" i="5" s="1"/>
  <c r="H78" i="4"/>
  <c r="G78" i="4"/>
  <c r="AF78" i="4" s="1"/>
  <c r="F78" i="4"/>
  <c r="E78" i="4"/>
  <c r="D78" i="4"/>
  <c r="C78" i="4"/>
  <c r="B78" i="4"/>
  <c r="A78" i="4"/>
  <c r="BK77" i="4"/>
  <c r="AJ78" i="5" s="1"/>
  <c r="BG77" i="4"/>
  <c r="AH78" i="5" s="1"/>
  <c r="BD77" i="4"/>
  <c r="BC77" i="4"/>
  <c r="AF78" i="5" s="1"/>
  <c r="AY77" i="4"/>
  <c r="AD78" i="5" s="1"/>
  <c r="AU77" i="4"/>
  <c r="AB78" i="5" s="1"/>
  <c r="AQ77" i="4"/>
  <c r="Z78" i="5" s="1"/>
  <c r="AM77" i="4"/>
  <c r="X78" i="5" s="1"/>
  <c r="AI77" i="4"/>
  <c r="V78" i="5" s="1"/>
  <c r="AE77" i="4"/>
  <c r="T78" i="5" s="1"/>
  <c r="AB77" i="4"/>
  <c r="AA77" i="4"/>
  <c r="R78" i="5" s="1"/>
  <c r="X77" i="4"/>
  <c r="W77" i="4"/>
  <c r="P78" i="5" s="1"/>
  <c r="S77" i="4"/>
  <c r="N78" i="5" s="1"/>
  <c r="O77" i="4"/>
  <c r="L78" i="5" s="1"/>
  <c r="L77" i="4"/>
  <c r="K77" i="4"/>
  <c r="J78" i="5" s="1"/>
  <c r="H77" i="4"/>
  <c r="G77" i="4"/>
  <c r="AZ77" i="4" s="1"/>
  <c r="F77" i="4"/>
  <c r="E77" i="4"/>
  <c r="AV77" i="4" s="1"/>
  <c r="D77" i="4"/>
  <c r="C77" i="4"/>
  <c r="B77" i="4"/>
  <c r="A77" i="4"/>
  <c r="BK76" i="4"/>
  <c r="AJ77" i="5" s="1"/>
  <c r="BG76" i="4"/>
  <c r="AH77" i="5" s="1"/>
  <c r="BC76" i="4"/>
  <c r="AF77" i="5" s="1"/>
  <c r="AY76" i="4"/>
  <c r="AU76" i="4"/>
  <c r="AB77" i="5" s="1"/>
  <c r="AQ76" i="4"/>
  <c r="Z77" i="5" s="1"/>
  <c r="AM76" i="4"/>
  <c r="X77" i="5" s="1"/>
  <c r="AJ76" i="4"/>
  <c r="AI76" i="4"/>
  <c r="AE76" i="4"/>
  <c r="T77" i="5" s="1"/>
  <c r="AA76" i="4"/>
  <c r="R77" i="5" s="1"/>
  <c r="W76" i="4"/>
  <c r="P77" i="5" s="1"/>
  <c r="S76" i="4"/>
  <c r="N77" i="5" s="1"/>
  <c r="O76" i="4"/>
  <c r="L77" i="5" s="1"/>
  <c r="K76" i="4"/>
  <c r="J77" i="5" s="1"/>
  <c r="H76" i="4"/>
  <c r="G76" i="4"/>
  <c r="F76" i="4"/>
  <c r="E76" i="4"/>
  <c r="D76" i="4"/>
  <c r="C76" i="4"/>
  <c r="B76" i="4"/>
  <c r="A76" i="4"/>
  <c r="BK75" i="4"/>
  <c r="AJ76" i="5" s="1"/>
  <c r="BH75" i="4"/>
  <c r="BG75" i="4"/>
  <c r="AH76" i="5" s="1"/>
  <c r="BD75" i="4"/>
  <c r="BC75" i="4"/>
  <c r="AF76" i="5" s="1"/>
  <c r="AY75" i="4"/>
  <c r="AD76" i="5" s="1"/>
  <c r="AV75" i="4"/>
  <c r="AU75" i="4"/>
  <c r="AB76" i="5" s="1"/>
  <c r="AQ75" i="4"/>
  <c r="Z76" i="5" s="1"/>
  <c r="AM75" i="4"/>
  <c r="X76" i="5" s="1"/>
  <c r="AI75" i="4"/>
  <c r="V76" i="5" s="1"/>
  <c r="AF75" i="4"/>
  <c r="AE75" i="4"/>
  <c r="T76" i="5" s="1"/>
  <c r="AB75" i="4"/>
  <c r="AA75" i="4"/>
  <c r="W75" i="4"/>
  <c r="P76" i="5" s="1"/>
  <c r="S75" i="4"/>
  <c r="N76" i="5" s="1"/>
  <c r="O75" i="4"/>
  <c r="L76" i="5" s="1"/>
  <c r="L75" i="4"/>
  <c r="K75" i="4"/>
  <c r="J76" i="5" s="1"/>
  <c r="H75" i="4"/>
  <c r="G75" i="4"/>
  <c r="AZ75" i="4" s="1"/>
  <c r="F75" i="4"/>
  <c r="E75" i="4"/>
  <c r="D75" i="4"/>
  <c r="C75" i="4"/>
  <c r="B75" i="4"/>
  <c r="A75" i="4"/>
  <c r="BK74" i="4"/>
  <c r="AJ75" i="5" s="1"/>
  <c r="BH74" i="4"/>
  <c r="BG74" i="4"/>
  <c r="AH75" i="5" s="1"/>
  <c r="BD74" i="4"/>
  <c r="BC74" i="4"/>
  <c r="AF75" i="5" s="1"/>
  <c r="AY74" i="4"/>
  <c r="AD75" i="5" s="1"/>
  <c r="AU74" i="4"/>
  <c r="AB75" i="5" s="1"/>
  <c r="AQ74" i="4"/>
  <c r="Z75" i="5" s="1"/>
  <c r="AM74" i="4"/>
  <c r="X75" i="5" s="1"/>
  <c r="AI74" i="4"/>
  <c r="V75" i="5" s="1"/>
  <c r="AE74" i="4"/>
  <c r="T75" i="5" s="1"/>
  <c r="AB74" i="4"/>
  <c r="AA74" i="4"/>
  <c r="R75" i="5" s="1"/>
  <c r="W74" i="4"/>
  <c r="P75" i="5" s="1"/>
  <c r="S74" i="4"/>
  <c r="N75" i="5" s="1"/>
  <c r="O74" i="4"/>
  <c r="L75" i="5" s="1"/>
  <c r="K74" i="4"/>
  <c r="J75" i="5" s="1"/>
  <c r="H74" i="4"/>
  <c r="G74" i="4"/>
  <c r="F74" i="4"/>
  <c r="E74" i="4"/>
  <c r="D74" i="4"/>
  <c r="C74" i="4"/>
  <c r="B74" i="4"/>
  <c r="A74" i="4"/>
  <c r="BK73" i="4"/>
  <c r="AJ74" i="5" s="1"/>
  <c r="BG73" i="4"/>
  <c r="AH74" i="5" s="1"/>
  <c r="BC73" i="4"/>
  <c r="AF74" i="5" s="1"/>
  <c r="AY73" i="4"/>
  <c r="AD74" i="5" s="1"/>
  <c r="AV73" i="4"/>
  <c r="AU73" i="4"/>
  <c r="AQ73" i="4"/>
  <c r="Z74" i="5" s="1"/>
  <c r="AM73" i="4"/>
  <c r="X74" i="5" s="1"/>
  <c r="AI73" i="4"/>
  <c r="V74" i="5" s="1"/>
  <c r="AF73" i="4"/>
  <c r="AE73" i="4"/>
  <c r="T74" i="5" s="1"/>
  <c r="AA73" i="4"/>
  <c r="R74" i="5" s="1"/>
  <c r="W73" i="4"/>
  <c r="S73" i="4"/>
  <c r="N74" i="5" s="1"/>
  <c r="O73" i="4"/>
  <c r="L74" i="5" s="1"/>
  <c r="K73" i="4"/>
  <c r="J74" i="5" s="1"/>
  <c r="H73" i="4"/>
  <c r="G73" i="4"/>
  <c r="F73" i="4"/>
  <c r="E73" i="4"/>
  <c r="AJ73" i="4" s="1"/>
  <c r="D73" i="4"/>
  <c r="C73" i="4"/>
  <c r="B73" i="4"/>
  <c r="A73" i="4"/>
  <c r="BK72" i="4"/>
  <c r="AJ73" i="5" s="1"/>
  <c r="BH72" i="4"/>
  <c r="BG72" i="4"/>
  <c r="AH73" i="5" s="1"/>
  <c r="BC72" i="4"/>
  <c r="AF73" i="5" s="1"/>
  <c r="AY72" i="4"/>
  <c r="AD73" i="5" s="1"/>
  <c r="AU72" i="4"/>
  <c r="AB73" i="5" s="1"/>
  <c r="AQ72" i="4"/>
  <c r="Z73" i="5" s="1"/>
  <c r="AM72" i="4"/>
  <c r="X73" i="5" s="1"/>
  <c r="AI72" i="4"/>
  <c r="AE72" i="4"/>
  <c r="T73" i="5" s="1"/>
  <c r="AB72" i="4"/>
  <c r="AA72" i="4"/>
  <c r="R73" i="5" s="1"/>
  <c r="W72" i="4"/>
  <c r="S72" i="4"/>
  <c r="N73" i="5" s="1"/>
  <c r="O72" i="4"/>
  <c r="L73" i="5" s="1"/>
  <c r="K72" i="4"/>
  <c r="J73" i="5" s="1"/>
  <c r="H72" i="4"/>
  <c r="G72" i="4"/>
  <c r="AF72" i="4" s="1"/>
  <c r="F72" i="4"/>
  <c r="E72" i="4"/>
  <c r="D72" i="4"/>
  <c r="C72" i="4"/>
  <c r="B72" i="4"/>
  <c r="A72" i="4"/>
  <c r="BK71" i="4"/>
  <c r="AJ72" i="5" s="1"/>
  <c r="BG71" i="4"/>
  <c r="AH72" i="5" s="1"/>
  <c r="BC71" i="4"/>
  <c r="AF72" i="5" s="1"/>
  <c r="AY71" i="4"/>
  <c r="AD72" i="5" s="1"/>
  <c r="AU71" i="4"/>
  <c r="AB72" i="5" s="1"/>
  <c r="AQ71" i="4"/>
  <c r="Z72" i="5" s="1"/>
  <c r="AM71" i="4"/>
  <c r="X72" i="5" s="1"/>
  <c r="AJ71" i="4"/>
  <c r="AI71" i="4"/>
  <c r="V72" i="5" s="1"/>
  <c r="AE71" i="4"/>
  <c r="T72" i="5" s="1"/>
  <c r="AA71" i="4"/>
  <c r="R72" i="5" s="1"/>
  <c r="W71" i="4"/>
  <c r="P72" i="5" s="1"/>
  <c r="S71" i="4"/>
  <c r="N72" i="5" s="1"/>
  <c r="O71" i="4"/>
  <c r="L72" i="5" s="1"/>
  <c r="K71" i="4"/>
  <c r="J72" i="5" s="1"/>
  <c r="H71" i="4"/>
  <c r="G71" i="4"/>
  <c r="F71" i="4"/>
  <c r="E71" i="4"/>
  <c r="D71" i="4"/>
  <c r="C71" i="4"/>
  <c r="B71" i="4"/>
  <c r="A71" i="4"/>
  <c r="BK70" i="4"/>
  <c r="AJ71" i="5" s="1"/>
  <c r="BG70" i="4"/>
  <c r="AH71" i="5" s="1"/>
  <c r="BC70" i="4"/>
  <c r="AF71" i="5" s="1"/>
  <c r="AY70" i="4"/>
  <c r="AD71" i="5" s="1"/>
  <c r="AU70" i="4"/>
  <c r="AB71" i="5" s="1"/>
  <c r="AQ70" i="4"/>
  <c r="Z71" i="5" s="1"/>
  <c r="AM70" i="4"/>
  <c r="X71" i="5" s="1"/>
  <c r="AI70" i="4"/>
  <c r="V71" i="5" s="1"/>
  <c r="AE70" i="4"/>
  <c r="T71" i="5" s="1"/>
  <c r="AA70" i="4"/>
  <c r="R71" i="5" s="1"/>
  <c r="W70" i="4"/>
  <c r="P71" i="5" s="1"/>
  <c r="S70" i="4"/>
  <c r="N71" i="5" s="1"/>
  <c r="O70" i="4"/>
  <c r="L71" i="5" s="1"/>
  <c r="K70" i="4"/>
  <c r="J71" i="5" s="1"/>
  <c r="H70" i="4"/>
  <c r="G70" i="4"/>
  <c r="F70" i="4"/>
  <c r="E70" i="4"/>
  <c r="L70" i="4" s="1"/>
  <c r="D70" i="4"/>
  <c r="C70" i="4"/>
  <c r="B70" i="4"/>
  <c r="A70" i="4"/>
  <c r="BK69" i="4"/>
  <c r="AJ70" i="5" s="1"/>
  <c r="BH69" i="4"/>
  <c r="BG69" i="4"/>
  <c r="AH70" i="5" s="1"/>
  <c r="BD69" i="4"/>
  <c r="BC69" i="4"/>
  <c r="AF70" i="5" s="1"/>
  <c r="AY69" i="4"/>
  <c r="AD70" i="5" s="1"/>
  <c r="AV69" i="4"/>
  <c r="AU69" i="4"/>
  <c r="AB70" i="5" s="1"/>
  <c r="AQ69" i="4"/>
  <c r="Z70" i="5" s="1"/>
  <c r="AM69" i="4"/>
  <c r="X70" i="5" s="1"/>
  <c r="AI69" i="4"/>
  <c r="V70" i="5" s="1"/>
  <c r="AE69" i="4"/>
  <c r="T70" i="5" s="1"/>
  <c r="AB69" i="4"/>
  <c r="AA69" i="4"/>
  <c r="R70" i="5" s="1"/>
  <c r="W69" i="4"/>
  <c r="P70" i="5" s="1"/>
  <c r="S69" i="4"/>
  <c r="N70" i="5" s="1"/>
  <c r="O69" i="4"/>
  <c r="L70" i="5" s="1"/>
  <c r="L69" i="4"/>
  <c r="K69" i="4"/>
  <c r="J70" i="5" s="1"/>
  <c r="H69" i="4"/>
  <c r="G69" i="4"/>
  <c r="F69" i="4"/>
  <c r="E69" i="4"/>
  <c r="D69" i="4"/>
  <c r="C69" i="4"/>
  <c r="B69" i="4"/>
  <c r="A69" i="4"/>
  <c r="BK68" i="4"/>
  <c r="AJ69" i="5" s="1"/>
  <c r="BG68" i="4"/>
  <c r="AH69" i="5" s="1"/>
  <c r="BD68" i="4"/>
  <c r="BC68" i="4"/>
  <c r="AF69" i="5" s="1"/>
  <c r="AY68" i="4"/>
  <c r="AD69" i="5" s="1"/>
  <c r="AU68" i="4"/>
  <c r="AB69" i="5" s="1"/>
  <c r="AQ68" i="4"/>
  <c r="Z69" i="5" s="1"/>
  <c r="AM68" i="4"/>
  <c r="X69" i="5" s="1"/>
  <c r="AI68" i="4"/>
  <c r="V69" i="5" s="1"/>
  <c r="AE68" i="4"/>
  <c r="T69" i="5" s="1"/>
  <c r="AA68" i="4"/>
  <c r="R69" i="5" s="1"/>
  <c r="W68" i="4"/>
  <c r="S68" i="4"/>
  <c r="N69" i="5" s="1"/>
  <c r="O68" i="4"/>
  <c r="L69" i="5" s="1"/>
  <c r="K68" i="4"/>
  <c r="J69" i="5" s="1"/>
  <c r="H68" i="4"/>
  <c r="G68" i="4"/>
  <c r="F68" i="4"/>
  <c r="E68" i="4"/>
  <c r="AB68" i="4" s="1"/>
  <c r="D68" i="4"/>
  <c r="C68" i="4"/>
  <c r="B68" i="4"/>
  <c r="A68" i="4"/>
  <c r="BK67" i="4"/>
  <c r="AJ68" i="5" s="1"/>
  <c r="BH67" i="4"/>
  <c r="BG67" i="4"/>
  <c r="AH68" i="5" s="1"/>
  <c r="BC67" i="4"/>
  <c r="AF68" i="5" s="1"/>
  <c r="AY67" i="4"/>
  <c r="AD68" i="5" s="1"/>
  <c r="AU67" i="4"/>
  <c r="AB68" i="5" s="1"/>
  <c r="AQ67" i="4"/>
  <c r="Z68" i="5" s="1"/>
  <c r="AM67" i="4"/>
  <c r="X68" i="5" s="1"/>
  <c r="AI67" i="4"/>
  <c r="V68" i="5" s="1"/>
  <c r="AE67" i="4"/>
  <c r="T68" i="5" s="1"/>
  <c r="AA67" i="4"/>
  <c r="R68" i="5" s="1"/>
  <c r="W67" i="4"/>
  <c r="P68" i="5" s="1"/>
  <c r="S67" i="4"/>
  <c r="N68" i="5" s="1"/>
  <c r="O67" i="4"/>
  <c r="L68" i="5" s="1"/>
  <c r="K67" i="4"/>
  <c r="J68" i="5" s="1"/>
  <c r="H67" i="4"/>
  <c r="G67" i="4"/>
  <c r="F67" i="4"/>
  <c r="E67" i="4"/>
  <c r="AV67" i="4" s="1"/>
  <c r="D67" i="4"/>
  <c r="C67" i="4"/>
  <c r="B67" i="4"/>
  <c r="A67" i="4"/>
  <c r="BK66" i="4"/>
  <c r="AJ67" i="5" s="1"/>
  <c r="BG66" i="4"/>
  <c r="AH67" i="5" s="1"/>
  <c r="BD66" i="4"/>
  <c r="BC66" i="4"/>
  <c r="AF67" i="5" s="1"/>
  <c r="AY66" i="4"/>
  <c r="AV66" i="4"/>
  <c r="AU66" i="4"/>
  <c r="AB67" i="5" s="1"/>
  <c r="AQ66" i="4"/>
  <c r="Z67" i="5" s="1"/>
  <c r="AM66" i="4"/>
  <c r="X67" i="5" s="1"/>
  <c r="AI66" i="4"/>
  <c r="V67" i="5" s="1"/>
  <c r="AE66" i="4"/>
  <c r="T67" i="5" s="1"/>
  <c r="AB66" i="4"/>
  <c r="AA66" i="4"/>
  <c r="R67" i="5" s="1"/>
  <c r="W66" i="4"/>
  <c r="P67" i="5" s="1"/>
  <c r="T66" i="4"/>
  <c r="S66" i="4"/>
  <c r="N67" i="5" s="1"/>
  <c r="O66" i="4"/>
  <c r="L67" i="5" s="1"/>
  <c r="K66" i="4"/>
  <c r="J67" i="5" s="1"/>
  <c r="H66" i="4"/>
  <c r="G66" i="4"/>
  <c r="F66" i="4"/>
  <c r="E66" i="4"/>
  <c r="AZ66" i="4" s="1"/>
  <c r="D66" i="4"/>
  <c r="C66" i="4"/>
  <c r="B66" i="4"/>
  <c r="A66" i="4"/>
  <c r="BK65" i="4"/>
  <c r="AJ66" i="5" s="1"/>
  <c r="BH65" i="4"/>
  <c r="BG65" i="4"/>
  <c r="AH66" i="5" s="1"/>
  <c r="BC65" i="4"/>
  <c r="AF66" i="5" s="1"/>
  <c r="AY65" i="4"/>
  <c r="AD66" i="5" s="1"/>
  <c r="AU65" i="4"/>
  <c r="AQ65" i="4"/>
  <c r="Z66" i="5" s="1"/>
  <c r="AM65" i="4"/>
  <c r="X66" i="5" s="1"/>
  <c r="AI65" i="4"/>
  <c r="V66" i="5" s="1"/>
  <c r="AE65" i="4"/>
  <c r="T66" i="5" s="1"/>
  <c r="AA65" i="4"/>
  <c r="R66" i="5" s="1"/>
  <c r="W65" i="4"/>
  <c r="T65" i="4"/>
  <c r="S65" i="4"/>
  <c r="N66" i="5" s="1"/>
  <c r="O65" i="4"/>
  <c r="L66" i="5" s="1"/>
  <c r="K65" i="4"/>
  <c r="J66" i="5" s="1"/>
  <c r="H65" i="4"/>
  <c r="G65" i="4"/>
  <c r="AV65" i="4" s="1"/>
  <c r="F65" i="4"/>
  <c r="E65" i="4"/>
  <c r="D65" i="4"/>
  <c r="C65" i="4"/>
  <c r="B65" i="4"/>
  <c r="A65" i="4"/>
  <c r="BK64" i="4"/>
  <c r="AJ65" i="5" s="1"/>
  <c r="BG64" i="4"/>
  <c r="AH65" i="5" s="1"/>
  <c r="BC64" i="4"/>
  <c r="AF65" i="5" s="1"/>
  <c r="AZ64" i="4"/>
  <c r="AY64" i="4"/>
  <c r="AU64" i="4"/>
  <c r="AB65" i="5" s="1"/>
  <c r="AQ64" i="4"/>
  <c r="Z65" i="5" s="1"/>
  <c r="AN64" i="4"/>
  <c r="AM64" i="4"/>
  <c r="X65" i="5" s="1"/>
  <c r="AI64" i="4"/>
  <c r="V65" i="5" s="1"/>
  <c r="AE64" i="4"/>
  <c r="T65" i="5" s="1"/>
  <c r="AA64" i="4"/>
  <c r="R65" i="5" s="1"/>
  <c r="X64" i="4"/>
  <c r="W64" i="4"/>
  <c r="S64" i="4"/>
  <c r="N65" i="5" s="1"/>
  <c r="P64" i="4"/>
  <c r="O64" i="4"/>
  <c r="L65" i="5" s="1"/>
  <c r="K64" i="4"/>
  <c r="J65" i="5" s="1"/>
  <c r="H64" i="4"/>
  <c r="G64" i="4"/>
  <c r="F64" i="4"/>
  <c r="E64" i="4"/>
  <c r="AV64" i="4" s="1"/>
  <c r="D64" i="4"/>
  <c r="C64" i="4"/>
  <c r="B64" i="4"/>
  <c r="A64" i="4"/>
  <c r="BK63" i="4"/>
  <c r="AJ64" i="5" s="1"/>
  <c r="BG63" i="4"/>
  <c r="AH64" i="5" s="1"/>
  <c r="BC63" i="4"/>
  <c r="AF64" i="5" s="1"/>
  <c r="AY63" i="4"/>
  <c r="AD64" i="5" s="1"/>
  <c r="AU63" i="4"/>
  <c r="AB64" i="5" s="1"/>
  <c r="AQ63" i="4"/>
  <c r="Z64" i="5" s="1"/>
  <c r="AM63" i="4"/>
  <c r="X64" i="5" s="1"/>
  <c r="AI63" i="4"/>
  <c r="V64" i="5" s="1"/>
  <c r="AE63" i="4"/>
  <c r="T64" i="5" s="1"/>
  <c r="AB63" i="4"/>
  <c r="AA63" i="4"/>
  <c r="R64" i="5" s="1"/>
  <c r="W63" i="4"/>
  <c r="P64" i="5" s="1"/>
  <c r="S63" i="4"/>
  <c r="N64" i="5" s="1"/>
  <c r="O63" i="4"/>
  <c r="L64" i="5" s="1"/>
  <c r="K63" i="4"/>
  <c r="J64" i="5" s="1"/>
  <c r="H63" i="4"/>
  <c r="G63" i="4"/>
  <c r="F63" i="4"/>
  <c r="E63" i="4"/>
  <c r="D63" i="4"/>
  <c r="C63" i="4"/>
  <c r="B63" i="4"/>
  <c r="A63" i="4"/>
  <c r="BK62" i="4"/>
  <c r="AJ63" i="5" s="1"/>
  <c r="BG62" i="4"/>
  <c r="AH63" i="5" s="1"/>
  <c r="BC62" i="4"/>
  <c r="AF63" i="5" s="1"/>
  <c r="AY62" i="4"/>
  <c r="AD63" i="5" s="1"/>
  <c r="AV62" i="4"/>
  <c r="AU62" i="4"/>
  <c r="AQ62" i="4"/>
  <c r="Z63" i="5" s="1"/>
  <c r="AM62" i="4"/>
  <c r="X63" i="5" s="1"/>
  <c r="AI62" i="4"/>
  <c r="V63" i="5" s="1"/>
  <c r="AE62" i="4"/>
  <c r="T63" i="5" s="1"/>
  <c r="AA62" i="4"/>
  <c r="R63" i="5" s="1"/>
  <c r="X62" i="4"/>
  <c r="W62" i="4"/>
  <c r="P63" i="5" s="1"/>
  <c r="T62" i="4"/>
  <c r="S62" i="4"/>
  <c r="N63" i="5" s="1"/>
  <c r="O62" i="4"/>
  <c r="L63" i="5" s="1"/>
  <c r="K62" i="4"/>
  <c r="J63" i="5" s="1"/>
  <c r="H62" i="4"/>
  <c r="G62" i="4"/>
  <c r="AN62" i="4" s="1"/>
  <c r="F62" i="4"/>
  <c r="E62" i="4"/>
  <c r="D62" i="4"/>
  <c r="C62" i="4"/>
  <c r="B62" i="4"/>
  <c r="A62" i="4"/>
  <c r="BK61" i="4"/>
  <c r="AJ62" i="5" s="1"/>
  <c r="BG61" i="4"/>
  <c r="AH62" i="5" s="1"/>
  <c r="BC61" i="4"/>
  <c r="AF62" i="5" s="1"/>
  <c r="AZ61" i="4"/>
  <c r="AY61" i="4"/>
  <c r="AD62" i="5" s="1"/>
  <c r="AU61" i="4"/>
  <c r="AB62" i="5" s="1"/>
  <c r="AR61" i="4"/>
  <c r="AQ61" i="4"/>
  <c r="Z62" i="5" s="1"/>
  <c r="AN61" i="4"/>
  <c r="AM61" i="4"/>
  <c r="X62" i="5" s="1"/>
  <c r="AI61" i="4"/>
  <c r="V62" i="5" s="1"/>
  <c r="AF61" i="4"/>
  <c r="AE61" i="4"/>
  <c r="T62" i="5" s="1"/>
  <c r="AB61" i="4"/>
  <c r="AA61" i="4"/>
  <c r="R62" i="5" s="1"/>
  <c r="W61" i="4"/>
  <c r="S61" i="4"/>
  <c r="N62" i="5" s="1"/>
  <c r="P61" i="4"/>
  <c r="O61" i="4"/>
  <c r="L62" i="5" s="1"/>
  <c r="K61" i="4"/>
  <c r="J62" i="5" s="1"/>
  <c r="H61" i="4"/>
  <c r="G61" i="4"/>
  <c r="F61" i="4"/>
  <c r="E61" i="4"/>
  <c r="AV61" i="4" s="1"/>
  <c r="D61" i="4"/>
  <c r="C61" i="4"/>
  <c r="B61" i="4"/>
  <c r="A61" i="4"/>
  <c r="BK60" i="4"/>
  <c r="AJ61" i="5" s="1"/>
  <c r="BG60" i="4"/>
  <c r="AH61" i="5" s="1"/>
  <c r="BC60" i="4"/>
  <c r="AF61" i="5" s="1"/>
  <c r="AY60" i="4"/>
  <c r="AD61" i="5" s="1"/>
  <c r="AU60" i="4"/>
  <c r="AB61" i="5" s="1"/>
  <c r="AQ60" i="4"/>
  <c r="Z61" i="5" s="1"/>
  <c r="AM60" i="4"/>
  <c r="X61" i="5" s="1"/>
  <c r="AI60" i="4"/>
  <c r="V61" i="5" s="1"/>
  <c r="AE60" i="4"/>
  <c r="T61" i="5" s="1"/>
  <c r="AA60" i="4"/>
  <c r="R61" i="5" s="1"/>
  <c r="W60" i="4"/>
  <c r="P61" i="5" s="1"/>
  <c r="S60" i="4"/>
  <c r="O60" i="4"/>
  <c r="L61" i="5" s="1"/>
  <c r="K60" i="4"/>
  <c r="J61" i="5" s="1"/>
  <c r="H60" i="4"/>
  <c r="G60" i="4"/>
  <c r="F60" i="4"/>
  <c r="E60" i="4"/>
  <c r="BL60" i="4" s="1"/>
  <c r="D60" i="4"/>
  <c r="C60" i="4"/>
  <c r="B60" i="4"/>
  <c r="A60" i="4"/>
  <c r="BK59" i="4"/>
  <c r="AJ60" i="5" s="1"/>
  <c r="BG59" i="4"/>
  <c r="AH60" i="5" s="1"/>
  <c r="BC59" i="4"/>
  <c r="AF60" i="5" s="1"/>
  <c r="AY59" i="4"/>
  <c r="AD60" i="5" s="1"/>
  <c r="AV59" i="4"/>
  <c r="AU59" i="4"/>
  <c r="AB60" i="5" s="1"/>
  <c r="AQ59" i="4"/>
  <c r="Z60" i="5" s="1"/>
  <c r="AM59" i="4"/>
  <c r="X60" i="5" s="1"/>
  <c r="AI59" i="4"/>
  <c r="V60" i="5" s="1"/>
  <c r="AE59" i="4"/>
  <c r="T60" i="5" s="1"/>
  <c r="AA59" i="4"/>
  <c r="R60" i="5" s="1"/>
  <c r="X59" i="4"/>
  <c r="W59" i="4"/>
  <c r="T59" i="4"/>
  <c r="S59" i="4"/>
  <c r="N60" i="5" s="1"/>
  <c r="O59" i="4"/>
  <c r="L60" i="5" s="1"/>
  <c r="K59" i="4"/>
  <c r="J60" i="5" s="1"/>
  <c r="H59" i="4"/>
  <c r="G59" i="4"/>
  <c r="AF59" i="4" s="1"/>
  <c r="F59" i="4"/>
  <c r="E59" i="4"/>
  <c r="D59" i="4"/>
  <c r="C59" i="4"/>
  <c r="B59" i="4"/>
  <c r="A59" i="4"/>
  <c r="BK58" i="4"/>
  <c r="AJ59" i="5" s="1"/>
  <c r="BG58" i="4"/>
  <c r="AH59" i="5" s="1"/>
  <c r="BC58" i="4"/>
  <c r="AF59" i="5" s="1"/>
  <c r="AZ58" i="4"/>
  <c r="AY58" i="4"/>
  <c r="AD59" i="5" s="1"/>
  <c r="AV58" i="4"/>
  <c r="AU58" i="4"/>
  <c r="AB59" i="5" s="1"/>
  <c r="AR58" i="4"/>
  <c r="AQ58" i="4"/>
  <c r="AN58" i="4"/>
  <c r="AM58" i="4"/>
  <c r="X59" i="5" s="1"/>
  <c r="AI58" i="4"/>
  <c r="V59" i="5" s="1"/>
  <c r="AE58" i="4"/>
  <c r="T59" i="5" s="1"/>
  <c r="AA58" i="4"/>
  <c r="R59" i="5" s="1"/>
  <c r="X58" i="4"/>
  <c r="W58" i="4"/>
  <c r="S58" i="4"/>
  <c r="N59" i="5" s="1"/>
  <c r="P58" i="4"/>
  <c r="O58" i="4"/>
  <c r="L59" i="5" s="1"/>
  <c r="K58" i="4"/>
  <c r="J59" i="5" s="1"/>
  <c r="H58" i="4"/>
  <c r="G58" i="4"/>
  <c r="F58" i="4"/>
  <c r="E58" i="4"/>
  <c r="T58" i="4" s="1"/>
  <c r="D58" i="4"/>
  <c r="C58" i="4"/>
  <c r="B58" i="4"/>
  <c r="A58" i="4"/>
  <c r="BK57" i="4"/>
  <c r="AJ58" i="5" s="1"/>
  <c r="BG57" i="4"/>
  <c r="AH58" i="5" s="1"/>
  <c r="BC57" i="4"/>
  <c r="AF58" i="5" s="1"/>
  <c r="AY57" i="4"/>
  <c r="AD58" i="5" s="1"/>
  <c r="AU57" i="4"/>
  <c r="AB58" i="5" s="1"/>
  <c r="AQ57" i="4"/>
  <c r="Z58" i="5" s="1"/>
  <c r="AM57" i="4"/>
  <c r="X58" i="5" s="1"/>
  <c r="AI57" i="4"/>
  <c r="V58" i="5" s="1"/>
  <c r="AE57" i="4"/>
  <c r="T58" i="5" s="1"/>
  <c r="AA57" i="4"/>
  <c r="R58" i="5" s="1"/>
  <c r="W57" i="4"/>
  <c r="P58" i="5" s="1"/>
  <c r="S57" i="4"/>
  <c r="N58" i="5" s="1"/>
  <c r="O57" i="4"/>
  <c r="L58" i="5" s="1"/>
  <c r="K57" i="4"/>
  <c r="J58" i="5" s="1"/>
  <c r="H57" i="4"/>
  <c r="G57" i="4"/>
  <c r="F57" i="4"/>
  <c r="E57" i="4"/>
  <c r="D57" i="4"/>
  <c r="C57" i="4"/>
  <c r="B57" i="4"/>
  <c r="A57" i="4"/>
  <c r="BK56" i="4"/>
  <c r="AJ57" i="5" s="1"/>
  <c r="BG56" i="4"/>
  <c r="AH57" i="5" s="1"/>
  <c r="BC56" i="4"/>
  <c r="AF57" i="5" s="1"/>
  <c r="AZ56" i="4"/>
  <c r="AY56" i="4"/>
  <c r="AD57" i="5" s="1"/>
  <c r="AV56" i="4"/>
  <c r="AU56" i="4"/>
  <c r="AQ56" i="4"/>
  <c r="Z57" i="5" s="1"/>
  <c r="AM56" i="4"/>
  <c r="X57" i="5" s="1"/>
  <c r="AI56" i="4"/>
  <c r="V57" i="5" s="1"/>
  <c r="AE56" i="4"/>
  <c r="T57" i="5" s="1"/>
  <c r="AA56" i="4"/>
  <c r="R57" i="5" s="1"/>
  <c r="X56" i="4"/>
  <c r="W56" i="4"/>
  <c r="P57" i="5" s="1"/>
  <c r="T56" i="4"/>
  <c r="S56" i="4"/>
  <c r="N57" i="5" s="1"/>
  <c r="O56" i="4"/>
  <c r="L57" i="5" s="1"/>
  <c r="K56" i="4"/>
  <c r="J57" i="5" s="1"/>
  <c r="H56" i="4"/>
  <c r="G56" i="4"/>
  <c r="AN56" i="4" s="1"/>
  <c r="F56" i="4"/>
  <c r="E56" i="4"/>
  <c r="D56" i="4"/>
  <c r="C56" i="4"/>
  <c r="B56" i="4"/>
  <c r="A56" i="4"/>
  <c r="BK55" i="4"/>
  <c r="AJ56" i="5" s="1"/>
  <c r="BG55" i="4"/>
  <c r="AH56" i="5" s="1"/>
  <c r="BD55" i="4"/>
  <c r="BC55" i="4"/>
  <c r="AF56" i="5" s="1"/>
  <c r="AZ55" i="4"/>
  <c r="AY55" i="4"/>
  <c r="AD56" i="5" s="1"/>
  <c r="AV55" i="4"/>
  <c r="AU55" i="4"/>
  <c r="AB56" i="5" s="1"/>
  <c r="AR55" i="4"/>
  <c r="AQ55" i="4"/>
  <c r="Z56" i="5" s="1"/>
  <c r="AN55" i="4"/>
  <c r="AM55" i="4"/>
  <c r="X56" i="5" s="1"/>
  <c r="AI55" i="4"/>
  <c r="V56" i="5" s="1"/>
  <c r="AE55" i="4"/>
  <c r="T56" i="5" s="1"/>
  <c r="AA55" i="4"/>
  <c r="R56" i="5" s="1"/>
  <c r="X55" i="4"/>
  <c r="W55" i="4"/>
  <c r="P56" i="5" s="1"/>
  <c r="S55" i="4"/>
  <c r="P55" i="4"/>
  <c r="O55" i="4"/>
  <c r="L56" i="5" s="1"/>
  <c r="K55" i="4"/>
  <c r="J56" i="5" s="1"/>
  <c r="H55" i="4"/>
  <c r="G55" i="4"/>
  <c r="F55" i="4"/>
  <c r="E55" i="4"/>
  <c r="T55" i="4" s="1"/>
  <c r="D55" i="4"/>
  <c r="C55" i="4"/>
  <c r="B55" i="4"/>
  <c r="A55" i="4"/>
  <c r="BK54" i="4"/>
  <c r="AJ55" i="5" s="1"/>
  <c r="BG54" i="4"/>
  <c r="AH55" i="5" s="1"/>
  <c r="BC54" i="4"/>
  <c r="AF55" i="5" s="1"/>
  <c r="AY54" i="4"/>
  <c r="AD55" i="5" s="1"/>
  <c r="AU54" i="4"/>
  <c r="AB55" i="5" s="1"/>
  <c r="AQ54" i="4"/>
  <c r="Z55" i="5" s="1"/>
  <c r="AM54" i="4"/>
  <c r="X55" i="5" s="1"/>
  <c r="AI54" i="4"/>
  <c r="V55" i="5" s="1"/>
  <c r="AE54" i="4"/>
  <c r="T55" i="5" s="1"/>
  <c r="AA54" i="4"/>
  <c r="R55" i="5" s="1"/>
  <c r="W54" i="4"/>
  <c r="S54" i="4"/>
  <c r="N55" i="5" s="1"/>
  <c r="O54" i="4"/>
  <c r="L55" i="5" s="1"/>
  <c r="K54" i="4"/>
  <c r="J55" i="5" s="1"/>
  <c r="H54" i="4"/>
  <c r="G54" i="4"/>
  <c r="F54" i="4"/>
  <c r="E54" i="4"/>
  <c r="D54" i="4"/>
  <c r="C54" i="4"/>
  <c r="B54" i="4"/>
  <c r="A54" i="4"/>
  <c r="BK53" i="4"/>
  <c r="AJ54" i="5" s="1"/>
  <c r="BG53" i="4"/>
  <c r="AH54" i="5" s="1"/>
  <c r="BC53" i="4"/>
  <c r="AF54" i="5" s="1"/>
  <c r="AZ53" i="4"/>
  <c r="AY53" i="4"/>
  <c r="AD54" i="5" s="1"/>
  <c r="AV53" i="4"/>
  <c r="AU53" i="4"/>
  <c r="AB54" i="5" s="1"/>
  <c r="AQ53" i="4"/>
  <c r="Z54" i="5" s="1"/>
  <c r="AM53" i="4"/>
  <c r="X54" i="5" s="1"/>
  <c r="AI53" i="4"/>
  <c r="V54" i="5" s="1"/>
  <c r="AE53" i="4"/>
  <c r="AA53" i="4"/>
  <c r="R54" i="5" s="1"/>
  <c r="W53" i="4"/>
  <c r="P54" i="5" s="1"/>
  <c r="T53" i="4"/>
  <c r="S53" i="4"/>
  <c r="N54" i="5" s="1"/>
  <c r="O53" i="4"/>
  <c r="L54" i="5" s="1"/>
  <c r="K53" i="4"/>
  <c r="J54" i="5" s="1"/>
  <c r="H53" i="4"/>
  <c r="G53" i="4"/>
  <c r="BL53" i="4" s="1"/>
  <c r="F53" i="4"/>
  <c r="E53" i="4"/>
  <c r="D53" i="4"/>
  <c r="C53" i="4"/>
  <c r="B53" i="4"/>
  <c r="A53" i="4"/>
  <c r="BK52" i="4"/>
  <c r="AJ53" i="5" s="1"/>
  <c r="BG52" i="4"/>
  <c r="AH53" i="5" s="1"/>
  <c r="BC52" i="4"/>
  <c r="AF53" i="5" s="1"/>
  <c r="AZ52" i="4"/>
  <c r="AY52" i="4"/>
  <c r="AD53" i="5" s="1"/>
  <c r="AU52" i="4"/>
  <c r="AQ52" i="4"/>
  <c r="Z53" i="5" s="1"/>
  <c r="AN52" i="4"/>
  <c r="AM52" i="4"/>
  <c r="X53" i="5" s="1"/>
  <c r="AI52" i="4"/>
  <c r="V53" i="5" s="1"/>
  <c r="AE52" i="4"/>
  <c r="T53" i="5" s="1"/>
  <c r="AA52" i="4"/>
  <c r="R53" i="5" s="1"/>
  <c r="X52" i="4"/>
  <c r="W52" i="4"/>
  <c r="S52" i="4"/>
  <c r="N53" i="5" s="1"/>
  <c r="P52" i="4"/>
  <c r="O52" i="4"/>
  <c r="L53" i="5" s="1"/>
  <c r="K52" i="4"/>
  <c r="J53" i="5" s="1"/>
  <c r="H52" i="4"/>
  <c r="G52" i="4"/>
  <c r="F52" i="4"/>
  <c r="E52" i="4"/>
  <c r="AV52" i="4" s="1"/>
  <c r="D52" i="4"/>
  <c r="C52" i="4"/>
  <c r="B52" i="4"/>
  <c r="A52" i="4"/>
  <c r="BK51" i="4"/>
  <c r="AJ52" i="5" s="1"/>
  <c r="BG51" i="4"/>
  <c r="AH52" i="5" s="1"/>
  <c r="BC51" i="4"/>
  <c r="AF52" i="5" s="1"/>
  <c r="AY51" i="4"/>
  <c r="AD52" i="5" s="1"/>
  <c r="AU51" i="4"/>
  <c r="AQ51" i="4"/>
  <c r="Z52" i="5" s="1"/>
  <c r="AM51" i="4"/>
  <c r="X52" i="5" s="1"/>
  <c r="AI51" i="4"/>
  <c r="V52" i="5" s="1"/>
  <c r="AE51" i="4"/>
  <c r="T52" i="5" s="1"/>
  <c r="AA51" i="4"/>
  <c r="W51" i="4"/>
  <c r="S51" i="4"/>
  <c r="N52" i="5" s="1"/>
  <c r="O51" i="4"/>
  <c r="L52" i="5" s="1"/>
  <c r="K51" i="4"/>
  <c r="J52" i="5" s="1"/>
  <c r="H51" i="4"/>
  <c r="G51" i="4"/>
  <c r="F51" i="4"/>
  <c r="E51" i="4"/>
  <c r="T51" i="4" s="1"/>
  <c r="D51" i="4"/>
  <c r="C51" i="4"/>
  <c r="B51" i="4"/>
  <c r="A51" i="4"/>
  <c r="BK50" i="4"/>
  <c r="AJ51" i="5" s="1"/>
  <c r="BG50" i="4"/>
  <c r="AH51" i="5" s="1"/>
  <c r="BC50" i="4"/>
  <c r="AF51" i="5" s="1"/>
  <c r="AY50" i="4"/>
  <c r="AD51" i="5" s="1"/>
  <c r="AV50" i="4"/>
  <c r="AU50" i="4"/>
  <c r="AB51" i="5" s="1"/>
  <c r="AQ50" i="4"/>
  <c r="AM50" i="4"/>
  <c r="X51" i="5" s="1"/>
  <c r="AI50" i="4"/>
  <c r="V51" i="5" s="1"/>
  <c r="AE50" i="4"/>
  <c r="T51" i="5" s="1"/>
  <c r="AA50" i="4"/>
  <c r="R51" i="5" s="1"/>
  <c r="X50" i="4"/>
  <c r="W50" i="4"/>
  <c r="P51" i="5" s="1"/>
  <c r="T50" i="4"/>
  <c r="S50" i="4"/>
  <c r="N51" i="5" s="1"/>
  <c r="O50" i="4"/>
  <c r="L51" i="5" s="1"/>
  <c r="K50" i="4"/>
  <c r="J51" i="5" s="1"/>
  <c r="H50" i="4"/>
  <c r="G50" i="4"/>
  <c r="AR50" i="4" s="1"/>
  <c r="F50" i="4"/>
  <c r="E50" i="4"/>
  <c r="D50" i="4"/>
  <c r="C50" i="4"/>
  <c r="B50" i="4"/>
  <c r="A50" i="4"/>
  <c r="BK49" i="4"/>
  <c r="AJ50" i="5" s="1"/>
  <c r="BG49" i="4"/>
  <c r="AH50" i="5" s="1"/>
  <c r="BC49" i="4"/>
  <c r="AF50" i="5" s="1"/>
  <c r="AZ49" i="4"/>
  <c r="AY49" i="4"/>
  <c r="AD50" i="5" s="1"/>
  <c r="AU49" i="4"/>
  <c r="AB50" i="5" s="1"/>
  <c r="AR49" i="4"/>
  <c r="AQ49" i="4"/>
  <c r="Z50" i="5" s="1"/>
  <c r="AN49" i="4"/>
  <c r="AM49" i="4"/>
  <c r="X50" i="5" s="1"/>
  <c r="AI49" i="4"/>
  <c r="V50" i="5" s="1"/>
  <c r="AF49" i="4"/>
  <c r="AE49" i="4"/>
  <c r="T50" i="5" s="1"/>
  <c r="AB49" i="4"/>
  <c r="AA49" i="4"/>
  <c r="R50" i="5" s="1"/>
  <c r="W49" i="4"/>
  <c r="P50" i="5" s="1"/>
  <c r="S49" i="4"/>
  <c r="N50" i="5" s="1"/>
  <c r="P49" i="4"/>
  <c r="O49" i="4"/>
  <c r="L50" i="5" s="1"/>
  <c r="K49" i="4"/>
  <c r="J50" i="5" s="1"/>
  <c r="H49" i="4"/>
  <c r="G49" i="4"/>
  <c r="F49" i="4"/>
  <c r="E49" i="4"/>
  <c r="AV49" i="4" s="1"/>
  <c r="D49" i="4"/>
  <c r="C49" i="4"/>
  <c r="B49" i="4"/>
  <c r="A49" i="4"/>
  <c r="BK48" i="4"/>
  <c r="AJ49" i="5" s="1"/>
  <c r="BG48" i="4"/>
  <c r="AH49" i="5" s="1"/>
  <c r="BC48" i="4"/>
  <c r="AF49" i="5" s="1"/>
  <c r="AY48" i="4"/>
  <c r="AD49" i="5" s="1"/>
  <c r="AU48" i="4"/>
  <c r="AB49" i="5" s="1"/>
  <c r="AQ48" i="4"/>
  <c r="Z49" i="5" s="1"/>
  <c r="AM48" i="4"/>
  <c r="X49" i="5" s="1"/>
  <c r="AI48" i="4"/>
  <c r="V49" i="5" s="1"/>
  <c r="AE48" i="4"/>
  <c r="T49" i="5" s="1"/>
  <c r="AB48" i="4"/>
  <c r="AA48" i="4"/>
  <c r="R49" i="5" s="1"/>
  <c r="W48" i="4"/>
  <c r="S48" i="4"/>
  <c r="O48" i="4"/>
  <c r="L49" i="5" s="1"/>
  <c r="K48" i="4"/>
  <c r="J49" i="5" s="1"/>
  <c r="H48" i="4"/>
  <c r="G48" i="4"/>
  <c r="F48" i="4"/>
  <c r="E48" i="4"/>
  <c r="AV48" i="4" s="1"/>
  <c r="D48" i="4"/>
  <c r="C48" i="4"/>
  <c r="B48" i="4"/>
  <c r="A48" i="4"/>
  <c r="BK47" i="4"/>
  <c r="AJ48" i="5" s="1"/>
  <c r="BG47" i="4"/>
  <c r="AH48" i="5" s="1"/>
  <c r="BC47" i="4"/>
  <c r="AF48" i="5" s="1"/>
  <c r="AY47" i="4"/>
  <c r="AD48" i="5" s="1"/>
  <c r="AV47" i="4"/>
  <c r="AU47" i="4"/>
  <c r="AB48" i="5" s="1"/>
  <c r="AQ47" i="4"/>
  <c r="Z48" i="5" s="1"/>
  <c r="AM47" i="4"/>
  <c r="X48" i="5" s="1"/>
  <c r="AI47" i="4"/>
  <c r="V48" i="5" s="1"/>
  <c r="AF47" i="4"/>
  <c r="AE47" i="4"/>
  <c r="T48" i="5" s="1"/>
  <c r="AA47" i="4"/>
  <c r="R48" i="5" s="1"/>
  <c r="X47" i="4"/>
  <c r="W47" i="4"/>
  <c r="P48" i="5" s="1"/>
  <c r="T47" i="4"/>
  <c r="S47" i="4"/>
  <c r="O47" i="4"/>
  <c r="L48" i="5" s="1"/>
  <c r="K47" i="4"/>
  <c r="J48" i="5" s="1"/>
  <c r="H47" i="4"/>
  <c r="G47" i="4"/>
  <c r="AR47" i="4" s="1"/>
  <c r="F47" i="4"/>
  <c r="E47" i="4"/>
  <c r="D47" i="4"/>
  <c r="C47" i="4"/>
  <c r="B47" i="4"/>
  <c r="A47" i="4"/>
  <c r="BK46" i="4"/>
  <c r="AJ47" i="5" s="1"/>
  <c r="BG46" i="4"/>
  <c r="AH47" i="5" s="1"/>
  <c r="BC46" i="4"/>
  <c r="AF47" i="5" s="1"/>
  <c r="AZ46" i="4"/>
  <c r="AY46" i="4"/>
  <c r="AD47" i="5" s="1"/>
  <c r="AV46" i="4"/>
  <c r="AU46" i="4"/>
  <c r="AR46" i="4"/>
  <c r="AQ46" i="4"/>
  <c r="Z47" i="5" s="1"/>
  <c r="AN46" i="4"/>
  <c r="AM46" i="4"/>
  <c r="X47" i="5" s="1"/>
  <c r="AI46" i="4"/>
  <c r="V47" i="5" s="1"/>
  <c r="AE46" i="4"/>
  <c r="T47" i="5" s="1"/>
  <c r="AA46" i="4"/>
  <c r="R47" i="5" s="1"/>
  <c r="X46" i="4"/>
  <c r="W46" i="4"/>
  <c r="P47" i="5" s="1"/>
  <c r="S46" i="4"/>
  <c r="N47" i="5" s="1"/>
  <c r="P46" i="4"/>
  <c r="O46" i="4"/>
  <c r="L47" i="5" s="1"/>
  <c r="K46" i="4"/>
  <c r="J47" i="5" s="1"/>
  <c r="H46" i="4"/>
  <c r="G46" i="4"/>
  <c r="F46" i="4"/>
  <c r="E46" i="4"/>
  <c r="T46" i="4" s="1"/>
  <c r="D46" i="4"/>
  <c r="C46" i="4"/>
  <c r="B46" i="4"/>
  <c r="A46" i="4"/>
  <c r="BK45" i="4"/>
  <c r="AJ46" i="5" s="1"/>
  <c r="BG45" i="4"/>
  <c r="AH46" i="5" s="1"/>
  <c r="BC45" i="4"/>
  <c r="AF46" i="5" s="1"/>
  <c r="AY45" i="4"/>
  <c r="AD46" i="5" s="1"/>
  <c r="AU45" i="4"/>
  <c r="AB46" i="5" s="1"/>
  <c r="AQ45" i="4"/>
  <c r="Z46" i="5" s="1"/>
  <c r="AM45" i="4"/>
  <c r="X46" i="5" s="1"/>
  <c r="AI45" i="4"/>
  <c r="V46" i="5" s="1"/>
  <c r="AE45" i="4"/>
  <c r="T46" i="5" s="1"/>
  <c r="AA45" i="4"/>
  <c r="R46" i="5" s="1"/>
  <c r="W45" i="4"/>
  <c r="P46" i="5" s="1"/>
  <c r="S45" i="4"/>
  <c r="N46" i="5" s="1"/>
  <c r="O45" i="4"/>
  <c r="L46" i="5" s="1"/>
  <c r="K45" i="4"/>
  <c r="J46" i="5" s="1"/>
  <c r="H45" i="4"/>
  <c r="G45" i="4"/>
  <c r="F45" i="4"/>
  <c r="E45" i="4"/>
  <c r="AN45" i="4" s="1"/>
  <c r="D45" i="4"/>
  <c r="C45" i="4"/>
  <c r="B45" i="4"/>
  <c r="A45" i="4"/>
  <c r="BK44" i="4"/>
  <c r="AJ45" i="5" s="1"/>
  <c r="BG44" i="4"/>
  <c r="AH45" i="5" s="1"/>
  <c r="BC44" i="4"/>
  <c r="AF45" i="5" s="1"/>
  <c r="AZ44" i="4"/>
  <c r="AY44" i="4"/>
  <c r="AD45" i="5" s="1"/>
  <c r="AV44" i="4"/>
  <c r="AU44" i="4"/>
  <c r="AQ44" i="4"/>
  <c r="Z45" i="5" s="1"/>
  <c r="AM44" i="4"/>
  <c r="X45" i="5" s="1"/>
  <c r="AI44" i="4"/>
  <c r="V45" i="5" s="1"/>
  <c r="AE44" i="4"/>
  <c r="T45" i="5" s="1"/>
  <c r="AA44" i="4"/>
  <c r="R45" i="5" s="1"/>
  <c r="X44" i="4"/>
  <c r="W44" i="4"/>
  <c r="P45" i="5" s="1"/>
  <c r="T44" i="4"/>
  <c r="S44" i="4"/>
  <c r="O44" i="4"/>
  <c r="K44" i="4"/>
  <c r="J45" i="5" s="1"/>
  <c r="H44" i="4"/>
  <c r="G44" i="4"/>
  <c r="AN44" i="4" s="1"/>
  <c r="F44" i="4"/>
  <c r="E44" i="4"/>
  <c r="D44" i="4"/>
  <c r="C44" i="4"/>
  <c r="B44" i="4"/>
  <c r="A44" i="4"/>
  <c r="BK43" i="4"/>
  <c r="AJ44" i="5" s="1"/>
  <c r="BG43" i="4"/>
  <c r="AH44" i="5" s="1"/>
  <c r="BD43" i="4"/>
  <c r="BC43" i="4"/>
  <c r="AF44" i="5" s="1"/>
  <c r="AZ43" i="4"/>
  <c r="AY43" i="4"/>
  <c r="AD44" i="5" s="1"/>
  <c r="AV43" i="4"/>
  <c r="AU43" i="4"/>
  <c r="AB44" i="5" s="1"/>
  <c r="AR43" i="4"/>
  <c r="AQ43" i="4"/>
  <c r="Z44" i="5" s="1"/>
  <c r="AN43" i="4"/>
  <c r="AM43" i="4"/>
  <c r="X44" i="5" s="1"/>
  <c r="AI43" i="4"/>
  <c r="V44" i="5" s="1"/>
  <c r="AE43" i="4"/>
  <c r="T44" i="5" s="1"/>
  <c r="AA43" i="4"/>
  <c r="R44" i="5" s="1"/>
  <c r="X43" i="4"/>
  <c r="W43" i="4"/>
  <c r="P44" i="5" s="1"/>
  <c r="S43" i="4"/>
  <c r="N44" i="5" s="1"/>
  <c r="P43" i="4"/>
  <c r="O43" i="4"/>
  <c r="L44" i="5" s="1"/>
  <c r="K43" i="4"/>
  <c r="J44" i="5" s="1"/>
  <c r="H43" i="4"/>
  <c r="G43" i="4"/>
  <c r="F43" i="4"/>
  <c r="E43" i="4"/>
  <c r="T43" i="4" s="1"/>
  <c r="D43" i="4"/>
  <c r="C43" i="4"/>
  <c r="B43" i="4"/>
  <c r="A43" i="4"/>
  <c r="BK42" i="4"/>
  <c r="AJ43" i="5" s="1"/>
  <c r="BG42" i="4"/>
  <c r="AH43" i="5" s="1"/>
  <c r="BC42" i="4"/>
  <c r="AF43" i="5" s="1"/>
  <c r="AY42" i="4"/>
  <c r="AD43" i="5" s="1"/>
  <c r="AU42" i="4"/>
  <c r="AQ42" i="4"/>
  <c r="Z43" i="5" s="1"/>
  <c r="AM42" i="4"/>
  <c r="X43" i="5" s="1"/>
  <c r="AI42" i="4"/>
  <c r="V43" i="5" s="1"/>
  <c r="AE42" i="4"/>
  <c r="T43" i="5" s="1"/>
  <c r="AB42" i="4"/>
  <c r="AA42" i="4"/>
  <c r="R43" i="5" s="1"/>
  <c r="W42" i="4"/>
  <c r="S42" i="4"/>
  <c r="N43" i="5" s="1"/>
  <c r="O42" i="4"/>
  <c r="L43" i="5" s="1"/>
  <c r="K42" i="4"/>
  <c r="J43" i="5" s="1"/>
  <c r="H42" i="4"/>
  <c r="G42" i="4"/>
  <c r="AV42" i="4" s="1"/>
  <c r="F42" i="4"/>
  <c r="E42" i="4"/>
  <c r="X42" i="4" s="1"/>
  <c r="D42" i="4"/>
  <c r="C42" i="4"/>
  <c r="B42" i="4"/>
  <c r="A42" i="4"/>
  <c r="BK41" i="4"/>
  <c r="AJ42" i="5" s="1"/>
  <c r="BG41" i="4"/>
  <c r="AH42" i="5" s="1"/>
  <c r="BC41" i="4"/>
  <c r="AF42" i="5" s="1"/>
  <c r="AY41" i="4"/>
  <c r="AD42" i="5" s="1"/>
  <c r="AU41" i="4"/>
  <c r="AB42" i="5" s="1"/>
  <c r="AQ41" i="4"/>
  <c r="Z42" i="5" s="1"/>
  <c r="AM41" i="4"/>
  <c r="X42" i="5" s="1"/>
  <c r="AI41" i="4"/>
  <c r="V42" i="5" s="1"/>
  <c r="AE41" i="4"/>
  <c r="T42" i="5" s="1"/>
  <c r="AA41" i="4"/>
  <c r="R42" i="5" s="1"/>
  <c r="X41" i="4"/>
  <c r="W41" i="4"/>
  <c r="S41" i="4"/>
  <c r="O41" i="4"/>
  <c r="L42" i="5" s="1"/>
  <c r="K41" i="4"/>
  <c r="J42" i="5" s="1"/>
  <c r="H41" i="4"/>
  <c r="G41" i="4"/>
  <c r="F41" i="4"/>
  <c r="E41" i="4"/>
  <c r="AJ41" i="4" s="1"/>
  <c r="D41" i="4"/>
  <c r="C41" i="4"/>
  <c r="B41" i="4"/>
  <c r="A41" i="4"/>
  <c r="BK40" i="4"/>
  <c r="AJ41" i="5" s="1"/>
  <c r="BH40" i="4"/>
  <c r="BG40" i="4"/>
  <c r="AH41" i="5" s="1"/>
  <c r="BC40" i="4"/>
  <c r="AF41" i="5" s="1"/>
  <c r="AY40" i="4"/>
  <c r="AD41" i="5" s="1"/>
  <c r="AV40" i="4"/>
  <c r="AU40" i="4"/>
  <c r="AB41" i="5" s="1"/>
  <c r="AQ40" i="4"/>
  <c r="Z41" i="5" s="1"/>
  <c r="AM40" i="4"/>
  <c r="X41" i="5" s="1"/>
  <c r="AJ40" i="4"/>
  <c r="AI40" i="4"/>
  <c r="V41" i="5" s="1"/>
  <c r="AE40" i="4"/>
  <c r="T41" i="5" s="1"/>
  <c r="AA40" i="4"/>
  <c r="R41" i="5" s="1"/>
  <c r="X40" i="4"/>
  <c r="W40" i="4"/>
  <c r="P41" i="5" s="1"/>
  <c r="T40" i="4"/>
  <c r="S40" i="4"/>
  <c r="N41" i="5" s="1"/>
  <c r="O40" i="4"/>
  <c r="L41" i="5" s="1"/>
  <c r="K40" i="4"/>
  <c r="J41" i="5" s="1"/>
  <c r="H40" i="4"/>
  <c r="G40" i="4"/>
  <c r="F40" i="4"/>
  <c r="E40" i="4"/>
  <c r="D40" i="4"/>
  <c r="C40" i="4"/>
  <c r="B40" i="4"/>
  <c r="A40" i="4"/>
  <c r="BK39" i="4"/>
  <c r="AJ40" i="5" s="1"/>
  <c r="BG39" i="4"/>
  <c r="AH40" i="5" s="1"/>
  <c r="BC39" i="4"/>
  <c r="AF40" i="5" s="1"/>
  <c r="AY39" i="4"/>
  <c r="AD40" i="5" s="1"/>
  <c r="AU39" i="4"/>
  <c r="AB40" i="5" s="1"/>
  <c r="AR39" i="4"/>
  <c r="AQ39" i="4"/>
  <c r="Z40" i="5" s="1"/>
  <c r="AM39" i="4"/>
  <c r="X40" i="5" s="1"/>
  <c r="AI39" i="4"/>
  <c r="V40" i="5" s="1"/>
  <c r="AE39" i="4"/>
  <c r="T40" i="5" s="1"/>
  <c r="AB39" i="4"/>
  <c r="AA39" i="4"/>
  <c r="R40" i="5" s="1"/>
  <c r="W39" i="4"/>
  <c r="T39" i="4"/>
  <c r="S39" i="4"/>
  <c r="N40" i="5" s="1"/>
  <c r="P39" i="4"/>
  <c r="O39" i="4"/>
  <c r="L40" i="5" s="1"/>
  <c r="K39" i="4"/>
  <c r="J40" i="5" s="1"/>
  <c r="H39" i="4"/>
  <c r="G39" i="4"/>
  <c r="AJ39" i="4" s="1"/>
  <c r="F39" i="4"/>
  <c r="E39" i="4"/>
  <c r="X39" i="4" s="1"/>
  <c r="D39" i="4"/>
  <c r="C39" i="4"/>
  <c r="B39" i="4"/>
  <c r="A39" i="4"/>
  <c r="BL38" i="4"/>
  <c r="BK38" i="4"/>
  <c r="AJ39" i="5" s="1"/>
  <c r="BG38" i="4"/>
  <c r="AH39" i="5" s="1"/>
  <c r="BC38" i="4"/>
  <c r="AF39" i="5" s="1"/>
  <c r="AZ38" i="4"/>
  <c r="AY38" i="4"/>
  <c r="AD39" i="5" s="1"/>
  <c r="AU38" i="4"/>
  <c r="AB39" i="5" s="1"/>
  <c r="AQ38" i="4"/>
  <c r="Z39" i="5" s="1"/>
  <c r="AN38" i="4"/>
  <c r="AM38" i="4"/>
  <c r="X39" i="5" s="1"/>
  <c r="AI38" i="4"/>
  <c r="V39" i="5" s="1"/>
  <c r="AE38" i="4"/>
  <c r="T39" i="5" s="1"/>
  <c r="AA38" i="4"/>
  <c r="R39" i="5" s="1"/>
  <c r="X38" i="4"/>
  <c r="W38" i="4"/>
  <c r="P39" i="5" s="1"/>
  <c r="S38" i="4"/>
  <c r="N39" i="5" s="1"/>
  <c r="P38" i="4"/>
  <c r="O38" i="4"/>
  <c r="L39" i="5" s="1"/>
  <c r="L38" i="4"/>
  <c r="K38" i="4"/>
  <c r="J39" i="5" s="1"/>
  <c r="H38" i="4"/>
  <c r="G38" i="4"/>
  <c r="F38" i="4"/>
  <c r="E38" i="4"/>
  <c r="AB38" i="4" s="1"/>
  <c r="D38" i="4"/>
  <c r="C38" i="4"/>
  <c r="B38" i="4"/>
  <c r="A38" i="4"/>
  <c r="BL37" i="4"/>
  <c r="BK37" i="4"/>
  <c r="AJ38" i="5" s="1"/>
  <c r="BH37" i="4"/>
  <c r="BG37" i="4"/>
  <c r="AH38" i="5" s="1"/>
  <c r="BC37" i="4"/>
  <c r="AF38" i="5" s="1"/>
  <c r="AY37" i="4"/>
  <c r="AD38" i="5" s="1"/>
  <c r="AV37" i="4"/>
  <c r="AU37" i="4"/>
  <c r="AQ37" i="4"/>
  <c r="Z38" i="5" s="1"/>
  <c r="AN37" i="4"/>
  <c r="AM37" i="4"/>
  <c r="X38" i="5" s="1"/>
  <c r="AJ37" i="4"/>
  <c r="AI37" i="4"/>
  <c r="V38" i="5" s="1"/>
  <c r="AE37" i="4"/>
  <c r="T38" i="5" s="1"/>
  <c r="AA37" i="4"/>
  <c r="R38" i="5" s="1"/>
  <c r="W37" i="4"/>
  <c r="P38" i="5" s="1"/>
  <c r="T37" i="4"/>
  <c r="S37" i="4"/>
  <c r="N38" i="5" s="1"/>
  <c r="O37" i="4"/>
  <c r="L38" i="5" s="1"/>
  <c r="L37" i="4"/>
  <c r="K37" i="4"/>
  <c r="J38" i="5" s="1"/>
  <c r="H37" i="4"/>
  <c r="G37" i="4"/>
  <c r="F37" i="4"/>
  <c r="E37" i="4"/>
  <c r="AB37" i="4" s="1"/>
  <c r="D37" i="4"/>
  <c r="C37" i="4"/>
  <c r="B37" i="4"/>
  <c r="A37" i="4"/>
  <c r="BK36" i="4"/>
  <c r="AJ37" i="5" s="1"/>
  <c r="BG36" i="4"/>
  <c r="AH37" i="5" s="1"/>
  <c r="BC36" i="4"/>
  <c r="AF37" i="5" s="1"/>
  <c r="AY36" i="4"/>
  <c r="AD37" i="5" s="1"/>
  <c r="AU36" i="4"/>
  <c r="AB37" i="5" s="1"/>
  <c r="AQ36" i="4"/>
  <c r="Z37" i="5" s="1"/>
  <c r="AM36" i="4"/>
  <c r="X37" i="5" s="1"/>
  <c r="AI36" i="4"/>
  <c r="V37" i="5" s="1"/>
  <c r="AE36" i="4"/>
  <c r="T37" i="5" s="1"/>
  <c r="AB36" i="4"/>
  <c r="AA36" i="4"/>
  <c r="R37" i="5" s="1"/>
  <c r="W36" i="4"/>
  <c r="P37" i="5" s="1"/>
  <c r="S36" i="4"/>
  <c r="N37" i="5" s="1"/>
  <c r="O36" i="4"/>
  <c r="L37" i="5" s="1"/>
  <c r="K36" i="4"/>
  <c r="J37" i="5" s="1"/>
  <c r="H36" i="4"/>
  <c r="G36" i="4"/>
  <c r="AV36" i="4" s="1"/>
  <c r="F36" i="4"/>
  <c r="E36" i="4"/>
  <c r="X36" i="4" s="1"/>
  <c r="D36" i="4"/>
  <c r="C36" i="4"/>
  <c r="B36" i="4"/>
  <c r="A36" i="4"/>
  <c r="BK35" i="4"/>
  <c r="AJ36" i="5" s="1"/>
  <c r="BG35" i="4"/>
  <c r="AH36" i="5" s="1"/>
  <c r="BC35" i="4"/>
  <c r="AF36" i="5" s="1"/>
  <c r="AY35" i="4"/>
  <c r="AD36" i="5" s="1"/>
  <c r="AU35" i="4"/>
  <c r="AB36" i="5" s="1"/>
  <c r="AQ35" i="4"/>
  <c r="AM35" i="4"/>
  <c r="X36" i="5" s="1"/>
  <c r="AI35" i="4"/>
  <c r="V36" i="5" s="1"/>
  <c r="AE35" i="4"/>
  <c r="T36" i="5" s="1"/>
  <c r="AA35" i="4"/>
  <c r="R36" i="5" s="1"/>
  <c r="X35" i="4"/>
  <c r="W35" i="4"/>
  <c r="S35" i="4"/>
  <c r="N36" i="5" s="1"/>
  <c r="O35" i="4"/>
  <c r="L36" i="5" s="1"/>
  <c r="K35" i="4"/>
  <c r="J36" i="5" s="1"/>
  <c r="H35" i="4"/>
  <c r="G35" i="4"/>
  <c r="F35" i="4"/>
  <c r="E35" i="4"/>
  <c r="BH35" i="4" s="1"/>
  <c r="D35" i="4"/>
  <c r="C35" i="4"/>
  <c r="B35" i="4"/>
  <c r="A35" i="4"/>
  <c r="BK34" i="4"/>
  <c r="AJ35" i="5" s="1"/>
  <c r="BH34" i="4"/>
  <c r="BG34" i="4"/>
  <c r="AH35" i="5" s="1"/>
  <c r="BC34" i="4"/>
  <c r="AY34" i="4"/>
  <c r="AD35" i="5" s="1"/>
  <c r="AV34" i="4"/>
  <c r="AU34" i="4"/>
  <c r="AB35" i="5" s="1"/>
  <c r="AQ34" i="4"/>
  <c r="Z35" i="5" s="1"/>
  <c r="AM34" i="4"/>
  <c r="X35" i="5" s="1"/>
  <c r="AJ34" i="4"/>
  <c r="AI34" i="4"/>
  <c r="V35" i="5" s="1"/>
  <c r="AE34" i="4"/>
  <c r="T35" i="5" s="1"/>
  <c r="AA34" i="4"/>
  <c r="R35" i="5" s="1"/>
  <c r="X34" i="4"/>
  <c r="W34" i="4"/>
  <c r="T34" i="4"/>
  <c r="S34" i="4"/>
  <c r="N35" i="5" s="1"/>
  <c r="O34" i="4"/>
  <c r="L35" i="5" s="1"/>
  <c r="K34" i="4"/>
  <c r="J35" i="5" s="1"/>
  <c r="H34" i="4"/>
  <c r="G34" i="4"/>
  <c r="F34" i="4"/>
  <c r="E34" i="4"/>
  <c r="AB34" i="4" s="1"/>
  <c r="D34" i="4"/>
  <c r="C34" i="4"/>
  <c r="B34" i="4"/>
  <c r="A34" i="4"/>
  <c r="BK33" i="4"/>
  <c r="AJ34" i="5" s="1"/>
  <c r="BG33" i="4"/>
  <c r="AH34" i="5" s="1"/>
  <c r="BC33" i="4"/>
  <c r="AF34" i="5" s="1"/>
  <c r="AY33" i="4"/>
  <c r="AD34" i="5" s="1"/>
  <c r="AU33" i="4"/>
  <c r="AR33" i="4"/>
  <c r="AQ33" i="4"/>
  <c r="Z34" i="5" s="1"/>
  <c r="AM33" i="4"/>
  <c r="X34" i="5" s="1"/>
  <c r="AI33" i="4"/>
  <c r="V34" i="5" s="1"/>
  <c r="AE33" i="4"/>
  <c r="T34" i="5" s="1"/>
  <c r="AB33" i="4"/>
  <c r="AA33" i="4"/>
  <c r="R34" i="5" s="1"/>
  <c r="W33" i="4"/>
  <c r="P34" i="5" s="1"/>
  <c r="T33" i="4"/>
  <c r="S33" i="4"/>
  <c r="N34" i="5" s="1"/>
  <c r="P33" i="4"/>
  <c r="O33" i="4"/>
  <c r="L34" i="5" s="1"/>
  <c r="K33" i="4"/>
  <c r="J34" i="5" s="1"/>
  <c r="H33" i="4"/>
  <c r="G33" i="4"/>
  <c r="AJ33" i="4" s="1"/>
  <c r="F33" i="4"/>
  <c r="E33" i="4"/>
  <c r="X33" i="4" s="1"/>
  <c r="D33" i="4"/>
  <c r="C33" i="4"/>
  <c r="B33" i="4"/>
  <c r="A33" i="4"/>
  <c r="BL32" i="4"/>
  <c r="BK32" i="4"/>
  <c r="AJ33" i="5" s="1"/>
  <c r="BG32" i="4"/>
  <c r="AH33" i="5" s="1"/>
  <c r="BC32" i="4"/>
  <c r="AF33" i="5" s="1"/>
  <c r="AY32" i="4"/>
  <c r="AD33" i="5" s="1"/>
  <c r="AU32" i="4"/>
  <c r="AB33" i="5" s="1"/>
  <c r="AQ32" i="4"/>
  <c r="Z33" i="5" s="1"/>
  <c r="AN32" i="4"/>
  <c r="AM32" i="4"/>
  <c r="X33" i="5" s="1"/>
  <c r="AI32" i="4"/>
  <c r="V33" i="5" s="1"/>
  <c r="AE32" i="4"/>
  <c r="T33" i="5" s="1"/>
  <c r="AA32" i="4"/>
  <c r="R33" i="5" s="1"/>
  <c r="X32" i="4"/>
  <c r="W32" i="4"/>
  <c r="P33" i="5" s="1"/>
  <c r="S32" i="4"/>
  <c r="N33" i="5" s="1"/>
  <c r="P32" i="4"/>
  <c r="O32" i="4"/>
  <c r="L33" i="5" s="1"/>
  <c r="L32" i="4"/>
  <c r="K32" i="4"/>
  <c r="J33" i="5" s="1"/>
  <c r="H32" i="4"/>
  <c r="G32" i="4"/>
  <c r="F32" i="4"/>
  <c r="E32" i="4"/>
  <c r="AV32" i="4" s="1"/>
  <c r="D32" i="4"/>
  <c r="C32" i="4"/>
  <c r="B32" i="4"/>
  <c r="A32" i="4"/>
  <c r="BL31" i="4"/>
  <c r="BK31" i="4"/>
  <c r="BH31" i="4"/>
  <c r="BG31" i="4"/>
  <c r="AH32" i="5" s="1"/>
  <c r="BC31" i="4"/>
  <c r="AF32" i="5" s="1"/>
  <c r="AY31" i="4"/>
  <c r="AD32" i="5" s="1"/>
  <c r="AV31" i="4"/>
  <c r="AU31" i="4"/>
  <c r="AB32" i="5" s="1"/>
  <c r="AQ31" i="4"/>
  <c r="Z32" i="5" s="1"/>
  <c r="AN31" i="4"/>
  <c r="AM31" i="4"/>
  <c r="X32" i="5" s="1"/>
  <c r="AJ31" i="4"/>
  <c r="AI31" i="4"/>
  <c r="V32" i="5" s="1"/>
  <c r="AE31" i="4"/>
  <c r="T32" i="5" s="1"/>
  <c r="AA31" i="4"/>
  <c r="R32" i="5" s="1"/>
  <c r="W31" i="4"/>
  <c r="P32" i="5" s="1"/>
  <c r="T31" i="4"/>
  <c r="S31" i="4"/>
  <c r="N32" i="5" s="1"/>
  <c r="O31" i="4"/>
  <c r="L32" i="5" s="1"/>
  <c r="L31" i="4"/>
  <c r="K31" i="4"/>
  <c r="J32" i="5" s="1"/>
  <c r="H31" i="4"/>
  <c r="G31" i="4"/>
  <c r="F31" i="4"/>
  <c r="E31" i="4"/>
  <c r="AB31" i="4" s="1"/>
  <c r="D31" i="4"/>
  <c r="C31" i="4"/>
  <c r="B31" i="4"/>
  <c r="A31" i="4"/>
  <c r="BK30" i="4"/>
  <c r="AJ31" i="5" s="1"/>
  <c r="BG30" i="4"/>
  <c r="AH31" i="5" s="1"/>
  <c r="BC30" i="4"/>
  <c r="AF31" i="5" s="1"/>
  <c r="AY30" i="4"/>
  <c r="AD31" i="5" s="1"/>
  <c r="AU30" i="4"/>
  <c r="AB31" i="5" s="1"/>
  <c r="AQ30" i="4"/>
  <c r="Z31" i="5" s="1"/>
  <c r="AM30" i="4"/>
  <c r="X31" i="5" s="1"/>
  <c r="AI30" i="4"/>
  <c r="V31" i="5" s="1"/>
  <c r="AE30" i="4"/>
  <c r="T31" i="5" s="1"/>
  <c r="AB30" i="4"/>
  <c r="AA30" i="4"/>
  <c r="R31" i="5" s="1"/>
  <c r="W30" i="4"/>
  <c r="P31" i="5" s="1"/>
  <c r="S30" i="4"/>
  <c r="O30" i="4"/>
  <c r="L31" i="5" s="1"/>
  <c r="K30" i="4"/>
  <c r="J31" i="5" s="1"/>
  <c r="H30" i="4"/>
  <c r="G30" i="4"/>
  <c r="AV30" i="4" s="1"/>
  <c r="F30" i="4"/>
  <c r="E30" i="4"/>
  <c r="X30" i="4" s="1"/>
  <c r="D30" i="4"/>
  <c r="C30" i="4"/>
  <c r="B30" i="4"/>
  <c r="A30" i="4"/>
  <c r="BK29" i="4"/>
  <c r="AJ30" i="5" s="1"/>
  <c r="BG29" i="4"/>
  <c r="AH30" i="5" s="1"/>
  <c r="BC29" i="4"/>
  <c r="AF30" i="5" s="1"/>
  <c r="AZ29" i="4"/>
  <c r="AY29" i="4"/>
  <c r="AD30" i="5" s="1"/>
  <c r="AU29" i="4"/>
  <c r="AB30" i="5" s="1"/>
  <c r="AQ29" i="4"/>
  <c r="Z30" i="5" s="1"/>
  <c r="AM29" i="4"/>
  <c r="X30" i="5" s="1"/>
  <c r="AI29" i="4"/>
  <c r="V30" i="5" s="1"/>
  <c r="AE29" i="4"/>
  <c r="T30" i="5" s="1"/>
  <c r="AA29" i="4"/>
  <c r="R30" i="5" s="1"/>
  <c r="X29" i="4"/>
  <c r="W29" i="4"/>
  <c r="P30" i="5" s="1"/>
  <c r="S29" i="4"/>
  <c r="N30" i="5" s="1"/>
  <c r="O29" i="4"/>
  <c r="L30" i="5" s="1"/>
  <c r="K29" i="4"/>
  <c r="J30" i="5" s="1"/>
  <c r="H29" i="4"/>
  <c r="G29" i="4"/>
  <c r="F29" i="4"/>
  <c r="E29" i="4"/>
  <c r="AJ29" i="4" s="1"/>
  <c r="D29" i="4"/>
  <c r="C29" i="4"/>
  <c r="B29" i="4"/>
  <c r="A29" i="4"/>
  <c r="BK28" i="4"/>
  <c r="AJ29" i="5" s="1"/>
  <c r="BH28" i="4"/>
  <c r="BG28" i="4"/>
  <c r="AH29" i="5" s="1"/>
  <c r="BC28" i="4"/>
  <c r="AF29" i="5" s="1"/>
  <c r="AY28" i="4"/>
  <c r="AD29" i="5" s="1"/>
  <c r="AV28" i="4"/>
  <c r="AU28" i="4"/>
  <c r="AB29" i="5" s="1"/>
  <c r="AQ28" i="4"/>
  <c r="Z29" i="5" s="1"/>
  <c r="AM28" i="4"/>
  <c r="X29" i="5" s="1"/>
  <c r="AJ28" i="4"/>
  <c r="AI28" i="4"/>
  <c r="V29" i="5" s="1"/>
  <c r="AE28" i="4"/>
  <c r="T29" i="5" s="1"/>
  <c r="AA28" i="4"/>
  <c r="R29" i="5" s="1"/>
  <c r="X28" i="4"/>
  <c r="W28" i="4"/>
  <c r="P29" i="5" s="1"/>
  <c r="T28" i="4"/>
  <c r="S28" i="4"/>
  <c r="N29" i="5" s="1"/>
  <c r="O28" i="4"/>
  <c r="L29" i="5" s="1"/>
  <c r="K28" i="4"/>
  <c r="J29" i="5" s="1"/>
  <c r="H28" i="4"/>
  <c r="G28" i="4"/>
  <c r="F28" i="4"/>
  <c r="E28" i="4"/>
  <c r="AB28" i="4" s="1"/>
  <c r="D28" i="4"/>
  <c r="C28" i="4"/>
  <c r="B28" i="4"/>
  <c r="A28" i="4"/>
  <c r="BK27" i="4"/>
  <c r="AJ28" i="5" s="1"/>
  <c r="BG27" i="4"/>
  <c r="AH28" i="5" s="1"/>
  <c r="BC27" i="4"/>
  <c r="AF28" i="5" s="1"/>
  <c r="AY27" i="4"/>
  <c r="AD28" i="5" s="1"/>
  <c r="AU27" i="4"/>
  <c r="AB28" i="5" s="1"/>
  <c r="AR27" i="4"/>
  <c r="AQ27" i="4"/>
  <c r="Z28" i="5" s="1"/>
  <c r="AM27" i="4"/>
  <c r="X28" i="5" s="1"/>
  <c r="AI27" i="4"/>
  <c r="V28" i="5" s="1"/>
  <c r="AE27" i="4"/>
  <c r="T28" i="5" s="1"/>
  <c r="AB27" i="4"/>
  <c r="AA27" i="4"/>
  <c r="R28" i="5" s="1"/>
  <c r="W27" i="4"/>
  <c r="P28" i="5" s="1"/>
  <c r="T27" i="4"/>
  <c r="S27" i="4"/>
  <c r="N28" i="5" s="1"/>
  <c r="P27" i="4"/>
  <c r="O27" i="4"/>
  <c r="L28" i="5" s="1"/>
  <c r="K27" i="4"/>
  <c r="J28" i="5" s="1"/>
  <c r="H27" i="4"/>
  <c r="G27" i="4"/>
  <c r="AJ27" i="4" s="1"/>
  <c r="F27" i="4"/>
  <c r="E27" i="4"/>
  <c r="X27" i="4" s="1"/>
  <c r="D27" i="4"/>
  <c r="C27" i="4"/>
  <c r="B27" i="4"/>
  <c r="A27" i="4"/>
  <c r="BL26" i="4"/>
  <c r="BK26" i="4"/>
  <c r="AJ27" i="5" s="1"/>
  <c r="BG26" i="4"/>
  <c r="AH27" i="5" s="1"/>
  <c r="BC26" i="4"/>
  <c r="AF27" i="5" s="1"/>
  <c r="AY26" i="4"/>
  <c r="AD27" i="5" s="1"/>
  <c r="AU26" i="4"/>
  <c r="AB27" i="5" s="1"/>
  <c r="AQ26" i="4"/>
  <c r="Z27" i="5" s="1"/>
  <c r="AN26" i="4"/>
  <c r="AM26" i="4"/>
  <c r="X27" i="5" s="1"/>
  <c r="AI26" i="4"/>
  <c r="V27" i="5" s="1"/>
  <c r="AE26" i="4"/>
  <c r="T27" i="5" s="1"/>
  <c r="AA26" i="4"/>
  <c r="R27" i="5" s="1"/>
  <c r="X26" i="4"/>
  <c r="W26" i="4"/>
  <c r="P27" i="5" s="1"/>
  <c r="S26" i="4"/>
  <c r="N27" i="5" s="1"/>
  <c r="P26" i="4"/>
  <c r="O26" i="4"/>
  <c r="L27" i="5" s="1"/>
  <c r="L26" i="4"/>
  <c r="K26" i="4"/>
  <c r="J27" i="5" s="1"/>
  <c r="H26" i="4"/>
  <c r="G26" i="4"/>
  <c r="F26" i="4"/>
  <c r="E26" i="4"/>
  <c r="AB26" i="4" s="1"/>
  <c r="D26" i="4"/>
  <c r="C26" i="4"/>
  <c r="B26" i="4"/>
  <c r="A26" i="4"/>
  <c r="BL25" i="4"/>
  <c r="BK25" i="4"/>
  <c r="AJ26" i="5" s="1"/>
  <c r="BH25" i="4"/>
  <c r="BG25" i="4"/>
  <c r="AH26" i="5" s="1"/>
  <c r="BC25" i="4"/>
  <c r="AF26" i="5" s="1"/>
  <c r="AZ25" i="4"/>
  <c r="AY25" i="4"/>
  <c r="AD26" i="5" s="1"/>
  <c r="AV25" i="4"/>
  <c r="AU25" i="4"/>
  <c r="AB26" i="5" s="1"/>
  <c r="AR25" i="4"/>
  <c r="AQ25" i="4"/>
  <c r="Z26" i="5" s="1"/>
  <c r="AN25" i="4"/>
  <c r="AM25" i="4"/>
  <c r="X26" i="5" s="1"/>
  <c r="AJ25" i="4"/>
  <c r="AI25" i="4"/>
  <c r="V26" i="5" s="1"/>
  <c r="AE25" i="4"/>
  <c r="T26" i="5" s="1"/>
  <c r="AA25" i="4"/>
  <c r="R26" i="5" s="1"/>
  <c r="X25" i="4"/>
  <c r="W25" i="4"/>
  <c r="P26" i="5" s="1"/>
  <c r="S25" i="4"/>
  <c r="P25" i="4"/>
  <c r="O25" i="4"/>
  <c r="L26" i="5" s="1"/>
  <c r="K25" i="4"/>
  <c r="J26" i="5" s="1"/>
  <c r="H25" i="4"/>
  <c r="G25" i="4"/>
  <c r="F25" i="4"/>
  <c r="E25" i="4"/>
  <c r="T25" i="4" s="1"/>
  <c r="D25" i="4"/>
  <c r="C25" i="4"/>
  <c r="B25" i="4"/>
  <c r="A25" i="4"/>
  <c r="BL24" i="4"/>
  <c r="BK24" i="4"/>
  <c r="AJ25" i="5" s="1"/>
  <c r="BG24" i="4"/>
  <c r="AH25" i="5" s="1"/>
  <c r="BD24" i="4"/>
  <c r="BC24" i="4"/>
  <c r="AF25" i="5" s="1"/>
  <c r="AY24" i="4"/>
  <c r="AD25" i="5" s="1"/>
  <c r="AU24" i="4"/>
  <c r="AB25" i="5" s="1"/>
  <c r="AR24" i="4"/>
  <c r="AQ24" i="4"/>
  <c r="Z25" i="5" s="1"/>
  <c r="AM24" i="4"/>
  <c r="X25" i="5" s="1"/>
  <c r="AI24" i="4"/>
  <c r="V25" i="5" s="1"/>
  <c r="AF24" i="4"/>
  <c r="AE24" i="4"/>
  <c r="T25" i="5" s="1"/>
  <c r="AA24" i="4"/>
  <c r="R25" i="5" s="1"/>
  <c r="X24" i="4"/>
  <c r="W24" i="4"/>
  <c r="P25" i="5" s="1"/>
  <c r="S24" i="4"/>
  <c r="N25" i="5" s="1"/>
  <c r="O24" i="4"/>
  <c r="L25" i="5" s="1"/>
  <c r="L24" i="4"/>
  <c r="K24" i="4"/>
  <c r="J25" i="5" s="1"/>
  <c r="H24" i="4"/>
  <c r="G24" i="4"/>
  <c r="F24" i="4"/>
  <c r="E24" i="4"/>
  <c r="AZ24" i="4" s="1"/>
  <c r="D24" i="4"/>
  <c r="C24" i="4"/>
  <c r="B24" i="4"/>
  <c r="A24" i="4"/>
  <c r="BK23" i="4"/>
  <c r="AJ24" i="5" s="1"/>
  <c r="BG23" i="4"/>
  <c r="AH24" i="5" s="1"/>
  <c r="BC23" i="4"/>
  <c r="AF24" i="5" s="1"/>
  <c r="AY23" i="4"/>
  <c r="AD24" i="5" s="1"/>
  <c r="AU23" i="4"/>
  <c r="AB24" i="5" s="1"/>
  <c r="AQ23" i="4"/>
  <c r="Z24" i="5" s="1"/>
  <c r="AM23" i="4"/>
  <c r="X24" i="5" s="1"/>
  <c r="AI23" i="4"/>
  <c r="V24" i="5" s="1"/>
  <c r="AE23" i="4"/>
  <c r="T24" i="5" s="1"/>
  <c r="AA23" i="4"/>
  <c r="R24" i="5" s="1"/>
  <c r="W23" i="4"/>
  <c r="P24" i="5" s="1"/>
  <c r="S23" i="4"/>
  <c r="N24" i="5" s="1"/>
  <c r="O23" i="4"/>
  <c r="L24" i="5" s="1"/>
  <c r="K23" i="4"/>
  <c r="J24" i="5" s="1"/>
  <c r="H23" i="4"/>
  <c r="G23" i="4"/>
  <c r="AZ23" i="4" s="1"/>
  <c r="F23" i="4"/>
  <c r="E23" i="4"/>
  <c r="D23" i="4"/>
  <c r="C23" i="4"/>
  <c r="B23" i="4"/>
  <c r="A23" i="4"/>
  <c r="BK22" i="4"/>
  <c r="AJ23" i="5" s="1"/>
  <c r="BG22" i="4"/>
  <c r="AH23" i="5" s="1"/>
  <c r="BC22" i="4"/>
  <c r="AF23" i="5" s="1"/>
  <c r="AY22" i="4"/>
  <c r="AD23" i="5" s="1"/>
  <c r="AU22" i="4"/>
  <c r="AB23" i="5" s="1"/>
  <c r="AQ22" i="4"/>
  <c r="Z23" i="5" s="1"/>
  <c r="AM22" i="4"/>
  <c r="X23" i="5" s="1"/>
  <c r="AI22" i="4"/>
  <c r="V23" i="5" s="1"/>
  <c r="AE22" i="4"/>
  <c r="T23" i="5" s="1"/>
  <c r="AA22" i="4"/>
  <c r="R23" i="5" s="1"/>
  <c r="W22" i="4"/>
  <c r="P23" i="5" s="1"/>
  <c r="S22" i="4"/>
  <c r="N23" i="5" s="1"/>
  <c r="O22" i="4"/>
  <c r="L23" i="5" s="1"/>
  <c r="K22" i="4"/>
  <c r="J23" i="5" s="1"/>
  <c r="H22" i="4"/>
  <c r="G22" i="4"/>
  <c r="AZ22" i="4" s="1"/>
  <c r="F22" i="4"/>
  <c r="E22" i="4"/>
  <c r="D22" i="4"/>
  <c r="C22" i="4"/>
  <c r="B22" i="4"/>
  <c r="A22" i="4"/>
  <c r="BK21" i="4"/>
  <c r="AJ22" i="5" s="1"/>
  <c r="BH21" i="4"/>
  <c r="BG21" i="4"/>
  <c r="AH22" i="5" s="1"/>
  <c r="BD21" i="4"/>
  <c r="BC21" i="4"/>
  <c r="AF22" i="5" s="1"/>
  <c r="AY21" i="4"/>
  <c r="AD22" i="5" s="1"/>
  <c r="AU21" i="4"/>
  <c r="AB22" i="5" s="1"/>
  <c r="AQ21" i="4"/>
  <c r="Z22" i="5" s="1"/>
  <c r="AN21" i="4"/>
  <c r="AM21" i="4"/>
  <c r="X22" i="5" s="1"/>
  <c r="AI21" i="4"/>
  <c r="V22" i="5" s="1"/>
  <c r="AF21" i="4"/>
  <c r="AE21" i="4"/>
  <c r="T22" i="5" s="1"/>
  <c r="W21" i="4"/>
  <c r="P22" i="5" s="1"/>
  <c r="T21" i="4"/>
  <c r="S21" i="4"/>
  <c r="N22" i="5" s="1"/>
  <c r="O21" i="4"/>
  <c r="L22" i="5" s="1"/>
  <c r="L21" i="4"/>
  <c r="K21" i="4"/>
  <c r="J22" i="5" s="1"/>
  <c r="H21" i="4"/>
  <c r="G21" i="4"/>
  <c r="F21" i="4"/>
  <c r="E21" i="4"/>
  <c r="AV21" i="4" s="1"/>
  <c r="D21" i="4"/>
  <c r="C21" i="4"/>
  <c r="B21" i="4"/>
  <c r="A21" i="4"/>
  <c r="BK20" i="4"/>
  <c r="AJ21" i="5" s="1"/>
  <c r="BH20" i="4"/>
  <c r="BG20" i="4"/>
  <c r="AH21" i="5" s="1"/>
  <c r="BD20" i="4"/>
  <c r="BC20" i="4"/>
  <c r="AF21" i="5" s="1"/>
  <c r="AY20" i="4"/>
  <c r="AD21" i="5" s="1"/>
  <c r="AU20" i="4"/>
  <c r="AB21" i="5" s="1"/>
  <c r="AR20" i="4"/>
  <c r="AQ20" i="4"/>
  <c r="Z21" i="5" s="1"/>
  <c r="AM20" i="4"/>
  <c r="X21" i="5" s="1"/>
  <c r="AJ20" i="4"/>
  <c r="AI20" i="4"/>
  <c r="V21" i="5" s="1"/>
  <c r="AF20" i="4"/>
  <c r="AE20" i="4"/>
  <c r="T21" i="5" s="1"/>
  <c r="W20" i="4"/>
  <c r="P21" i="5" s="1"/>
  <c r="T20" i="4"/>
  <c r="S20" i="4"/>
  <c r="N21" i="5" s="1"/>
  <c r="O20" i="4"/>
  <c r="L21" i="5" s="1"/>
  <c r="L20" i="4"/>
  <c r="K20" i="4"/>
  <c r="J21" i="5" s="1"/>
  <c r="H20" i="4"/>
  <c r="G20" i="4"/>
  <c r="F20" i="4"/>
  <c r="E20" i="4"/>
  <c r="AZ20" i="4" s="1"/>
  <c r="D20" i="4"/>
  <c r="C20" i="4"/>
  <c r="B20" i="4"/>
  <c r="A20" i="4"/>
  <c r="BK19" i="4"/>
  <c r="AJ20" i="5" s="1"/>
  <c r="BG19" i="4"/>
  <c r="AH20" i="5" s="1"/>
  <c r="BC19" i="4"/>
  <c r="AF20" i="5" s="1"/>
  <c r="AY19" i="4"/>
  <c r="AD20" i="5" s="1"/>
  <c r="AU19" i="4"/>
  <c r="AB20" i="5" s="1"/>
  <c r="AQ19" i="4"/>
  <c r="Z20" i="5" s="1"/>
  <c r="AM19" i="4"/>
  <c r="X20" i="5" s="1"/>
  <c r="AI19" i="4"/>
  <c r="V20" i="5" s="1"/>
  <c r="AE19" i="4"/>
  <c r="T20" i="5" s="1"/>
  <c r="AA19" i="4"/>
  <c r="R20" i="5" s="1"/>
  <c r="W19" i="4"/>
  <c r="P20" i="5" s="1"/>
  <c r="S19" i="4"/>
  <c r="N20" i="5" s="1"/>
  <c r="O19" i="4"/>
  <c r="L20" i="5" s="1"/>
  <c r="K19" i="4"/>
  <c r="J20" i="5" s="1"/>
  <c r="H19" i="4"/>
  <c r="G19" i="4"/>
  <c r="AZ19" i="4" s="1"/>
  <c r="F19" i="4"/>
  <c r="E19" i="4"/>
  <c r="D19" i="4"/>
  <c r="C19" i="4"/>
  <c r="B19" i="4"/>
  <c r="A19" i="4"/>
  <c r="BK18" i="4"/>
  <c r="AJ19" i="5" s="1"/>
  <c r="BG18" i="4"/>
  <c r="AH19" i="5" s="1"/>
  <c r="BC18" i="4"/>
  <c r="AF19" i="5" s="1"/>
  <c r="AZ18" i="4"/>
  <c r="AY18" i="4"/>
  <c r="AD19" i="5" s="1"/>
  <c r="AU18" i="4"/>
  <c r="AB19" i="5" s="1"/>
  <c r="AQ18" i="4"/>
  <c r="Z19" i="5" s="1"/>
  <c r="AM18" i="4"/>
  <c r="X19" i="5" s="1"/>
  <c r="AI18" i="4"/>
  <c r="V19" i="5" s="1"/>
  <c r="AE18" i="4"/>
  <c r="T19" i="5" s="1"/>
  <c r="AA18" i="4"/>
  <c r="R19" i="5" s="1"/>
  <c r="W18" i="4"/>
  <c r="P19" i="5" s="1"/>
  <c r="S18" i="4"/>
  <c r="N19" i="5" s="1"/>
  <c r="O18" i="4"/>
  <c r="L19" i="5" s="1"/>
  <c r="K18" i="4"/>
  <c r="J19" i="5" s="1"/>
  <c r="H18" i="4"/>
  <c r="G18" i="4"/>
  <c r="X18" i="4" s="1"/>
  <c r="F18" i="4"/>
  <c r="E18" i="4"/>
  <c r="AV18" i="4" s="1"/>
  <c r="D18" i="4"/>
  <c r="C18" i="4"/>
  <c r="B18" i="4"/>
  <c r="A18" i="4"/>
  <c r="BK17" i="4"/>
  <c r="AJ18" i="5" s="1"/>
  <c r="BG17" i="4"/>
  <c r="AH18" i="5" s="1"/>
  <c r="BC17" i="4"/>
  <c r="AF18" i="5" s="1"/>
  <c r="AY17" i="4"/>
  <c r="AD18" i="5" s="1"/>
  <c r="AU17" i="4"/>
  <c r="AB18" i="5" s="1"/>
  <c r="AQ17" i="4"/>
  <c r="Z18" i="5" s="1"/>
  <c r="AM17" i="4"/>
  <c r="X18" i="5" s="1"/>
  <c r="AI17" i="4"/>
  <c r="V18" i="5" s="1"/>
  <c r="AE17" i="4"/>
  <c r="T18" i="5" s="1"/>
  <c r="W17" i="4"/>
  <c r="P18" i="5" s="1"/>
  <c r="S17" i="4"/>
  <c r="N18" i="5" s="1"/>
  <c r="O17" i="4"/>
  <c r="L18" i="5" s="1"/>
  <c r="K17" i="4"/>
  <c r="J18" i="5" s="1"/>
  <c r="H17" i="4"/>
  <c r="G17" i="4"/>
  <c r="F17" i="4"/>
  <c r="E17" i="4"/>
  <c r="D17" i="4"/>
  <c r="C17" i="4"/>
  <c r="B17" i="4"/>
  <c r="A17" i="4"/>
  <c r="BK16" i="4"/>
  <c r="AJ17" i="5" s="1"/>
  <c r="BG16" i="4"/>
  <c r="AH17" i="5" s="1"/>
  <c r="BC16" i="4"/>
  <c r="AF17" i="5" s="1"/>
  <c r="AY16" i="4"/>
  <c r="AD17" i="5" s="1"/>
  <c r="AU16" i="4"/>
  <c r="AQ16" i="4"/>
  <c r="Z17" i="5" s="1"/>
  <c r="AM16" i="4"/>
  <c r="X17" i="5" s="1"/>
  <c r="AI16" i="4"/>
  <c r="V17" i="5" s="1"/>
  <c r="AE16" i="4"/>
  <c r="T17" i="5" s="1"/>
  <c r="W16" i="4"/>
  <c r="P17" i="5" s="1"/>
  <c r="S16" i="4"/>
  <c r="N17" i="5" s="1"/>
  <c r="O16" i="4"/>
  <c r="L17" i="5" s="1"/>
  <c r="K16" i="4"/>
  <c r="J17" i="5" s="1"/>
  <c r="H16" i="4"/>
  <c r="G16" i="4"/>
  <c r="F16" i="4"/>
  <c r="E16" i="4"/>
  <c r="AF16" i="4" s="1"/>
  <c r="D16" i="4"/>
  <c r="C16" i="4"/>
  <c r="B16" i="4"/>
  <c r="A16" i="4"/>
  <c r="BK15" i="4"/>
  <c r="BG15" i="4"/>
  <c r="AH16" i="5" s="1"/>
  <c r="BC15" i="4"/>
  <c r="AF16" i="5" s="1"/>
  <c r="AY15" i="4"/>
  <c r="AD16" i="5" s="1"/>
  <c r="AU15" i="4"/>
  <c r="AB16" i="5" s="1"/>
  <c r="AQ15" i="4"/>
  <c r="Z16" i="5" s="1"/>
  <c r="AM15" i="4"/>
  <c r="X16" i="5" s="1"/>
  <c r="AI15" i="4"/>
  <c r="V16" i="5" s="1"/>
  <c r="AE15" i="4"/>
  <c r="T16" i="5" s="1"/>
  <c r="AA15" i="4"/>
  <c r="R16" i="5" s="1"/>
  <c r="W15" i="4"/>
  <c r="P16" i="5" s="1"/>
  <c r="S15" i="4"/>
  <c r="N16" i="5" s="1"/>
  <c r="O15" i="4"/>
  <c r="L16" i="5" s="1"/>
  <c r="K15" i="4"/>
  <c r="J16" i="5" s="1"/>
  <c r="H15" i="4"/>
  <c r="G15" i="4"/>
  <c r="AZ15" i="4" s="1"/>
  <c r="F15" i="4"/>
  <c r="E15" i="4"/>
  <c r="AR15" i="4" s="1"/>
  <c r="D15" i="4"/>
  <c r="C15" i="4"/>
  <c r="B15" i="4"/>
  <c r="A15" i="4"/>
  <c r="BK14" i="4"/>
  <c r="AJ15" i="5" s="1"/>
  <c r="BG14" i="4"/>
  <c r="AH15" i="5" s="1"/>
  <c r="BC14" i="4"/>
  <c r="AF15" i="5" s="1"/>
  <c r="AY14" i="4"/>
  <c r="AD15" i="5" s="1"/>
  <c r="AU14" i="4"/>
  <c r="AB15" i="5" s="1"/>
  <c r="AQ14" i="4"/>
  <c r="Z15" i="5" s="1"/>
  <c r="AM14" i="4"/>
  <c r="X15" i="5" s="1"/>
  <c r="AI14" i="4"/>
  <c r="V15" i="5" s="1"/>
  <c r="AE14" i="4"/>
  <c r="T15" i="5" s="1"/>
  <c r="W14" i="4"/>
  <c r="S14" i="4"/>
  <c r="N15" i="5" s="1"/>
  <c r="O14" i="4"/>
  <c r="K14" i="4"/>
  <c r="J15" i="5" s="1"/>
  <c r="H14" i="4"/>
  <c r="G14" i="4"/>
  <c r="AR14" i="4" s="1"/>
  <c r="F14" i="4"/>
  <c r="E14" i="4"/>
  <c r="X14" i="4" s="1"/>
  <c r="D14" i="4"/>
  <c r="C14" i="4"/>
  <c r="B14" i="4"/>
  <c r="A14" i="4"/>
  <c r="BK13" i="4"/>
  <c r="AJ14" i="5" s="1"/>
  <c r="BG13" i="4"/>
  <c r="AH14" i="5" s="1"/>
  <c r="BC13" i="4"/>
  <c r="AF14" i="5" s="1"/>
  <c r="AY13" i="4"/>
  <c r="AD14" i="5" s="1"/>
  <c r="AU13" i="4"/>
  <c r="AB14" i="5" s="1"/>
  <c r="AQ13" i="4"/>
  <c r="Z14" i="5" s="1"/>
  <c r="AM13" i="4"/>
  <c r="X14" i="5" s="1"/>
  <c r="AI13" i="4"/>
  <c r="V14" i="5" s="1"/>
  <c r="AE13" i="4"/>
  <c r="T14" i="5" s="1"/>
  <c r="W13" i="4"/>
  <c r="P14" i="5" s="1"/>
  <c r="S13" i="4"/>
  <c r="N14" i="5" s="1"/>
  <c r="O13" i="4"/>
  <c r="L14" i="5" s="1"/>
  <c r="K13" i="4"/>
  <c r="J14" i="5" s="1"/>
  <c r="H13" i="4"/>
  <c r="G13" i="4"/>
  <c r="F13" i="4"/>
  <c r="E13" i="4"/>
  <c r="BH13" i="4" s="1"/>
  <c r="D13" i="4"/>
  <c r="C13" i="4"/>
  <c r="B13" i="4"/>
  <c r="A13" i="4"/>
  <c r="BK12" i="4"/>
  <c r="AJ13" i="5" s="1"/>
  <c r="BG12" i="4"/>
  <c r="AH13" i="5" s="1"/>
  <c r="BC12" i="4"/>
  <c r="AF13" i="5" s="1"/>
  <c r="AY12" i="4"/>
  <c r="AD13" i="5" s="1"/>
  <c r="AV12" i="4"/>
  <c r="AU12" i="4"/>
  <c r="AB13" i="5" s="1"/>
  <c r="AQ12" i="4"/>
  <c r="Z13" i="5" s="1"/>
  <c r="AM12" i="4"/>
  <c r="X13" i="5" s="1"/>
  <c r="AI12" i="4"/>
  <c r="V13" i="5" s="1"/>
  <c r="AE12" i="4"/>
  <c r="T13" i="5" s="1"/>
  <c r="AA12" i="4"/>
  <c r="R13" i="5" s="1"/>
  <c r="W12" i="4"/>
  <c r="P13" i="5" s="1"/>
  <c r="S12" i="4"/>
  <c r="N13" i="5" s="1"/>
  <c r="O12" i="4"/>
  <c r="L13" i="5" s="1"/>
  <c r="K12" i="4"/>
  <c r="J13" i="5" s="1"/>
  <c r="H12" i="4"/>
  <c r="G12" i="4"/>
  <c r="F12" i="4"/>
  <c r="E12" i="4"/>
  <c r="AR12" i="4" s="1"/>
  <c r="D12" i="4"/>
  <c r="C12" i="4"/>
  <c r="B12" i="4"/>
  <c r="A12" i="4"/>
  <c r="BK11" i="4"/>
  <c r="AJ12" i="5" s="1"/>
  <c r="BG11" i="4"/>
  <c r="AH12" i="5" s="1"/>
  <c r="BC11" i="4"/>
  <c r="AF12" i="5" s="1"/>
  <c r="AY11" i="4"/>
  <c r="AD12" i="5" s="1"/>
  <c r="AV11" i="4"/>
  <c r="AU11" i="4"/>
  <c r="AB12" i="5" s="1"/>
  <c r="AQ11" i="4"/>
  <c r="Z12" i="5" s="1"/>
  <c r="AM11" i="4"/>
  <c r="X12" i="5" s="1"/>
  <c r="AI11" i="4"/>
  <c r="V12" i="5" s="1"/>
  <c r="AE11" i="4"/>
  <c r="T12" i="5" s="1"/>
  <c r="AA11" i="4"/>
  <c r="R12" i="5" s="1"/>
  <c r="X11" i="4"/>
  <c r="W11" i="4"/>
  <c r="P12" i="5" s="1"/>
  <c r="S11" i="4"/>
  <c r="N12" i="5" s="1"/>
  <c r="O11" i="4"/>
  <c r="L12" i="5" s="1"/>
  <c r="K11" i="4"/>
  <c r="J12" i="5" s="1"/>
  <c r="H11" i="4"/>
  <c r="G11" i="4"/>
  <c r="F11" i="4"/>
  <c r="E11" i="4"/>
  <c r="AJ11" i="4" s="1"/>
  <c r="D11" i="4"/>
  <c r="C11" i="4"/>
  <c r="B11" i="4"/>
  <c r="A11" i="4"/>
  <c r="BK10" i="4"/>
  <c r="AJ11" i="5" s="1"/>
  <c r="BG10" i="4"/>
  <c r="AH11" i="5" s="1"/>
  <c r="BC10" i="4"/>
  <c r="AF11" i="5" s="1"/>
  <c r="AY10" i="4"/>
  <c r="AD11" i="5" s="1"/>
  <c r="AV10" i="4"/>
  <c r="AU10" i="4"/>
  <c r="AB11" i="5" s="1"/>
  <c r="AQ10" i="4"/>
  <c r="AM10" i="4"/>
  <c r="X11" i="5" s="1"/>
  <c r="AI10" i="4"/>
  <c r="V11" i="5" s="1"/>
  <c r="AE10" i="4"/>
  <c r="AA10" i="4"/>
  <c r="R11" i="5" s="1"/>
  <c r="W10" i="4"/>
  <c r="P11" i="5" s="1"/>
  <c r="S10" i="4"/>
  <c r="N11" i="5" s="1"/>
  <c r="O10" i="4"/>
  <c r="L11" i="5" s="1"/>
  <c r="K10" i="4"/>
  <c r="J11" i="5" s="1"/>
  <c r="H10" i="4"/>
  <c r="G10" i="4"/>
  <c r="F10" i="4"/>
  <c r="E10" i="4"/>
  <c r="AN10" i="4" s="1"/>
  <c r="D10" i="4"/>
  <c r="C10" i="4"/>
  <c r="B10" i="4"/>
  <c r="A10" i="4"/>
  <c r="BK9" i="4"/>
  <c r="AJ10" i="5" s="1"/>
  <c r="BG9" i="4"/>
  <c r="AH10" i="5" s="1"/>
  <c r="BC9" i="4"/>
  <c r="AF10" i="5" s="1"/>
  <c r="AY9" i="4"/>
  <c r="AD10" i="5" s="1"/>
  <c r="AU9" i="4"/>
  <c r="AB10" i="5" s="1"/>
  <c r="AR9" i="4"/>
  <c r="AQ9" i="4"/>
  <c r="Z10" i="5" s="1"/>
  <c r="AM9" i="4"/>
  <c r="AI9" i="4"/>
  <c r="V10" i="5" s="1"/>
  <c r="AE9" i="4"/>
  <c r="T10" i="5" s="1"/>
  <c r="AB9" i="4"/>
  <c r="X9" i="4"/>
  <c r="W9" i="4"/>
  <c r="P10" i="5" s="1"/>
  <c r="S9" i="4"/>
  <c r="N10" i="5" s="1"/>
  <c r="O9" i="4"/>
  <c r="L10" i="5" s="1"/>
  <c r="K9" i="4"/>
  <c r="J10" i="5" s="1"/>
  <c r="H9" i="4"/>
  <c r="G9" i="4"/>
  <c r="F9" i="4"/>
  <c r="E9" i="4"/>
  <c r="AV9" i="4" s="1"/>
  <c r="D9" i="4"/>
  <c r="C9" i="4"/>
  <c r="B9" i="4"/>
  <c r="A9" i="4"/>
  <c r="BK8" i="4"/>
  <c r="BG8" i="4"/>
  <c r="AH9" i="5" s="1"/>
  <c r="BC8" i="4"/>
  <c r="AF9" i="5" s="1"/>
  <c r="AY8" i="4"/>
  <c r="AD9" i="5" s="1"/>
  <c r="AU8" i="4"/>
  <c r="AB9" i="5" s="1"/>
  <c r="AQ8" i="4"/>
  <c r="Z9" i="5" s="1"/>
  <c r="AM8" i="4"/>
  <c r="X9" i="5" s="1"/>
  <c r="AI8" i="4"/>
  <c r="V9" i="5" s="1"/>
  <c r="AE8" i="4"/>
  <c r="T9" i="5" s="1"/>
  <c r="AA8" i="4"/>
  <c r="R9" i="5" s="1"/>
  <c r="X8" i="4"/>
  <c r="W8" i="4"/>
  <c r="P9" i="5" s="1"/>
  <c r="S8" i="4"/>
  <c r="N9" i="5" s="1"/>
  <c r="O8" i="4"/>
  <c r="L9" i="5" s="1"/>
  <c r="K8" i="4"/>
  <c r="J9" i="5" s="1"/>
  <c r="H8" i="4"/>
  <c r="G8" i="4"/>
  <c r="F8" i="4"/>
  <c r="E8" i="4"/>
  <c r="AZ8" i="4" s="1"/>
  <c r="D8" i="4"/>
  <c r="C8" i="4"/>
  <c r="B8" i="4"/>
  <c r="A8" i="4"/>
  <c r="BK7" i="4"/>
  <c r="AJ8" i="5" s="1"/>
  <c r="BG7" i="4"/>
  <c r="AH8" i="5" s="1"/>
  <c r="BC7" i="4"/>
  <c r="AF8" i="5" s="1"/>
  <c r="AY7" i="4"/>
  <c r="AD8" i="5" s="1"/>
  <c r="AV7" i="4"/>
  <c r="AU7" i="4"/>
  <c r="AB8" i="5" s="1"/>
  <c r="AQ7" i="4"/>
  <c r="Z8" i="5" s="1"/>
  <c r="AM7" i="4"/>
  <c r="X8" i="5" s="1"/>
  <c r="AI7" i="4"/>
  <c r="V8" i="5" s="1"/>
  <c r="AE7" i="4"/>
  <c r="T8" i="5" s="1"/>
  <c r="AA7" i="4"/>
  <c r="R8" i="5" s="1"/>
  <c r="X7" i="4"/>
  <c r="W7" i="4"/>
  <c r="P8" i="5" s="1"/>
  <c r="S7" i="4"/>
  <c r="N8" i="5" s="1"/>
  <c r="O7" i="4"/>
  <c r="L8" i="5" s="1"/>
  <c r="K7" i="4"/>
  <c r="J8" i="5" s="1"/>
  <c r="H7" i="4"/>
  <c r="G7" i="4"/>
  <c r="F7" i="4"/>
  <c r="E7" i="4"/>
  <c r="T7" i="4" s="1"/>
  <c r="D7" i="4"/>
  <c r="C7" i="4"/>
  <c r="B7" i="4"/>
  <c r="A7" i="4"/>
  <c r="BK6" i="4"/>
  <c r="AJ7" i="5" s="1"/>
  <c r="BG6" i="4"/>
  <c r="AH7" i="5" s="1"/>
  <c r="BD6" i="4"/>
  <c r="BC6" i="4"/>
  <c r="AF7" i="5" s="1"/>
  <c r="AY6" i="4"/>
  <c r="AD7" i="5" s="1"/>
  <c r="AV6" i="4"/>
  <c r="AU6" i="4"/>
  <c r="AB7" i="5" s="1"/>
  <c r="AR6" i="4"/>
  <c r="AQ6" i="4"/>
  <c r="AM6" i="4"/>
  <c r="X7" i="5" s="1"/>
  <c r="AI6" i="4"/>
  <c r="V7" i="5" s="1"/>
  <c r="AF6" i="4"/>
  <c r="AE6" i="4"/>
  <c r="T7" i="5" s="1"/>
  <c r="AB6" i="4"/>
  <c r="X6" i="4"/>
  <c r="W6" i="4"/>
  <c r="P7" i="5" s="1"/>
  <c r="S6" i="4"/>
  <c r="N7" i="5" s="1"/>
  <c r="O6" i="4"/>
  <c r="L7" i="5" s="1"/>
  <c r="K6" i="4"/>
  <c r="J7" i="5" s="1"/>
  <c r="H6" i="4"/>
  <c r="G6" i="4"/>
  <c r="F6" i="4"/>
  <c r="E6" i="4"/>
  <c r="AZ6" i="4" s="1"/>
  <c r="D6" i="4"/>
  <c r="C6" i="4"/>
  <c r="B6" i="4"/>
  <c r="A6" i="4"/>
  <c r="BK5" i="4"/>
  <c r="AJ6" i="5" s="1"/>
  <c r="BG5" i="4"/>
  <c r="AH6" i="5" s="1"/>
  <c r="BC5" i="4"/>
  <c r="AF6" i="5" s="1"/>
  <c r="AY5" i="4"/>
  <c r="AD6" i="5" s="1"/>
  <c r="AU5" i="4"/>
  <c r="AB6" i="5" s="1"/>
  <c r="AR5" i="4"/>
  <c r="AQ5" i="4"/>
  <c r="Z6" i="5" s="1"/>
  <c r="AM5" i="4"/>
  <c r="AI5" i="4"/>
  <c r="V6" i="5" s="1"/>
  <c r="AE5" i="4"/>
  <c r="T6" i="5" s="1"/>
  <c r="X5" i="4"/>
  <c r="W5" i="4"/>
  <c r="S5" i="4"/>
  <c r="N6" i="5" s="1"/>
  <c r="O5" i="4"/>
  <c r="L6" i="5" s="1"/>
  <c r="K5" i="4"/>
  <c r="J6" i="5" s="1"/>
  <c r="H5" i="4"/>
  <c r="G5" i="4"/>
  <c r="BH5" i="4" s="1"/>
  <c r="F5" i="4"/>
  <c r="E5" i="4"/>
  <c r="D5" i="4"/>
  <c r="C5" i="4"/>
  <c r="B5" i="4"/>
  <c r="A5" i="4"/>
  <c r="BK4" i="4"/>
  <c r="AJ5" i="5" s="1"/>
  <c r="BG4" i="4"/>
  <c r="AH5" i="5" s="1"/>
  <c r="BC4" i="4"/>
  <c r="AF5" i="5" s="1"/>
  <c r="AY4" i="4"/>
  <c r="AD5" i="5" s="1"/>
  <c r="AU4" i="4"/>
  <c r="AB5" i="5" s="1"/>
  <c r="AQ4" i="4"/>
  <c r="Z5" i="5" s="1"/>
  <c r="AN4" i="4"/>
  <c r="AM4" i="4"/>
  <c r="X5" i="5" s="1"/>
  <c r="AI4" i="4"/>
  <c r="V5" i="5" s="1"/>
  <c r="AE4" i="4"/>
  <c r="T5" i="5" s="1"/>
  <c r="AA4" i="4"/>
  <c r="R5" i="5" s="1"/>
  <c r="W4" i="4"/>
  <c r="P5" i="5" s="1"/>
  <c r="T4" i="4"/>
  <c r="S4" i="4"/>
  <c r="N5" i="5" s="1"/>
  <c r="O4" i="4"/>
  <c r="L5" i="5" s="1"/>
  <c r="K4" i="4"/>
  <c r="J5" i="5" s="1"/>
  <c r="H4" i="4"/>
  <c r="G4" i="4"/>
  <c r="BH4" i="4" s="1"/>
  <c r="F4" i="4"/>
  <c r="E4" i="4"/>
  <c r="D4" i="4"/>
  <c r="C4" i="4"/>
  <c r="B4" i="4"/>
  <c r="A4" i="4"/>
  <c r="BK3" i="4"/>
  <c r="AJ4" i="5" s="1"/>
  <c r="BG3" i="4"/>
  <c r="AH4" i="5" s="1"/>
  <c r="BD3" i="4"/>
  <c r="BC3" i="4"/>
  <c r="AF4" i="5" s="1"/>
  <c r="AY3" i="4"/>
  <c r="AD4" i="5" s="1"/>
  <c r="AU3" i="4"/>
  <c r="AB4" i="5" s="1"/>
  <c r="AR3" i="4"/>
  <c r="AQ3" i="4"/>
  <c r="Z4" i="5" s="1"/>
  <c r="AN3" i="4"/>
  <c r="AM3" i="4"/>
  <c r="X4" i="5" s="1"/>
  <c r="AI3" i="4"/>
  <c r="V4" i="5" s="1"/>
  <c r="AE3" i="4"/>
  <c r="T4" i="5" s="1"/>
  <c r="AA3" i="4"/>
  <c r="R4" i="5" s="1"/>
  <c r="X3" i="4"/>
  <c r="W3" i="4"/>
  <c r="P4" i="5" s="1"/>
  <c r="T3" i="4"/>
  <c r="S3" i="4"/>
  <c r="N4" i="5" s="1"/>
  <c r="O3" i="4"/>
  <c r="L4" i="5" s="1"/>
  <c r="K3" i="4"/>
  <c r="J4" i="5" s="1"/>
  <c r="H3" i="4"/>
  <c r="G3" i="4"/>
  <c r="F3" i="4"/>
  <c r="E3" i="4"/>
  <c r="AV3" i="4" s="1"/>
  <c r="D3" i="4"/>
  <c r="C3" i="4"/>
  <c r="B3" i="4"/>
  <c r="A3" i="4"/>
  <c r="BJ2" i="4"/>
  <c r="BI2" i="4"/>
  <c r="BF2" i="4"/>
  <c r="BE2" i="4"/>
  <c r="BB2" i="4"/>
  <c r="BA2" i="4"/>
  <c r="AY2" i="4"/>
  <c r="AT2" i="4"/>
  <c r="AS2" i="4"/>
  <c r="AU2" i="4" s="1"/>
  <c r="AP2" i="4"/>
  <c r="AO2" i="4"/>
  <c r="AL2" i="4"/>
  <c r="AK2" i="4"/>
  <c r="AM2" i="4" s="1"/>
  <c r="AH2" i="4"/>
  <c r="AG2" i="4"/>
  <c r="AD2" i="4"/>
  <c r="AC2" i="4"/>
  <c r="AA2" i="4"/>
  <c r="V2" i="4"/>
  <c r="U2" i="4"/>
  <c r="R2" i="4"/>
  <c r="Q2" i="4"/>
  <c r="N2" i="4"/>
  <c r="M2" i="4"/>
  <c r="O2" i="4" s="1"/>
  <c r="J2" i="4"/>
  <c r="I2" i="4"/>
  <c r="K2" i="4" s="1"/>
  <c r="H2" i="4"/>
  <c r="G2" i="4"/>
  <c r="F2" i="4"/>
  <c r="E2" i="4"/>
  <c r="D2" i="4"/>
  <c r="C2" i="4"/>
  <c r="B2" i="4"/>
  <c r="A2" i="4"/>
  <c r="BI1" i="4"/>
  <c r="BE1" i="4"/>
  <c r="BA1" i="4"/>
  <c r="AW1" i="4"/>
  <c r="AS1" i="4"/>
  <c r="AO1" i="4"/>
  <c r="AK1" i="4"/>
  <c r="AG1" i="4"/>
  <c r="AC1" i="4"/>
  <c r="Y1" i="4"/>
  <c r="U1" i="4"/>
  <c r="Q1" i="4"/>
  <c r="M1" i="4"/>
  <c r="I1" i="4"/>
  <c r="H1" i="4"/>
  <c r="G1" i="4"/>
  <c r="F1" i="4"/>
  <c r="E1" i="4"/>
  <c r="D1" i="4"/>
  <c r="C1" i="4"/>
  <c r="B1" i="4"/>
  <c r="A1" i="4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05" i="1"/>
  <c r="K104" i="1"/>
  <c r="K103" i="1"/>
  <c r="K102" i="1"/>
  <c r="K101" i="1"/>
  <c r="K100" i="1"/>
  <c r="W101" i="5" s="1"/>
  <c r="K99" i="1"/>
  <c r="K98" i="1"/>
  <c r="K97" i="1"/>
  <c r="K96" i="1"/>
  <c r="K95" i="1"/>
  <c r="K94" i="1"/>
  <c r="K93" i="1"/>
  <c r="S94" i="5" s="1"/>
  <c r="K92" i="1"/>
  <c r="K91" i="1"/>
  <c r="K90" i="1"/>
  <c r="K89" i="1"/>
  <c r="K88" i="1"/>
  <c r="K87" i="1"/>
  <c r="K86" i="1"/>
  <c r="W87" i="5" s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AE74" i="5" s="1"/>
  <c r="K72" i="1"/>
  <c r="K71" i="1"/>
  <c r="K70" i="1"/>
  <c r="K69" i="1"/>
  <c r="K68" i="1"/>
  <c r="M69" i="5" s="1"/>
  <c r="K67" i="1"/>
  <c r="K66" i="1"/>
  <c r="K65" i="1"/>
  <c r="K64" i="1"/>
  <c r="K63" i="1"/>
  <c r="K62" i="1"/>
  <c r="I63" i="5" s="1"/>
  <c r="K61" i="1"/>
  <c r="K60" i="1"/>
  <c r="K59" i="1"/>
  <c r="K58" i="1"/>
  <c r="K57" i="1"/>
  <c r="K56" i="1"/>
  <c r="K55" i="1"/>
  <c r="K54" i="1"/>
  <c r="K53" i="1"/>
  <c r="AG54" i="5" s="1"/>
  <c r="K52" i="1"/>
  <c r="K51" i="1"/>
  <c r="I52" i="5" s="1"/>
  <c r="K50" i="1"/>
  <c r="K49" i="1"/>
  <c r="AG50" i="5" s="1"/>
  <c r="K48" i="1"/>
  <c r="AC49" i="5" s="1"/>
  <c r="K47" i="1"/>
  <c r="AE48" i="5" s="1"/>
  <c r="K46" i="1"/>
  <c r="AE47" i="5" s="1"/>
  <c r="K45" i="1"/>
  <c r="K44" i="1"/>
  <c r="O45" i="5" s="1"/>
  <c r="K43" i="1"/>
  <c r="K42" i="1"/>
  <c r="K41" i="1"/>
  <c r="W42" i="5" s="1"/>
  <c r="K40" i="1"/>
  <c r="K39" i="1"/>
  <c r="AC40" i="5" s="1"/>
  <c r="K38" i="1"/>
  <c r="AI39" i="5" s="1"/>
  <c r="K37" i="1"/>
  <c r="M38" i="5" s="1"/>
  <c r="K36" i="1"/>
  <c r="K35" i="1"/>
  <c r="K34" i="1"/>
  <c r="K33" i="1"/>
  <c r="K32" i="1"/>
  <c r="K31" i="1"/>
  <c r="K30" i="1"/>
  <c r="K29" i="1"/>
  <c r="K28" i="1"/>
  <c r="O29" i="5" s="1"/>
  <c r="K27" i="1"/>
  <c r="S28" i="5" s="1"/>
  <c r="K26" i="1"/>
  <c r="AC27" i="5" s="1"/>
  <c r="K25" i="1"/>
  <c r="Q26" i="5" s="1"/>
  <c r="K24" i="1"/>
  <c r="Y25" i="5" s="1"/>
  <c r="K23" i="1"/>
  <c r="K22" i="1"/>
  <c r="K21" i="1"/>
  <c r="Q22" i="5" s="1"/>
  <c r="K20" i="1"/>
  <c r="K19" i="1"/>
  <c r="K18" i="1"/>
  <c r="K17" i="1"/>
  <c r="K16" i="1"/>
  <c r="K15" i="1"/>
  <c r="K16" i="5" s="1"/>
  <c r="K14" i="1"/>
  <c r="AE15" i="5" s="1"/>
  <c r="K13" i="1"/>
  <c r="Y14" i="5" s="1"/>
  <c r="K12" i="1"/>
  <c r="AI13" i="5" s="1"/>
  <c r="K11" i="1"/>
  <c r="M12" i="5" s="1"/>
  <c r="K10" i="1"/>
  <c r="Q11" i="5" s="1"/>
  <c r="K9" i="1"/>
  <c r="AE10" i="5" s="1"/>
  <c r="K8" i="1"/>
  <c r="W9" i="5" s="1"/>
  <c r="K7" i="1"/>
  <c r="K6" i="1"/>
  <c r="K5" i="1"/>
  <c r="AI6" i="5" s="1"/>
  <c r="K4" i="1"/>
  <c r="K3" i="1"/>
  <c r="U4" i="5" s="1"/>
  <c r="K2" i="1"/>
  <c r="BK2" i="4" l="1"/>
  <c r="W2" i="4"/>
  <c r="W106" i="4" s="1"/>
  <c r="B5" i="3" s="1"/>
  <c r="AI2" i="4"/>
  <c r="V3" i="5" s="1"/>
  <c r="V107" i="5" s="1"/>
  <c r="BG2" i="4"/>
  <c r="AB3" i="4"/>
  <c r="AR2" i="4"/>
  <c r="AA16" i="4"/>
  <c r="R17" i="5" s="1"/>
  <c r="AB24" i="4"/>
  <c r="AA14" i="4"/>
  <c r="R15" i="5" s="1"/>
  <c r="AB13" i="4"/>
  <c r="AJ2" i="4"/>
  <c r="AF2" i="4"/>
  <c r="BD2" i="4"/>
  <c r="AA5" i="4"/>
  <c r="R6" i="5" s="1"/>
  <c r="AA21" i="4"/>
  <c r="R22" i="5" s="1"/>
  <c r="AB17" i="4"/>
  <c r="AB23" i="4"/>
  <c r="T2" i="4"/>
  <c r="AB19" i="4"/>
  <c r="AB21" i="4"/>
  <c r="AU106" i="4"/>
  <c r="B11" i="3" s="1"/>
  <c r="AB3" i="5"/>
  <c r="AB107" i="5" s="1"/>
  <c r="R3" i="5"/>
  <c r="L3" i="5"/>
  <c r="L107" i="5" s="1"/>
  <c r="O106" i="4"/>
  <c r="B3" i="3" s="1"/>
  <c r="X3" i="5"/>
  <c r="X107" i="5" s="1"/>
  <c r="AM106" i="4"/>
  <c r="B9" i="3" s="1"/>
  <c r="BK106" i="4"/>
  <c r="AJ3" i="5"/>
  <c r="AJ107" i="5" s="1"/>
  <c r="AY106" i="4"/>
  <c r="B12" i="3" s="1"/>
  <c r="AD3" i="5"/>
  <c r="AD107" i="5" s="1"/>
  <c r="J3" i="5"/>
  <c r="J107" i="5" s="1"/>
  <c r="K106" i="4"/>
  <c r="B2" i="3" s="1"/>
  <c r="AH3" i="5"/>
  <c r="AH107" i="5" s="1"/>
  <c r="BG106" i="4"/>
  <c r="B14" i="3" s="1"/>
  <c r="Q64" i="5"/>
  <c r="AI64" i="5"/>
  <c r="U64" i="5"/>
  <c r="AC64" i="5"/>
  <c r="AA64" i="5"/>
  <c r="Y64" i="5"/>
  <c r="O64" i="5"/>
  <c r="AE64" i="5"/>
  <c r="W64" i="5"/>
  <c r="M64" i="5"/>
  <c r="S64" i="5"/>
  <c r="K64" i="5"/>
  <c r="AG64" i="5"/>
  <c r="BL17" i="4"/>
  <c r="AN17" i="4"/>
  <c r="T17" i="4"/>
  <c r="BD45" i="4"/>
  <c r="BH54" i="4"/>
  <c r="AJ54" i="4"/>
  <c r="L54" i="4"/>
  <c r="BD54" i="4"/>
  <c r="BH57" i="4"/>
  <c r="AJ57" i="4"/>
  <c r="L57" i="4"/>
  <c r="X57" i="4"/>
  <c r="AA17" i="4"/>
  <c r="R18" i="5" s="1"/>
  <c r="BD22" i="4"/>
  <c r="BD23" i="4"/>
  <c r="AZ12" i="4"/>
  <c r="AF23" i="4"/>
  <c r="AB35" i="4"/>
  <c r="BH36" i="4"/>
  <c r="AF51" i="4"/>
  <c r="AF60" i="4"/>
  <c r="AR76" i="4"/>
  <c r="T76" i="4"/>
  <c r="BL76" i="4"/>
  <c r="AN76" i="4"/>
  <c r="P76" i="4"/>
  <c r="AV76" i="4"/>
  <c r="L76" i="4"/>
  <c r="BH76" i="4"/>
  <c r="AF76" i="4"/>
  <c r="AB76" i="4"/>
  <c r="BD76" i="4"/>
  <c r="X76" i="4"/>
  <c r="AZ95" i="4"/>
  <c r="AV95" i="4"/>
  <c r="P95" i="4"/>
  <c r="BL95" i="4"/>
  <c r="AF95" i="4"/>
  <c r="BD95" i="4"/>
  <c r="X95" i="4"/>
  <c r="AR95" i="4"/>
  <c r="W4" i="5"/>
  <c r="K19" i="5"/>
  <c r="AI19" i="5"/>
  <c r="AG19" i="5"/>
  <c r="S19" i="5"/>
  <c r="AE19" i="5"/>
  <c r="O19" i="5"/>
  <c r="Y19" i="5"/>
  <c r="W19" i="5"/>
  <c r="U19" i="5"/>
  <c r="Q19" i="5"/>
  <c r="I19" i="5"/>
  <c r="M19" i="5"/>
  <c r="Y43" i="5"/>
  <c r="AA43" i="5"/>
  <c r="M43" i="5"/>
  <c r="U43" i="5"/>
  <c r="AI43" i="5"/>
  <c r="S43" i="5"/>
  <c r="AG43" i="5"/>
  <c r="O43" i="5"/>
  <c r="I43" i="5"/>
  <c r="AC43" i="5"/>
  <c r="AE43" i="5"/>
  <c r="W43" i="5"/>
  <c r="K43" i="5"/>
  <c r="AA67" i="5"/>
  <c r="K67" i="5"/>
  <c r="Y67" i="5"/>
  <c r="W67" i="5"/>
  <c r="I67" i="5"/>
  <c r="Q67" i="5"/>
  <c r="AG67" i="5"/>
  <c r="AE67" i="5"/>
  <c r="M67" i="5"/>
  <c r="O67" i="5"/>
  <c r="AI67" i="5"/>
  <c r="AC67" i="5"/>
  <c r="U67" i="5"/>
  <c r="AA91" i="5"/>
  <c r="M91" i="5"/>
  <c r="AC91" i="5"/>
  <c r="K91" i="5"/>
  <c r="Y91" i="5"/>
  <c r="I91" i="5"/>
  <c r="AI91" i="5"/>
  <c r="W91" i="5"/>
  <c r="U91" i="5"/>
  <c r="Q91" i="5"/>
  <c r="O91" i="5"/>
  <c r="AG91" i="5"/>
  <c r="S91" i="5"/>
  <c r="AE91" i="5"/>
  <c r="AV4" i="4"/>
  <c r="AV5" i="4"/>
  <c r="AA9" i="4"/>
  <c r="R10" i="5" s="1"/>
  <c r="AZ11" i="4"/>
  <c r="AF14" i="4"/>
  <c r="AJ19" i="4"/>
  <c r="L22" i="4"/>
  <c r="BH22" i="4"/>
  <c r="L23" i="4"/>
  <c r="AZ28" i="4"/>
  <c r="AJ30" i="4"/>
  <c r="AR32" i="4"/>
  <c r="AV33" i="4"/>
  <c r="AR38" i="4"/>
  <c r="BD40" i="4"/>
  <c r="AF40" i="4"/>
  <c r="AJ42" i="4"/>
  <c r="BL45" i="4"/>
  <c r="AZ47" i="4"/>
  <c r="AZ50" i="4"/>
  <c r="AB53" i="4"/>
  <c r="BL57" i="4"/>
  <c r="AZ62" i="4"/>
  <c r="Q49" i="5"/>
  <c r="AA8" i="5"/>
  <c r="Y8" i="5"/>
  <c r="K8" i="5"/>
  <c r="W8" i="5"/>
  <c r="Q8" i="5"/>
  <c r="U8" i="5"/>
  <c r="S8" i="5"/>
  <c r="AG8" i="5"/>
  <c r="AE8" i="5"/>
  <c r="I8" i="5"/>
  <c r="AA20" i="5"/>
  <c r="Y20" i="5"/>
  <c r="K20" i="5"/>
  <c r="I20" i="5"/>
  <c r="AG20" i="5"/>
  <c r="O20" i="5"/>
  <c r="W20" i="5"/>
  <c r="AE20" i="5"/>
  <c r="U20" i="5"/>
  <c r="S20" i="5"/>
  <c r="O32" i="5"/>
  <c r="AE32" i="5"/>
  <c r="AC32" i="5"/>
  <c r="M32" i="5"/>
  <c r="AA32" i="5"/>
  <c r="Y32" i="5"/>
  <c r="W32" i="5"/>
  <c r="K32" i="5"/>
  <c r="U32" i="5"/>
  <c r="Q32" i="5"/>
  <c r="AG32" i="5"/>
  <c r="S32" i="5"/>
  <c r="O44" i="5"/>
  <c r="AC44" i="5"/>
  <c r="M44" i="5"/>
  <c r="AA44" i="5"/>
  <c r="K44" i="5"/>
  <c r="W44" i="5"/>
  <c r="S44" i="5"/>
  <c r="AI44" i="5"/>
  <c r="Y44" i="5"/>
  <c r="Q44" i="5"/>
  <c r="AE44" i="5"/>
  <c r="Q56" i="5"/>
  <c r="AE56" i="5"/>
  <c r="AC56" i="5"/>
  <c r="O56" i="5"/>
  <c r="U56" i="5"/>
  <c r="K56" i="5"/>
  <c r="M56" i="5"/>
  <c r="AI56" i="5"/>
  <c r="I56" i="5"/>
  <c r="AG56" i="5"/>
  <c r="AA56" i="5"/>
  <c r="Y56" i="5"/>
  <c r="W56" i="5"/>
  <c r="S56" i="5"/>
  <c r="Q68" i="5"/>
  <c r="AE68" i="5"/>
  <c r="AC68" i="5"/>
  <c r="O68" i="5"/>
  <c r="AG68" i="5"/>
  <c r="K68" i="5"/>
  <c r="W68" i="5"/>
  <c r="U68" i="5"/>
  <c r="S68" i="5"/>
  <c r="I68" i="5"/>
  <c r="AI68" i="5"/>
  <c r="Y68" i="5"/>
  <c r="Q80" i="5"/>
  <c r="AC80" i="5"/>
  <c r="AG80" i="5"/>
  <c r="O80" i="5"/>
  <c r="AE80" i="5"/>
  <c r="Y80" i="5"/>
  <c r="I80" i="5"/>
  <c r="W80" i="5"/>
  <c r="U80" i="5"/>
  <c r="M80" i="5"/>
  <c r="AI80" i="5"/>
  <c r="AA80" i="5"/>
  <c r="S80" i="5"/>
  <c r="Q92" i="5"/>
  <c r="AC92" i="5"/>
  <c r="U92" i="5"/>
  <c r="AI92" i="5"/>
  <c r="S92" i="5"/>
  <c r="M92" i="5"/>
  <c r="AE92" i="5"/>
  <c r="AA92" i="5"/>
  <c r="Y92" i="5"/>
  <c r="W92" i="5"/>
  <c r="K92" i="5"/>
  <c r="O92" i="5"/>
  <c r="I92" i="5"/>
  <c r="AG92" i="5"/>
  <c r="AC104" i="5"/>
  <c r="Q104" i="5"/>
  <c r="Y104" i="5"/>
  <c r="AG104" i="5"/>
  <c r="S104" i="5"/>
  <c r="AE104" i="5"/>
  <c r="AA104" i="5"/>
  <c r="M104" i="5"/>
  <c r="U104" i="5"/>
  <c r="O104" i="5"/>
  <c r="AI104" i="5"/>
  <c r="W104" i="5"/>
  <c r="K104" i="5"/>
  <c r="AR4" i="4"/>
  <c r="X4" i="4"/>
  <c r="BL5" i="4"/>
  <c r="AN5" i="4"/>
  <c r="T5" i="4"/>
  <c r="AA6" i="4"/>
  <c r="R7" i="5" s="1"/>
  <c r="AB7" i="4"/>
  <c r="BD8" i="4"/>
  <c r="AB10" i="4"/>
  <c r="AB11" i="4"/>
  <c r="BD12" i="4"/>
  <c r="L14" i="4"/>
  <c r="BH14" i="4"/>
  <c r="L15" i="4"/>
  <c r="AF15" i="4"/>
  <c r="AF17" i="4"/>
  <c r="L18" i="4"/>
  <c r="P19" i="4"/>
  <c r="BL19" i="4"/>
  <c r="P20" i="4"/>
  <c r="BL20" i="4"/>
  <c r="P21" i="4"/>
  <c r="AJ21" i="4"/>
  <c r="AJ22" i="4"/>
  <c r="AJ23" i="4"/>
  <c r="AN24" i="4"/>
  <c r="T26" i="4"/>
  <c r="BH29" i="4"/>
  <c r="L30" i="4"/>
  <c r="BL30" i="4"/>
  <c r="P31" i="4"/>
  <c r="T32" i="4"/>
  <c r="L36" i="4"/>
  <c r="BL36" i="4"/>
  <c r="P37" i="4"/>
  <c r="T38" i="4"/>
  <c r="AB40" i="4"/>
  <c r="BH41" i="4"/>
  <c r="L42" i="4"/>
  <c r="BH44" i="4"/>
  <c r="AJ44" i="4"/>
  <c r="L44" i="4"/>
  <c r="AR44" i="4"/>
  <c r="AB44" i="4"/>
  <c r="BD44" i="4"/>
  <c r="BH47" i="4"/>
  <c r="AJ47" i="4"/>
  <c r="L47" i="4"/>
  <c r="BL47" i="4"/>
  <c r="AB47" i="4"/>
  <c r="T49" i="4"/>
  <c r="BH50" i="4"/>
  <c r="AJ50" i="4"/>
  <c r="L50" i="4"/>
  <c r="BD50" i="4"/>
  <c r="AB50" i="4"/>
  <c r="T52" i="4"/>
  <c r="BH53" i="4"/>
  <c r="AJ53" i="4"/>
  <c r="L53" i="4"/>
  <c r="X53" i="4"/>
  <c r="BD53" i="4"/>
  <c r="BH56" i="4"/>
  <c r="AJ56" i="4"/>
  <c r="L56" i="4"/>
  <c r="AR56" i="4"/>
  <c r="AB56" i="4"/>
  <c r="BD56" i="4"/>
  <c r="AN57" i="4"/>
  <c r="BH59" i="4"/>
  <c r="AJ59" i="4"/>
  <c r="L59" i="4"/>
  <c r="BL59" i="4"/>
  <c r="AB59" i="4"/>
  <c r="T61" i="4"/>
  <c r="BH62" i="4"/>
  <c r="AJ62" i="4"/>
  <c r="L62" i="4"/>
  <c r="BD62" i="4"/>
  <c r="AB62" i="4"/>
  <c r="T64" i="4"/>
  <c r="BL65" i="4"/>
  <c r="AN65" i="4"/>
  <c r="AR65" i="4"/>
  <c r="AJ65" i="4"/>
  <c r="L65" i="4"/>
  <c r="AB65" i="4"/>
  <c r="BD65" i="4"/>
  <c r="X65" i="4"/>
  <c r="AF65" i="4"/>
  <c r="BD78" i="4"/>
  <c r="AC8" i="5"/>
  <c r="U44" i="5"/>
  <c r="AE50" i="5"/>
  <c r="Q88" i="5"/>
  <c r="AC88" i="5"/>
  <c r="AE88" i="5"/>
  <c r="M88" i="5"/>
  <c r="AA88" i="5"/>
  <c r="K88" i="5"/>
  <c r="O88" i="5"/>
  <c r="AI88" i="5"/>
  <c r="AG88" i="5"/>
  <c r="Y88" i="5"/>
  <c r="U88" i="5"/>
  <c r="S88" i="5"/>
  <c r="I88" i="5"/>
  <c r="W88" i="5"/>
  <c r="BD13" i="4"/>
  <c r="AF13" i="4"/>
  <c r="L13" i="4"/>
  <c r="AR16" i="4"/>
  <c r="X16" i="4"/>
  <c r="BH60" i="4"/>
  <c r="AJ60" i="4"/>
  <c r="L60" i="4"/>
  <c r="AR60" i="4"/>
  <c r="BH63" i="4"/>
  <c r="AJ63" i="4"/>
  <c r="L63" i="4"/>
  <c r="BL63" i="4"/>
  <c r="Q5" i="5"/>
  <c r="U5" i="5"/>
  <c r="AA5" i="5"/>
  <c r="K5" i="5"/>
  <c r="AI5" i="5"/>
  <c r="S5" i="5"/>
  <c r="AG5" i="5"/>
  <c r="M5" i="5"/>
  <c r="I5" i="5"/>
  <c r="AC5" i="5"/>
  <c r="W5" i="5"/>
  <c r="AE5" i="5"/>
  <c r="AG65" i="5"/>
  <c r="AA65" i="5"/>
  <c r="M65" i="5"/>
  <c r="K65" i="5"/>
  <c r="AI65" i="5"/>
  <c r="Q65" i="5"/>
  <c r="O65" i="5"/>
  <c r="AC65" i="5"/>
  <c r="I65" i="5"/>
  <c r="Y65" i="5"/>
  <c r="U65" i="5"/>
  <c r="S65" i="5"/>
  <c r="W65" i="5"/>
  <c r="S2" i="4"/>
  <c r="BC2" i="4"/>
  <c r="AZ16" i="4"/>
  <c r="BD35" i="4"/>
  <c r="AF35" i="4"/>
  <c r="AZ35" i="4"/>
  <c r="AZ41" i="4"/>
  <c r="AG18" i="5"/>
  <c r="AA18" i="5"/>
  <c r="M18" i="5"/>
  <c r="S18" i="5"/>
  <c r="AC18" i="5"/>
  <c r="O18" i="5"/>
  <c r="AI18" i="5"/>
  <c r="I18" i="5"/>
  <c r="Y18" i="5"/>
  <c r="W18" i="5"/>
  <c r="Q18" i="5"/>
  <c r="W78" i="5"/>
  <c r="AI78" i="5"/>
  <c r="I78" i="5"/>
  <c r="O78" i="5"/>
  <c r="AC78" i="5"/>
  <c r="M78" i="5"/>
  <c r="U78" i="5"/>
  <c r="S78" i="5"/>
  <c r="Q78" i="5"/>
  <c r="AG78" i="5"/>
  <c r="AE78" i="5"/>
  <c r="AA78" i="5"/>
  <c r="Y78" i="5"/>
  <c r="K78" i="5"/>
  <c r="BD18" i="4"/>
  <c r="AB41" i="4"/>
  <c r="AF48" i="4"/>
  <c r="AF54" i="4"/>
  <c r="AF63" i="4"/>
  <c r="BH83" i="4"/>
  <c r="AF83" i="4"/>
  <c r="AZ83" i="4"/>
  <c r="L90" i="4"/>
  <c r="BD90" i="4"/>
  <c r="AB90" i="4"/>
  <c r="BL90" i="4"/>
  <c r="AZ90" i="4"/>
  <c r="AN90" i="4"/>
  <c r="Y5" i="5"/>
  <c r="I64" i="5"/>
  <c r="K7" i="5"/>
  <c r="AG7" i="5"/>
  <c r="S7" i="5"/>
  <c r="O7" i="5"/>
  <c r="AC7" i="5"/>
  <c r="AA7" i="5"/>
  <c r="W7" i="5"/>
  <c r="AE7" i="5"/>
  <c r="Q7" i="5"/>
  <c r="M7" i="5"/>
  <c r="AI7" i="5"/>
  <c r="Y31" i="5"/>
  <c r="AA31" i="5"/>
  <c r="M31" i="5"/>
  <c r="W31" i="5"/>
  <c r="U31" i="5"/>
  <c r="AI31" i="5"/>
  <c r="S31" i="5"/>
  <c r="AE31" i="5"/>
  <c r="Q31" i="5"/>
  <c r="O31" i="5"/>
  <c r="K31" i="5"/>
  <c r="AG31" i="5"/>
  <c r="AC31" i="5"/>
  <c r="I31" i="5"/>
  <c r="AA55" i="5"/>
  <c r="Y55" i="5"/>
  <c r="W55" i="5"/>
  <c r="I55" i="5"/>
  <c r="U55" i="5"/>
  <c r="AG55" i="5"/>
  <c r="K55" i="5"/>
  <c r="AE55" i="5"/>
  <c r="AC55" i="5"/>
  <c r="Q55" i="5"/>
  <c r="S55" i="5"/>
  <c r="O55" i="5"/>
  <c r="AA79" i="5"/>
  <c r="M79" i="5"/>
  <c r="W79" i="5"/>
  <c r="U79" i="5"/>
  <c r="Q79" i="5"/>
  <c r="Y79" i="5"/>
  <c r="K79" i="5"/>
  <c r="O79" i="5"/>
  <c r="I79" i="5"/>
  <c r="AG79" i="5"/>
  <c r="AC79" i="5"/>
  <c r="AI79" i="5"/>
  <c r="AE79" i="5"/>
  <c r="S79" i="5"/>
  <c r="AC103" i="5"/>
  <c r="O103" i="5"/>
  <c r="AA103" i="5"/>
  <c r="M103" i="5"/>
  <c r="AI103" i="5"/>
  <c r="I103" i="5"/>
  <c r="Q103" i="5"/>
  <c r="K103" i="5"/>
  <c r="W103" i="5"/>
  <c r="U103" i="5"/>
  <c r="S103" i="5"/>
  <c r="AG103" i="5"/>
  <c r="AE103" i="5"/>
  <c r="Y103" i="5"/>
  <c r="BH6" i="4"/>
  <c r="AJ6" i="4"/>
  <c r="P6" i="4"/>
  <c r="AZ7" i="4"/>
  <c r="AZ9" i="4"/>
  <c r="AZ10" i="4"/>
  <c r="AB12" i="4"/>
  <c r="BD15" i="4"/>
  <c r="BD16" i="4"/>
  <c r="BD17" i="4"/>
  <c r="AF18" i="4"/>
  <c r="BH23" i="4"/>
  <c r="AR26" i="4"/>
  <c r="AV27" i="4"/>
  <c r="BD28" i="4"/>
  <c r="AF28" i="4"/>
  <c r="BD34" i="4"/>
  <c r="AF34" i="4"/>
  <c r="AZ34" i="4"/>
  <c r="AJ36" i="4"/>
  <c r="AV39" i="4"/>
  <c r="AZ40" i="4"/>
  <c r="BL42" i="4"/>
  <c r="BL48" i="4"/>
  <c r="BL54" i="4"/>
  <c r="AZ59" i="4"/>
  <c r="AJ67" i="4"/>
  <c r="X73" i="4"/>
  <c r="AZ91" i="4"/>
  <c r="AV91" i="4"/>
  <c r="P91" i="4"/>
  <c r="AR91" i="4"/>
  <c r="X91" i="4"/>
  <c r="T91" i="4"/>
  <c r="AN91" i="4"/>
  <c r="Y4" i="5"/>
  <c r="Q9" i="5"/>
  <c r="AE9" i="5"/>
  <c r="AG9" i="5"/>
  <c r="O9" i="5"/>
  <c r="M9" i="5"/>
  <c r="Y9" i="5"/>
  <c r="I9" i="5"/>
  <c r="U9" i="5"/>
  <c r="AC9" i="5"/>
  <c r="AA9" i="5"/>
  <c r="Q21" i="5"/>
  <c r="AE21" i="5"/>
  <c r="AC21" i="5"/>
  <c r="O21" i="5"/>
  <c r="K21" i="5"/>
  <c r="AA21" i="5"/>
  <c r="I21" i="5"/>
  <c r="Y21" i="5"/>
  <c r="U21" i="5"/>
  <c r="S21" i="5"/>
  <c r="M21" i="5"/>
  <c r="AI21" i="5"/>
  <c r="AE33" i="5"/>
  <c r="I33" i="5"/>
  <c r="K33" i="5"/>
  <c r="Y33" i="5"/>
  <c r="W33" i="5"/>
  <c r="U33" i="5"/>
  <c r="AG33" i="5"/>
  <c r="Q33" i="5"/>
  <c r="S33" i="5"/>
  <c r="AA33" i="5"/>
  <c r="M33" i="5"/>
  <c r="AE45" i="5"/>
  <c r="I45" i="5"/>
  <c r="Y45" i="5"/>
  <c r="W45" i="5"/>
  <c r="U45" i="5"/>
  <c r="AA45" i="5"/>
  <c r="Q45" i="5"/>
  <c r="M45" i="5"/>
  <c r="K45" i="5"/>
  <c r="AI45" i="5"/>
  <c r="AC45" i="5"/>
  <c r="S45" i="5"/>
  <c r="AG57" i="5"/>
  <c r="W57" i="5"/>
  <c r="AI57" i="5"/>
  <c r="U57" i="5"/>
  <c r="O57" i="5"/>
  <c r="AE57" i="5"/>
  <c r="AC57" i="5"/>
  <c r="K57" i="5"/>
  <c r="Q57" i="5"/>
  <c r="M57" i="5"/>
  <c r="S57" i="5"/>
  <c r="AA57" i="5"/>
  <c r="Y57" i="5"/>
  <c r="AG69" i="5"/>
  <c r="W69" i="5"/>
  <c r="I69" i="5"/>
  <c r="AI69" i="5"/>
  <c r="U69" i="5"/>
  <c r="AC69" i="5"/>
  <c r="K69" i="5"/>
  <c r="AE69" i="5"/>
  <c r="S69" i="5"/>
  <c r="Y69" i="5"/>
  <c r="Q69" i="5"/>
  <c r="O69" i="5"/>
  <c r="AA69" i="5"/>
  <c r="AG81" i="5"/>
  <c r="S81" i="5"/>
  <c r="Y81" i="5"/>
  <c r="I81" i="5"/>
  <c r="W81" i="5"/>
  <c r="Q81" i="5"/>
  <c r="AC81" i="5"/>
  <c r="AA81" i="5"/>
  <c r="O81" i="5"/>
  <c r="M81" i="5"/>
  <c r="K81" i="5"/>
  <c r="AI81" i="5"/>
  <c r="AE81" i="5"/>
  <c r="AG93" i="5"/>
  <c r="S93" i="5"/>
  <c r="AC93" i="5"/>
  <c r="M93" i="5"/>
  <c r="AA93" i="5"/>
  <c r="K93" i="5"/>
  <c r="AI93" i="5"/>
  <c r="I93" i="5"/>
  <c r="W93" i="5"/>
  <c r="U93" i="5"/>
  <c r="Q93" i="5"/>
  <c r="O93" i="5"/>
  <c r="Y93" i="5"/>
  <c r="AC105" i="5"/>
  <c r="Q105" i="5"/>
  <c r="AA105" i="5"/>
  <c r="W105" i="5"/>
  <c r="I105" i="5"/>
  <c r="AI105" i="5"/>
  <c r="U105" i="5"/>
  <c r="Y105" i="5"/>
  <c r="S105" i="5"/>
  <c r="O105" i="5"/>
  <c r="AG105" i="5"/>
  <c r="AE105" i="5"/>
  <c r="K105" i="5"/>
  <c r="M105" i="5"/>
  <c r="AZ3" i="4"/>
  <c r="AZ4" i="4"/>
  <c r="AZ5" i="4"/>
  <c r="AF8" i="4"/>
  <c r="BD9" i="4"/>
  <c r="BD10" i="4"/>
  <c r="BD11" i="4"/>
  <c r="AF12" i="4"/>
  <c r="AJ13" i="4"/>
  <c r="AJ14" i="4"/>
  <c r="BH15" i="4"/>
  <c r="L16" i="4"/>
  <c r="BH16" i="4"/>
  <c r="L17" i="4"/>
  <c r="BH17" i="4"/>
  <c r="BL18" i="4"/>
  <c r="AN19" i="4"/>
  <c r="AN20" i="4"/>
  <c r="BL21" i="4"/>
  <c r="P22" i="4"/>
  <c r="BL22" i="4"/>
  <c r="P23" i="4"/>
  <c r="T24" i="4"/>
  <c r="AV26" i="4"/>
  <c r="BD27" i="4"/>
  <c r="AF27" i="4"/>
  <c r="AZ27" i="4"/>
  <c r="AN30" i="4"/>
  <c r="AR31" i="4"/>
  <c r="BD33" i="4"/>
  <c r="AF33" i="4"/>
  <c r="AZ33" i="4"/>
  <c r="AJ35" i="4"/>
  <c r="AN36" i="4"/>
  <c r="AR37" i="4"/>
  <c r="AV38" i="4"/>
  <c r="BD39" i="4"/>
  <c r="AF39" i="4"/>
  <c r="AZ39" i="4"/>
  <c r="AN42" i="4"/>
  <c r="BD47" i="4"/>
  <c r="AN48" i="4"/>
  <c r="AN51" i="4"/>
  <c r="AF53" i="4"/>
  <c r="AN54" i="4"/>
  <c r="BD59" i="4"/>
  <c r="AN60" i="4"/>
  <c r="AN63" i="4"/>
  <c r="BH71" i="4"/>
  <c r="AF71" i="4"/>
  <c r="L71" i="4"/>
  <c r="AB71" i="4"/>
  <c r="L83" i="4"/>
  <c r="AI8" i="5"/>
  <c r="AI9" i="5"/>
  <c r="K13" i="5"/>
  <c r="I29" i="5"/>
  <c r="Q43" i="5"/>
  <c r="AG44" i="5"/>
  <c r="AE93" i="5"/>
  <c r="AB22" i="4"/>
  <c r="BH45" i="4"/>
  <c r="AJ45" i="4"/>
  <c r="L45" i="4"/>
  <c r="X45" i="4"/>
  <c r="AB51" i="4"/>
  <c r="BD57" i="4"/>
  <c r="BD60" i="4"/>
  <c r="Q17" i="5"/>
  <c r="U17" i="5"/>
  <c r="K17" i="5"/>
  <c r="Y17" i="5"/>
  <c r="I17" i="5"/>
  <c r="W17" i="5"/>
  <c r="AG17" i="5"/>
  <c r="AI17" i="5"/>
  <c r="M17" i="5"/>
  <c r="AC17" i="5"/>
  <c r="AE17" i="5"/>
  <c r="AA17" i="5"/>
  <c r="O17" i="5"/>
  <c r="AE41" i="5"/>
  <c r="AI41" i="5"/>
  <c r="S41" i="5"/>
  <c r="AG41" i="5"/>
  <c r="Q41" i="5"/>
  <c r="O41" i="5"/>
  <c r="K41" i="5"/>
  <c r="M41" i="5"/>
  <c r="I41" i="5"/>
  <c r="AC41" i="5"/>
  <c r="W41" i="5"/>
  <c r="Y41" i="5"/>
  <c r="U41" i="5"/>
  <c r="AG53" i="5"/>
  <c r="K53" i="5"/>
  <c r="U53" i="5"/>
  <c r="AI53" i="5"/>
  <c r="S53" i="5"/>
  <c r="Q53" i="5"/>
  <c r="AC53" i="5"/>
  <c r="Y53" i="5"/>
  <c r="W53" i="5"/>
  <c r="AE53" i="5"/>
  <c r="AA53" i="5"/>
  <c r="M53" i="5"/>
  <c r="O53" i="5"/>
  <c r="AG89" i="5"/>
  <c r="S89" i="5"/>
  <c r="W89" i="5"/>
  <c r="U89" i="5"/>
  <c r="O89" i="5"/>
  <c r="AI89" i="5"/>
  <c r="M89" i="5"/>
  <c r="AE89" i="5"/>
  <c r="AA89" i="5"/>
  <c r="AC89" i="5"/>
  <c r="Y89" i="5"/>
  <c r="Q89" i="5"/>
  <c r="K89" i="5"/>
  <c r="I89" i="5"/>
  <c r="AE2" i="4"/>
  <c r="AA13" i="4"/>
  <c r="R14" i="5" s="1"/>
  <c r="BD29" i="4"/>
  <c r="AF29" i="4"/>
  <c r="BD41" i="4"/>
  <c r="AF41" i="4"/>
  <c r="AF45" i="4"/>
  <c r="O5" i="5"/>
  <c r="I53" i="5"/>
  <c r="AG6" i="5"/>
  <c r="AA6" i="5"/>
  <c r="M6" i="5"/>
  <c r="U6" i="5"/>
  <c r="S6" i="5"/>
  <c r="Q6" i="5"/>
  <c r="AC6" i="5"/>
  <c r="O6" i="5"/>
  <c r="AE6" i="5"/>
  <c r="I6" i="5"/>
  <c r="Y6" i="5"/>
  <c r="W6" i="5"/>
  <c r="K6" i="5"/>
  <c r="AI30" i="5"/>
  <c r="U30" i="5"/>
  <c r="AG30" i="5"/>
  <c r="S30" i="5"/>
  <c r="M30" i="5"/>
  <c r="AA30" i="5"/>
  <c r="K30" i="5"/>
  <c r="Y30" i="5"/>
  <c r="I30" i="5"/>
  <c r="AE30" i="5"/>
  <c r="O30" i="5"/>
  <c r="AC30" i="5"/>
  <c r="W30" i="5"/>
  <c r="Q30" i="5"/>
  <c r="W54" i="5"/>
  <c r="O54" i="5"/>
  <c r="AC54" i="5"/>
  <c r="AA54" i="5"/>
  <c r="K54" i="5"/>
  <c r="AE54" i="5"/>
  <c r="Y54" i="5"/>
  <c r="S54" i="5"/>
  <c r="M54" i="5"/>
  <c r="AI54" i="5"/>
  <c r="U54" i="5"/>
  <c r="I54" i="5"/>
  <c r="W66" i="5"/>
  <c r="AG66" i="5"/>
  <c r="S66" i="5"/>
  <c r="AI66" i="5"/>
  <c r="O66" i="5"/>
  <c r="AE66" i="5"/>
  <c r="AC66" i="5"/>
  <c r="K66" i="5"/>
  <c r="Y66" i="5"/>
  <c r="U66" i="5"/>
  <c r="Q66" i="5"/>
  <c r="I66" i="5"/>
  <c r="M66" i="5"/>
  <c r="AA66" i="5"/>
  <c r="M102" i="5"/>
  <c r="Y102" i="5"/>
  <c r="K102" i="5"/>
  <c r="W102" i="5"/>
  <c r="AI102" i="5"/>
  <c r="I102" i="5"/>
  <c r="S102" i="5"/>
  <c r="O102" i="5"/>
  <c r="AG102" i="5"/>
  <c r="AE102" i="5"/>
  <c r="AA102" i="5"/>
  <c r="Q102" i="5"/>
  <c r="AC102" i="5"/>
  <c r="U102" i="5"/>
  <c r="BH7" i="4"/>
  <c r="L9" i="4"/>
  <c r="P13" i="4"/>
  <c r="P14" i="4"/>
  <c r="P15" i="4"/>
  <c r="AJ16" i="4"/>
  <c r="P42" i="4"/>
  <c r="AF44" i="4"/>
  <c r="L67" i="4"/>
  <c r="AR68" i="4"/>
  <c r="T68" i="4"/>
  <c r="BL68" i="4"/>
  <c r="AN68" i="4"/>
  <c r="P68" i="4"/>
  <c r="BH68" i="4"/>
  <c r="AF68" i="4"/>
  <c r="AZ68" i="4"/>
  <c r="X68" i="4"/>
  <c r="AZ76" i="4"/>
  <c r="Q28" i="5"/>
  <c r="K23" i="5"/>
  <c r="AE23" i="5"/>
  <c r="Q23" i="5"/>
  <c r="AC23" i="5"/>
  <c r="O23" i="5"/>
  <c r="AG23" i="5"/>
  <c r="I23" i="5"/>
  <c r="U23" i="5"/>
  <c r="M23" i="5"/>
  <c r="AI23" i="5"/>
  <c r="AA23" i="5"/>
  <c r="W23" i="5"/>
  <c r="AA83" i="5"/>
  <c r="M83" i="5"/>
  <c r="AE83" i="5"/>
  <c r="O83" i="5"/>
  <c r="AC83" i="5"/>
  <c r="K83" i="5"/>
  <c r="S83" i="5"/>
  <c r="AI83" i="5"/>
  <c r="Y83" i="5"/>
  <c r="W83" i="5"/>
  <c r="U83" i="5"/>
  <c r="AG83" i="5"/>
  <c r="Q83" i="5"/>
  <c r="I83" i="5"/>
  <c r="BD5" i="4"/>
  <c r="AJ7" i="4"/>
  <c r="L11" i="4"/>
  <c r="BH11" i="4"/>
  <c r="AN13" i="4"/>
  <c r="BL15" i="4"/>
  <c r="P16" i="4"/>
  <c r="BL16" i="4"/>
  <c r="T18" i="4"/>
  <c r="AZ26" i="4"/>
  <c r="AN29" i="4"/>
  <c r="BD32" i="4"/>
  <c r="AF32" i="4"/>
  <c r="AR42" i="4"/>
  <c r="BL50" i="4"/>
  <c r="AR51" i="4"/>
  <c r="AR54" i="4"/>
  <c r="AR63" i="4"/>
  <c r="AA12" i="5"/>
  <c r="AI12" i="5"/>
  <c r="K12" i="5"/>
  <c r="S12" i="5"/>
  <c r="O12" i="5"/>
  <c r="I12" i="5"/>
  <c r="AC12" i="5"/>
  <c r="Y12" i="5"/>
  <c r="W12" i="5"/>
  <c r="U12" i="5"/>
  <c r="Q12" i="5"/>
  <c r="AA24" i="5"/>
  <c r="W24" i="5"/>
  <c r="U24" i="5"/>
  <c r="AI24" i="5"/>
  <c r="S24" i="5"/>
  <c r="AE24" i="5"/>
  <c r="K24" i="5"/>
  <c r="I24" i="5"/>
  <c r="AC24" i="5"/>
  <c r="O24" i="5"/>
  <c r="M24" i="5"/>
  <c r="O36" i="5"/>
  <c r="AA36" i="5"/>
  <c r="M36" i="5"/>
  <c r="U36" i="5"/>
  <c r="AI36" i="5"/>
  <c r="S36" i="5"/>
  <c r="AG36" i="5"/>
  <c r="AE36" i="5"/>
  <c r="AC36" i="5"/>
  <c r="Y36" i="5"/>
  <c r="Q36" i="5"/>
  <c r="W36" i="5"/>
  <c r="O48" i="5"/>
  <c r="AA48" i="5"/>
  <c r="M48" i="5"/>
  <c r="AI48" i="5"/>
  <c r="S48" i="5"/>
  <c r="AG48" i="5"/>
  <c r="Q48" i="5"/>
  <c r="AC48" i="5"/>
  <c r="W48" i="5"/>
  <c r="I48" i="5"/>
  <c r="K48" i="5"/>
  <c r="Q60" i="5"/>
  <c r="AA60" i="5"/>
  <c r="M60" i="5"/>
  <c r="K60" i="5"/>
  <c r="Y60" i="5"/>
  <c r="AE60" i="5"/>
  <c r="I60" i="5"/>
  <c r="AC60" i="5"/>
  <c r="W60" i="5"/>
  <c r="U60" i="5"/>
  <c r="S60" i="5"/>
  <c r="O60" i="5"/>
  <c r="AI60" i="5"/>
  <c r="AG60" i="5"/>
  <c r="Q72" i="5"/>
  <c r="AC72" i="5"/>
  <c r="AI72" i="5"/>
  <c r="S72" i="5"/>
  <c r="AG72" i="5"/>
  <c r="AE72" i="5"/>
  <c r="I72" i="5"/>
  <c r="O72" i="5"/>
  <c r="M72" i="5"/>
  <c r="K72" i="5"/>
  <c r="U72" i="5"/>
  <c r="W72" i="5"/>
  <c r="Q84" i="5"/>
  <c r="AC84" i="5"/>
  <c r="W84" i="5"/>
  <c r="U84" i="5"/>
  <c r="O84" i="5"/>
  <c r="S84" i="5"/>
  <c r="AI84" i="5"/>
  <c r="M84" i="5"/>
  <c r="AE84" i="5"/>
  <c r="I84" i="5"/>
  <c r="AA84" i="5"/>
  <c r="AG84" i="5"/>
  <c r="Y84" i="5"/>
  <c r="K84" i="5"/>
  <c r="Q96" i="5"/>
  <c r="AC96" i="5"/>
  <c r="AA96" i="5"/>
  <c r="K96" i="5"/>
  <c r="Y96" i="5"/>
  <c r="I96" i="5"/>
  <c r="W96" i="5"/>
  <c r="S96" i="5"/>
  <c r="AI96" i="5"/>
  <c r="M96" i="5"/>
  <c r="U96" i="5"/>
  <c r="O96" i="5"/>
  <c r="AG96" i="5"/>
  <c r="L3" i="4"/>
  <c r="AF3" i="4"/>
  <c r="AF4" i="4"/>
  <c r="AF5" i="4"/>
  <c r="L6" i="4"/>
  <c r="P7" i="4"/>
  <c r="BL7" i="4"/>
  <c r="P8" i="4"/>
  <c r="BL8" i="4"/>
  <c r="P9" i="4"/>
  <c r="AJ9" i="4"/>
  <c r="AJ10" i="4"/>
  <c r="AN12" i="4"/>
  <c r="T13" i="4"/>
  <c r="T14" i="4"/>
  <c r="T15" i="4"/>
  <c r="AN15" i="4"/>
  <c r="AN16" i="4"/>
  <c r="AR18" i="4"/>
  <c r="X19" i="4"/>
  <c r="X20" i="4"/>
  <c r="X21" i="4"/>
  <c r="AR21" i="4"/>
  <c r="X23" i="4"/>
  <c r="AV24" i="4"/>
  <c r="BD25" i="4"/>
  <c r="AF25" i="4"/>
  <c r="L25" i="4"/>
  <c r="BH27" i="4"/>
  <c r="L28" i="4"/>
  <c r="BL28" i="4"/>
  <c r="P29" i="4"/>
  <c r="T30" i="4"/>
  <c r="X31" i="4"/>
  <c r="AB32" i="4"/>
  <c r="BH33" i="4"/>
  <c r="L34" i="4"/>
  <c r="BL34" i="4"/>
  <c r="P35" i="4"/>
  <c r="T36" i="4"/>
  <c r="X37" i="4"/>
  <c r="BH39" i="4"/>
  <c r="L40" i="4"/>
  <c r="BL40" i="4"/>
  <c r="P41" i="4"/>
  <c r="T42" i="4"/>
  <c r="BH43" i="4"/>
  <c r="AJ43" i="4"/>
  <c r="L43" i="4"/>
  <c r="BL43" i="4"/>
  <c r="AB43" i="4"/>
  <c r="T45" i="4"/>
  <c r="AV45" i="4"/>
  <c r="BH46" i="4"/>
  <c r="AJ46" i="4"/>
  <c r="L46" i="4"/>
  <c r="BD46" i="4"/>
  <c r="AB46" i="4"/>
  <c r="T48" i="4"/>
  <c r="BH49" i="4"/>
  <c r="AJ49" i="4"/>
  <c r="L49" i="4"/>
  <c r="X49" i="4"/>
  <c r="BD49" i="4"/>
  <c r="BH52" i="4"/>
  <c r="AJ52" i="4"/>
  <c r="L52" i="4"/>
  <c r="AR52" i="4"/>
  <c r="AB52" i="4"/>
  <c r="BD52" i="4"/>
  <c r="AN53" i="4"/>
  <c r="T54" i="4"/>
  <c r="BH55" i="4"/>
  <c r="AJ55" i="4"/>
  <c r="L55" i="4"/>
  <c r="BL55" i="4"/>
  <c r="AB55" i="4"/>
  <c r="T57" i="4"/>
  <c r="AV57" i="4"/>
  <c r="BH58" i="4"/>
  <c r="AJ58" i="4"/>
  <c r="L58" i="4"/>
  <c r="BD58" i="4"/>
  <c r="AB58" i="4"/>
  <c r="T60" i="4"/>
  <c r="AV60" i="4"/>
  <c r="BH61" i="4"/>
  <c r="AJ61" i="4"/>
  <c r="L61" i="4"/>
  <c r="X61" i="4"/>
  <c r="BD61" i="4"/>
  <c r="T63" i="4"/>
  <c r="BH64" i="4"/>
  <c r="AJ64" i="4"/>
  <c r="L64" i="4"/>
  <c r="AR64" i="4"/>
  <c r="AB64" i="4"/>
  <c r="BD64" i="4"/>
  <c r="BL66" i="4"/>
  <c r="AN66" i="4"/>
  <c r="P66" i="4"/>
  <c r="X66" i="4"/>
  <c r="AR66" i="4"/>
  <c r="BH66" i="4"/>
  <c r="L66" i="4"/>
  <c r="AF66" i="4"/>
  <c r="AZ71" i="4"/>
  <c r="BD83" i="4"/>
  <c r="X90" i="4"/>
  <c r="AN97" i="4"/>
  <c r="BL97" i="4"/>
  <c r="AF97" i="4"/>
  <c r="BD97" i="4"/>
  <c r="T97" i="4"/>
  <c r="AV97" i="4"/>
  <c r="AZ97" i="4"/>
  <c r="AR97" i="4"/>
  <c r="AB98" i="4"/>
  <c r="X98" i="4"/>
  <c r="AR98" i="4"/>
  <c r="AG12" i="5"/>
  <c r="AC15" i="5"/>
  <c r="S23" i="5"/>
  <c r="Y24" i="5"/>
  <c r="K39" i="5"/>
  <c r="S40" i="5"/>
  <c r="I57" i="5"/>
  <c r="S67" i="5"/>
  <c r="U81" i="5"/>
  <c r="I104" i="5"/>
  <c r="AA16" i="5"/>
  <c r="AG16" i="5"/>
  <c r="Q16" i="5"/>
  <c r="AC16" i="5"/>
  <c r="M16" i="5"/>
  <c r="Y16" i="5"/>
  <c r="I16" i="5"/>
  <c r="AE16" i="5"/>
  <c r="S16" i="5"/>
  <c r="W16" i="5"/>
  <c r="O28" i="5"/>
  <c r="W28" i="5"/>
  <c r="AA28" i="5"/>
  <c r="K28" i="5"/>
  <c r="Y28" i="5"/>
  <c r="I28" i="5"/>
  <c r="U28" i="5"/>
  <c r="AI28" i="5"/>
  <c r="AG28" i="5"/>
  <c r="AC28" i="5"/>
  <c r="AE28" i="5"/>
  <c r="M28" i="5"/>
  <c r="Q52" i="5"/>
  <c r="AA52" i="5"/>
  <c r="K52" i="5"/>
  <c r="W52" i="5"/>
  <c r="Y52" i="5"/>
  <c r="U52" i="5"/>
  <c r="S52" i="5"/>
  <c r="AI52" i="5"/>
  <c r="O52" i="5"/>
  <c r="M52" i="5"/>
  <c r="AE52" i="5"/>
  <c r="AC52" i="5"/>
  <c r="AG52" i="5"/>
  <c r="S100" i="5"/>
  <c r="AE100" i="5"/>
  <c r="Q100" i="5"/>
  <c r="AC100" i="5"/>
  <c r="AG100" i="5"/>
  <c r="M100" i="5"/>
  <c r="K100" i="5"/>
  <c r="AA100" i="5"/>
  <c r="W100" i="5"/>
  <c r="O100" i="5"/>
  <c r="U100" i="5"/>
  <c r="I100" i="5"/>
  <c r="AI100" i="5"/>
  <c r="Y100" i="5"/>
  <c r="BH48" i="4"/>
  <c r="AJ48" i="4"/>
  <c r="L48" i="4"/>
  <c r="AR48" i="4"/>
  <c r="BH51" i="4"/>
  <c r="AJ51" i="4"/>
  <c r="L51" i="4"/>
  <c r="BL51" i="4"/>
  <c r="AB54" i="4"/>
  <c r="AB60" i="4"/>
  <c r="AR70" i="4"/>
  <c r="T70" i="4"/>
  <c r="BL70" i="4"/>
  <c r="AN70" i="4"/>
  <c r="P70" i="4"/>
  <c r="BD70" i="4"/>
  <c r="AB70" i="4"/>
  <c r="AV70" i="4"/>
  <c r="X70" i="4"/>
  <c r="M4" i="5"/>
  <c r="AI16" i="5"/>
  <c r="AG77" i="5"/>
  <c r="S77" i="5"/>
  <c r="AI77" i="5"/>
  <c r="Q77" i="5"/>
  <c r="AE77" i="5"/>
  <c r="AA77" i="5"/>
  <c r="M77" i="5"/>
  <c r="K77" i="5"/>
  <c r="AC77" i="5"/>
  <c r="I77" i="5"/>
  <c r="Y77" i="5"/>
  <c r="W77" i="5"/>
  <c r="U77" i="5"/>
  <c r="O77" i="5"/>
  <c r="AQ2" i="4"/>
  <c r="AB8" i="4"/>
  <c r="AV8" i="4"/>
  <c r="BD51" i="4"/>
  <c r="BL67" i="4"/>
  <c r="AN67" i="4"/>
  <c r="P67" i="4"/>
  <c r="BD67" i="4"/>
  <c r="X67" i="4"/>
  <c r="AB67" i="4"/>
  <c r="AZ67" i="4"/>
  <c r="AF67" i="4"/>
  <c r="AJ70" i="4"/>
  <c r="AE65" i="5"/>
  <c r="W90" i="5"/>
  <c r="AI90" i="5"/>
  <c r="I90" i="5"/>
  <c r="AG90" i="5"/>
  <c r="Q90" i="5"/>
  <c r="AE90" i="5"/>
  <c r="AA90" i="5"/>
  <c r="K90" i="5"/>
  <c r="S90" i="5"/>
  <c r="Y90" i="5"/>
  <c r="U90" i="5"/>
  <c r="O90" i="5"/>
  <c r="M90" i="5"/>
  <c r="AC90" i="5"/>
  <c r="BD14" i="4"/>
  <c r="AB15" i="4"/>
  <c r="AB16" i="4"/>
  <c r="AF22" i="4"/>
  <c r="AB29" i="4"/>
  <c r="BH30" i="4"/>
  <c r="L2" i="4"/>
  <c r="X2" i="4"/>
  <c r="AV2" i="4"/>
  <c r="BH2" i="4"/>
  <c r="AB5" i="4"/>
  <c r="L8" i="4"/>
  <c r="BH8" i="4"/>
  <c r="AF9" i="4"/>
  <c r="AF10" i="4"/>
  <c r="BL13" i="4"/>
  <c r="AJ15" i="4"/>
  <c r="AJ17" i="4"/>
  <c r="AN22" i="4"/>
  <c r="L29" i="4"/>
  <c r="BL29" i="4"/>
  <c r="P30" i="4"/>
  <c r="BL35" i="4"/>
  <c r="P36" i="4"/>
  <c r="BL41" i="4"/>
  <c r="P48" i="4"/>
  <c r="AF50" i="4"/>
  <c r="P51" i="4"/>
  <c r="P54" i="4"/>
  <c r="AF56" i="4"/>
  <c r="AR57" i="4"/>
  <c r="AF62" i="4"/>
  <c r="AR67" i="4"/>
  <c r="AZ70" i="4"/>
  <c r="L78" i="4"/>
  <c r="AV78" i="4"/>
  <c r="BH78" i="4"/>
  <c r="AR80" i="4"/>
  <c r="T80" i="4"/>
  <c r="BL80" i="4"/>
  <c r="AN80" i="4"/>
  <c r="P80" i="4"/>
  <c r="AJ80" i="4"/>
  <c r="BH80" i="4"/>
  <c r="AF80" i="4"/>
  <c r="AZ80" i="4"/>
  <c r="X80" i="4"/>
  <c r="AA41" i="5"/>
  <c r="Q42" i="5"/>
  <c r="K11" i="5"/>
  <c r="AC11" i="5"/>
  <c r="O11" i="5"/>
  <c r="AI11" i="5"/>
  <c r="S11" i="5"/>
  <c r="AG11" i="5"/>
  <c r="AE11" i="5"/>
  <c r="AA11" i="5"/>
  <c r="I11" i="5"/>
  <c r="W11" i="5"/>
  <c r="U11" i="5"/>
  <c r="Y11" i="5"/>
  <c r="M11" i="5"/>
  <c r="Y35" i="5"/>
  <c r="U35" i="5"/>
  <c r="M35" i="5"/>
  <c r="AA35" i="5"/>
  <c r="K35" i="5"/>
  <c r="I35" i="5"/>
  <c r="AI35" i="5"/>
  <c r="S35" i="5"/>
  <c r="W35" i="5"/>
  <c r="Q35" i="5"/>
  <c r="AC35" i="5"/>
  <c r="O35" i="5"/>
  <c r="AG35" i="5"/>
  <c r="Y47" i="5"/>
  <c r="U47" i="5"/>
  <c r="AA47" i="5"/>
  <c r="K47" i="5"/>
  <c r="I47" i="5"/>
  <c r="W47" i="5"/>
  <c r="AG47" i="5"/>
  <c r="O47" i="5"/>
  <c r="AI47" i="5"/>
  <c r="M47" i="5"/>
  <c r="S47" i="5"/>
  <c r="AC47" i="5"/>
  <c r="AA71" i="5"/>
  <c r="M71" i="5"/>
  <c r="Y71" i="5"/>
  <c r="I71" i="5"/>
  <c r="W71" i="5"/>
  <c r="AG71" i="5"/>
  <c r="O71" i="5"/>
  <c r="K71" i="5"/>
  <c r="U71" i="5"/>
  <c r="AI71" i="5"/>
  <c r="AE71" i="5"/>
  <c r="AC71" i="5"/>
  <c r="S71" i="5"/>
  <c r="Q71" i="5"/>
  <c r="AA95" i="5"/>
  <c r="M95" i="5"/>
  <c r="S95" i="5"/>
  <c r="AG95" i="5"/>
  <c r="Q95" i="5"/>
  <c r="K95" i="5"/>
  <c r="AC95" i="5"/>
  <c r="AI95" i="5"/>
  <c r="AE95" i="5"/>
  <c r="Y95" i="5"/>
  <c r="W95" i="5"/>
  <c r="O95" i="5"/>
  <c r="U95" i="5"/>
  <c r="I95" i="5"/>
  <c r="AJ8" i="4"/>
  <c r="L10" i="4"/>
  <c r="BL12" i="4"/>
  <c r="AR19" i="4"/>
  <c r="T22" i="4"/>
  <c r="AR23" i="4"/>
  <c r="BD26" i="4"/>
  <c r="AF26" i="4"/>
  <c r="AR30" i="4"/>
  <c r="AZ32" i="4"/>
  <c r="AN35" i="4"/>
  <c r="AR36" i="4"/>
  <c r="BD38" i="4"/>
  <c r="AF38" i="4"/>
  <c r="AN41" i="4"/>
  <c r="BL44" i="4"/>
  <c r="BL56" i="4"/>
  <c r="BL62" i="4"/>
  <c r="AJ68" i="4"/>
  <c r="BD72" i="4"/>
  <c r="AZ72" i="4"/>
  <c r="X72" i="4"/>
  <c r="L72" i="4"/>
  <c r="AJ72" i="4"/>
  <c r="AR73" i="4"/>
  <c r="T73" i="4"/>
  <c r="BL73" i="4"/>
  <c r="AN73" i="4"/>
  <c r="P73" i="4"/>
  <c r="L73" i="4"/>
  <c r="BD73" i="4"/>
  <c r="AB73" i="4"/>
  <c r="BH73" i="4"/>
  <c r="AZ73" i="4"/>
  <c r="AJ79" i="4"/>
  <c r="BH79" i="4"/>
  <c r="AZ79" i="4"/>
  <c r="T95" i="4"/>
  <c r="BH102" i="4"/>
  <c r="AJ102" i="4"/>
  <c r="L102" i="4"/>
  <c r="AV102" i="4"/>
  <c r="T102" i="4"/>
  <c r="P102" i="4"/>
  <c r="AZ102" i="4"/>
  <c r="X102" i="4"/>
  <c r="AR102" i="4"/>
  <c r="BL102" i="4"/>
  <c r="AN102" i="4"/>
  <c r="AF102" i="4"/>
  <c r="AG61" i="5"/>
  <c r="AE61" i="5"/>
  <c r="Q61" i="5"/>
  <c r="Y61" i="5"/>
  <c r="O61" i="5"/>
  <c r="AC61" i="5"/>
  <c r="AA61" i="5"/>
  <c r="S61" i="5"/>
  <c r="M61" i="5"/>
  <c r="K61" i="5"/>
  <c r="I61" i="5"/>
  <c r="AI61" i="5"/>
  <c r="W61" i="5"/>
  <c r="U61" i="5"/>
  <c r="AN40" i="4"/>
  <c r="AR41" i="4"/>
  <c r="AN47" i="4"/>
  <c r="AV51" i="4"/>
  <c r="AN59" i="4"/>
  <c r="T67" i="4"/>
  <c r="BH70" i="4"/>
  <c r="AV72" i="4"/>
  <c r="AZ78" i="4"/>
  <c r="X83" i="4"/>
  <c r="AZ99" i="4"/>
  <c r="AV99" i="4"/>
  <c r="P99" i="4"/>
  <c r="BL99" i="4"/>
  <c r="AF99" i="4"/>
  <c r="T99" i="4"/>
  <c r="BD99" i="4"/>
  <c r="AN99" i="4"/>
  <c r="AR99" i="4"/>
  <c r="K18" i="5"/>
  <c r="M20" i="5"/>
  <c r="Y23" i="5"/>
  <c r="AG24" i="5"/>
  <c r="O33" i="5"/>
  <c r="I36" i="5"/>
  <c r="AE96" i="5"/>
  <c r="AG14" i="5"/>
  <c r="AE14" i="5"/>
  <c r="Q14" i="5"/>
  <c r="AC14" i="5"/>
  <c r="M14" i="5"/>
  <c r="K14" i="5"/>
  <c r="W14" i="5"/>
  <c r="U14" i="5"/>
  <c r="AI14" i="5"/>
  <c r="I14" i="5"/>
  <c r="AA14" i="5"/>
  <c r="O14" i="5"/>
  <c r="AI26" i="5"/>
  <c r="U26" i="5"/>
  <c r="Y26" i="5"/>
  <c r="K26" i="5"/>
  <c r="I26" i="5"/>
  <c r="W26" i="5"/>
  <c r="O26" i="5"/>
  <c r="M26" i="5"/>
  <c r="AC26" i="5"/>
  <c r="AG26" i="5"/>
  <c r="S26" i="5"/>
  <c r="AE26" i="5"/>
  <c r="AI38" i="5"/>
  <c r="U38" i="5"/>
  <c r="Y38" i="5"/>
  <c r="K38" i="5"/>
  <c r="W38" i="5"/>
  <c r="S38" i="5"/>
  <c r="AE38" i="5"/>
  <c r="Q38" i="5"/>
  <c r="I38" i="5"/>
  <c r="O38" i="5"/>
  <c r="AG38" i="5"/>
  <c r="AC38" i="5"/>
  <c r="W50" i="5"/>
  <c r="AA50" i="5"/>
  <c r="K50" i="5"/>
  <c r="U50" i="5"/>
  <c r="Y50" i="5"/>
  <c r="S50" i="5"/>
  <c r="O50" i="5"/>
  <c r="I50" i="5"/>
  <c r="AC50" i="5"/>
  <c r="Q50" i="5"/>
  <c r="AI50" i="5"/>
  <c r="W62" i="5"/>
  <c r="K62" i="5"/>
  <c r="Y62" i="5"/>
  <c r="I62" i="5"/>
  <c r="AA62" i="5"/>
  <c r="Q62" i="5"/>
  <c r="O62" i="5"/>
  <c r="AI62" i="5"/>
  <c r="M62" i="5"/>
  <c r="AG62" i="5"/>
  <c r="AE62" i="5"/>
  <c r="AC62" i="5"/>
  <c r="U62" i="5"/>
  <c r="S62" i="5"/>
  <c r="W74" i="5"/>
  <c r="AI74" i="5"/>
  <c r="I74" i="5"/>
  <c r="Y74" i="5"/>
  <c r="U74" i="5"/>
  <c r="AG74" i="5"/>
  <c r="O74" i="5"/>
  <c r="K74" i="5"/>
  <c r="AA74" i="5"/>
  <c r="S74" i="5"/>
  <c r="Q74" i="5"/>
  <c r="AC74" i="5"/>
  <c r="W86" i="5"/>
  <c r="AI86" i="5"/>
  <c r="I86" i="5"/>
  <c r="M86" i="5"/>
  <c r="AA86" i="5"/>
  <c r="K86" i="5"/>
  <c r="S86" i="5"/>
  <c r="AC86" i="5"/>
  <c r="U86" i="5"/>
  <c r="Q86" i="5"/>
  <c r="O86" i="5"/>
  <c r="AG86" i="5"/>
  <c r="AE86" i="5"/>
  <c r="M98" i="5"/>
  <c r="W98" i="5"/>
  <c r="AI98" i="5"/>
  <c r="I98" i="5"/>
  <c r="U98" i="5"/>
  <c r="S98" i="5"/>
  <c r="AE98" i="5"/>
  <c r="O98" i="5"/>
  <c r="K98" i="5"/>
  <c r="AA98" i="5"/>
  <c r="AG98" i="5"/>
  <c r="Q98" i="5"/>
  <c r="AC98" i="5"/>
  <c r="Y98" i="5"/>
  <c r="P2" i="4"/>
  <c r="AB2" i="4"/>
  <c r="AN2" i="4"/>
  <c r="AZ2" i="4"/>
  <c r="BL2" i="4"/>
  <c r="P3" i="4"/>
  <c r="AJ3" i="4"/>
  <c r="AJ4" i="4"/>
  <c r="AJ5" i="4"/>
  <c r="AN6" i="4"/>
  <c r="T8" i="4"/>
  <c r="T9" i="4"/>
  <c r="AN9" i="4"/>
  <c r="X13" i="4"/>
  <c r="X15" i="4"/>
  <c r="X17" i="4"/>
  <c r="BD19" i="4"/>
  <c r="AF19" i="4"/>
  <c r="L19" i="4"/>
  <c r="AR22" i="4"/>
  <c r="X22" i="4"/>
  <c r="BL23" i="4"/>
  <c r="AN23" i="4"/>
  <c r="T23" i="4"/>
  <c r="AB25" i="4"/>
  <c r="BH26" i="4"/>
  <c r="L27" i="4"/>
  <c r="BL27" i="4"/>
  <c r="P28" i="4"/>
  <c r="T29" i="4"/>
  <c r="BH32" i="4"/>
  <c r="L33" i="4"/>
  <c r="BL33" i="4"/>
  <c r="P34" i="4"/>
  <c r="T35" i="4"/>
  <c r="BH38" i="4"/>
  <c r="L39" i="4"/>
  <c r="BL39" i="4"/>
  <c r="P40" i="4"/>
  <c r="T41" i="4"/>
  <c r="AF43" i="4"/>
  <c r="P44" i="4"/>
  <c r="AZ45" i="4"/>
  <c r="AF46" i="4"/>
  <c r="P47" i="4"/>
  <c r="X48" i="4"/>
  <c r="AZ48" i="4"/>
  <c r="P50" i="4"/>
  <c r="X51" i="4"/>
  <c r="AF52" i="4"/>
  <c r="P53" i="4"/>
  <c r="AR53" i="4"/>
  <c r="X54" i="4"/>
  <c r="AF55" i="4"/>
  <c r="P56" i="4"/>
  <c r="AZ57" i="4"/>
  <c r="AF58" i="4"/>
  <c r="P59" i="4"/>
  <c r="X60" i="4"/>
  <c r="AZ60" i="4"/>
  <c r="P62" i="4"/>
  <c r="X63" i="4"/>
  <c r="AF64" i="4"/>
  <c r="P65" i="4"/>
  <c r="AJ66" i="4"/>
  <c r="BD71" i="4"/>
  <c r="AV80" i="4"/>
  <c r="AF93" i="4"/>
  <c r="X93" i="4"/>
  <c r="AV93" i="4"/>
  <c r="AZ93" i="4"/>
  <c r="AR93" i="4"/>
  <c r="AZ98" i="4"/>
  <c r="O16" i="5"/>
  <c r="U18" i="5"/>
  <c r="Q20" i="5"/>
  <c r="W21" i="5"/>
  <c r="I32" i="5"/>
  <c r="K36" i="5"/>
  <c r="K80" i="5"/>
  <c r="AA4" i="5"/>
  <c r="AI4" i="5"/>
  <c r="S4" i="5"/>
  <c r="AG4" i="5"/>
  <c r="AE4" i="5"/>
  <c r="O4" i="5"/>
  <c r="K4" i="5"/>
  <c r="AC4" i="5"/>
  <c r="Q4" i="5"/>
  <c r="I4" i="5"/>
  <c r="O40" i="5"/>
  <c r="W40" i="5"/>
  <c r="K40" i="5"/>
  <c r="Y40" i="5"/>
  <c r="I40" i="5"/>
  <c r="U40" i="5"/>
  <c r="AG40" i="5"/>
  <c r="M40" i="5"/>
  <c r="AI40" i="5"/>
  <c r="AE40" i="5"/>
  <c r="AA40" i="5"/>
  <c r="Q40" i="5"/>
  <c r="Q76" i="5"/>
  <c r="AC76" i="5"/>
  <c r="Y76" i="5"/>
  <c r="I76" i="5"/>
  <c r="W76" i="5"/>
  <c r="AI76" i="5"/>
  <c r="O76" i="5"/>
  <c r="K76" i="5"/>
  <c r="AA76" i="5"/>
  <c r="U76" i="5"/>
  <c r="M76" i="5"/>
  <c r="AG76" i="5"/>
  <c r="S76" i="5"/>
  <c r="AE76" i="5"/>
  <c r="BD48" i="4"/>
  <c r="AE29" i="5"/>
  <c r="AI29" i="5"/>
  <c r="S29" i="5"/>
  <c r="AG29" i="5"/>
  <c r="Q29" i="5"/>
  <c r="AA29" i="5"/>
  <c r="Y29" i="5"/>
  <c r="U29" i="5"/>
  <c r="W29" i="5"/>
  <c r="M29" i="5"/>
  <c r="AC29" i="5"/>
  <c r="K29" i="5"/>
  <c r="AI101" i="5"/>
  <c r="I101" i="5"/>
  <c r="U101" i="5"/>
  <c r="AG101" i="5"/>
  <c r="S101" i="5"/>
  <c r="AC101" i="5"/>
  <c r="K101" i="5"/>
  <c r="AA101" i="5"/>
  <c r="O101" i="5"/>
  <c r="M101" i="5"/>
  <c r="AE101" i="5"/>
  <c r="Y101" i="5"/>
  <c r="Q101" i="5"/>
  <c r="BH12" i="4"/>
  <c r="AJ12" i="4"/>
  <c r="P12" i="4"/>
  <c r="AZ13" i="4"/>
  <c r="AZ17" i="4"/>
  <c r="AB18" i="4"/>
  <c r="AF57" i="4"/>
  <c r="BD63" i="4"/>
  <c r="AI42" i="5"/>
  <c r="U42" i="5"/>
  <c r="AG42" i="5"/>
  <c r="S42" i="5"/>
  <c r="AA42" i="5"/>
  <c r="K42" i="5"/>
  <c r="Y42" i="5"/>
  <c r="I42" i="5"/>
  <c r="AC42" i="5"/>
  <c r="O42" i="5"/>
  <c r="M42" i="5"/>
  <c r="AE42" i="5"/>
  <c r="BD7" i="4"/>
  <c r="AF7" i="4"/>
  <c r="L7" i="4"/>
  <c r="AR10" i="4"/>
  <c r="X10" i="4"/>
  <c r="BL11" i="4"/>
  <c r="AN11" i="4"/>
  <c r="T11" i="4"/>
  <c r="BH19" i="4"/>
  <c r="AB4" i="4"/>
  <c r="AF11" i="4"/>
  <c r="L12" i="4"/>
  <c r="BL14" i="4"/>
  <c r="AN18" i="4"/>
  <c r="T19" i="4"/>
  <c r="L35" i="4"/>
  <c r="L41" i="4"/>
  <c r="P45" i="4"/>
  <c r="AR45" i="4"/>
  <c r="P57" i="4"/>
  <c r="P60" i="4"/>
  <c r="P63" i="4"/>
  <c r="AA59" i="5"/>
  <c r="AI59" i="5"/>
  <c r="U59" i="5"/>
  <c r="AG59" i="5"/>
  <c r="S59" i="5"/>
  <c r="AC59" i="5"/>
  <c r="I59" i="5"/>
  <c r="Y59" i="5"/>
  <c r="O59" i="5"/>
  <c r="M59" i="5"/>
  <c r="K59" i="5"/>
  <c r="W59" i="5"/>
  <c r="AE59" i="5"/>
  <c r="Q59" i="5"/>
  <c r="BD4" i="4"/>
  <c r="BH9" i="4"/>
  <c r="BH10" i="4"/>
  <c r="AN14" i="4"/>
  <c r="P17" i="4"/>
  <c r="Q13" i="5"/>
  <c r="U13" i="5"/>
  <c r="AG13" i="5"/>
  <c r="AC13" i="5"/>
  <c r="S13" i="5"/>
  <c r="M13" i="5"/>
  <c r="AE13" i="5"/>
  <c r="I13" i="5"/>
  <c r="AA13" i="5"/>
  <c r="Y13" i="5"/>
  <c r="AE25" i="5"/>
  <c r="AG25" i="5"/>
  <c r="S25" i="5"/>
  <c r="O25" i="5"/>
  <c r="AC25" i="5"/>
  <c r="M25" i="5"/>
  <c r="AA25" i="5"/>
  <c r="K25" i="5"/>
  <c r="I25" i="5"/>
  <c r="Q25" i="5"/>
  <c r="AI25" i="5"/>
  <c r="AE37" i="5"/>
  <c r="AG37" i="5"/>
  <c r="S37" i="5"/>
  <c r="AC37" i="5"/>
  <c r="M37" i="5"/>
  <c r="AA37" i="5"/>
  <c r="K37" i="5"/>
  <c r="W37" i="5"/>
  <c r="O37" i="5"/>
  <c r="AI37" i="5"/>
  <c r="Q37" i="5"/>
  <c r="I37" i="5"/>
  <c r="Y37" i="5"/>
  <c r="U37" i="5"/>
  <c r="AE49" i="5"/>
  <c r="AG49" i="5"/>
  <c r="S49" i="5"/>
  <c r="M49" i="5"/>
  <c r="AA49" i="5"/>
  <c r="K49" i="5"/>
  <c r="Y49" i="5"/>
  <c r="I49" i="5"/>
  <c r="U49" i="5"/>
  <c r="AI49" i="5"/>
  <c r="W49" i="5"/>
  <c r="O49" i="5"/>
  <c r="AG73" i="5"/>
  <c r="S73" i="5"/>
  <c r="M73" i="5"/>
  <c r="AA73" i="5"/>
  <c r="K73" i="5"/>
  <c r="AI73" i="5"/>
  <c r="O73" i="5"/>
  <c r="W73" i="5"/>
  <c r="AE73" i="5"/>
  <c r="AC73" i="5"/>
  <c r="U73" i="5"/>
  <c r="Y73" i="5"/>
  <c r="I73" i="5"/>
  <c r="Q73" i="5"/>
  <c r="AG85" i="5"/>
  <c r="S85" i="5"/>
  <c r="AE85" i="5"/>
  <c r="O85" i="5"/>
  <c r="AC85" i="5"/>
  <c r="Y85" i="5"/>
  <c r="I85" i="5"/>
  <c r="U85" i="5"/>
  <c r="Q85" i="5"/>
  <c r="AI85" i="5"/>
  <c r="AA85" i="5"/>
  <c r="W85" i="5"/>
  <c r="K85" i="5"/>
  <c r="M85" i="5"/>
  <c r="AI97" i="5"/>
  <c r="I97" i="5"/>
  <c r="AG97" i="5"/>
  <c r="S97" i="5"/>
  <c r="Y97" i="5"/>
  <c r="W97" i="5"/>
  <c r="U97" i="5"/>
  <c r="AE97" i="5"/>
  <c r="O97" i="5"/>
  <c r="AC97" i="5"/>
  <c r="AA97" i="5"/>
  <c r="M97" i="5"/>
  <c r="Q97" i="5"/>
  <c r="K97" i="5"/>
  <c r="BH3" i="4"/>
  <c r="L4" i="4"/>
  <c r="L5" i="4"/>
  <c r="BL6" i="4"/>
  <c r="AN7" i="4"/>
  <c r="AN8" i="4"/>
  <c r="BL9" i="4"/>
  <c r="P10" i="4"/>
  <c r="BL10" i="4"/>
  <c r="P11" i="4"/>
  <c r="T12" i="4"/>
  <c r="AR13" i="4"/>
  <c r="T16" i="4"/>
  <c r="AR17" i="4"/>
  <c r="AV19" i="4"/>
  <c r="AB20" i="4"/>
  <c r="AV20" i="4"/>
  <c r="AV22" i="4"/>
  <c r="AV23" i="4"/>
  <c r="BH24" i="4"/>
  <c r="AJ24" i="4"/>
  <c r="P24" i="4"/>
  <c r="AN28" i="4"/>
  <c r="AR29" i="4"/>
  <c r="BD31" i="4"/>
  <c r="AF31" i="4"/>
  <c r="AZ31" i="4"/>
  <c r="AN34" i="4"/>
  <c r="AR35" i="4"/>
  <c r="BD37" i="4"/>
  <c r="AF37" i="4"/>
  <c r="AZ37" i="4"/>
  <c r="AN50" i="4"/>
  <c r="AV54" i="4"/>
  <c r="AV63" i="4"/>
  <c r="AV79" i="4"/>
  <c r="BL91" i="4"/>
  <c r="K3" i="5"/>
  <c r="Y3" i="5"/>
  <c r="I3" i="5"/>
  <c r="AA3" i="5"/>
  <c r="U3" i="5"/>
  <c r="AG3" i="5"/>
  <c r="AC3" i="5"/>
  <c r="O3" i="5"/>
  <c r="AE3" i="5"/>
  <c r="S3" i="5"/>
  <c r="M3" i="5"/>
  <c r="K15" i="5"/>
  <c r="Y15" i="5"/>
  <c r="I15" i="5"/>
  <c r="W15" i="5"/>
  <c r="Q15" i="5"/>
  <c r="AA15" i="5"/>
  <c r="S15" i="5"/>
  <c r="O15" i="5"/>
  <c r="AI15" i="5"/>
  <c r="U15" i="5"/>
  <c r="M15" i="5"/>
  <c r="Y27" i="5"/>
  <c r="AE27" i="5"/>
  <c r="Q27" i="5"/>
  <c r="AI27" i="5"/>
  <c r="S27" i="5"/>
  <c r="AG27" i="5"/>
  <c r="O27" i="5"/>
  <c r="K27" i="5"/>
  <c r="W27" i="5"/>
  <c r="M27" i="5"/>
  <c r="AA27" i="5"/>
  <c r="Y39" i="5"/>
  <c r="AE39" i="5"/>
  <c r="Q39" i="5"/>
  <c r="AG39" i="5"/>
  <c r="O39" i="5"/>
  <c r="AC39" i="5"/>
  <c r="I39" i="5"/>
  <c r="AA39" i="5"/>
  <c r="W39" i="5"/>
  <c r="S39" i="5"/>
  <c r="U39" i="5"/>
  <c r="M39" i="5"/>
  <c r="AA51" i="5"/>
  <c r="AC51" i="5"/>
  <c r="O51" i="5"/>
  <c r="S51" i="5"/>
  <c r="AG51" i="5"/>
  <c r="AE51" i="5"/>
  <c r="W51" i="5"/>
  <c r="U51" i="5"/>
  <c r="AI51" i="5"/>
  <c r="K51" i="5"/>
  <c r="Y51" i="5"/>
  <c r="I51" i="5"/>
  <c r="AA63" i="5"/>
  <c r="AE63" i="5"/>
  <c r="Q63" i="5"/>
  <c r="AC63" i="5"/>
  <c r="O63" i="5"/>
  <c r="U63" i="5"/>
  <c r="S63" i="5"/>
  <c r="AG63" i="5"/>
  <c r="K63" i="5"/>
  <c r="W63" i="5"/>
  <c r="M63" i="5"/>
  <c r="AI63" i="5"/>
  <c r="Y63" i="5"/>
  <c r="AA75" i="5"/>
  <c r="M75" i="5"/>
  <c r="AG75" i="5"/>
  <c r="Q75" i="5"/>
  <c r="AE75" i="5"/>
  <c r="AI75" i="5"/>
  <c r="K75" i="5"/>
  <c r="AC75" i="5"/>
  <c r="W75" i="5"/>
  <c r="U75" i="5"/>
  <c r="O75" i="5"/>
  <c r="Y75" i="5"/>
  <c r="S75" i="5"/>
  <c r="AA87" i="5"/>
  <c r="M87" i="5"/>
  <c r="U87" i="5"/>
  <c r="AI87" i="5"/>
  <c r="S87" i="5"/>
  <c r="O87" i="5"/>
  <c r="I87" i="5"/>
  <c r="AE87" i="5"/>
  <c r="AG87" i="5"/>
  <c r="AC87" i="5"/>
  <c r="Y87" i="5"/>
  <c r="Q87" i="5"/>
  <c r="K87" i="5"/>
  <c r="AC99" i="5"/>
  <c r="AA99" i="5"/>
  <c r="M99" i="5"/>
  <c r="AI99" i="5"/>
  <c r="S99" i="5"/>
  <c r="AG99" i="5"/>
  <c r="Q99" i="5"/>
  <c r="I99" i="5"/>
  <c r="U99" i="5"/>
  <c r="K99" i="5"/>
  <c r="AE99" i="5"/>
  <c r="Y99" i="5"/>
  <c r="W99" i="5"/>
  <c r="O99" i="5"/>
  <c r="BL3" i="4"/>
  <c r="P4" i="4"/>
  <c r="BL4" i="4"/>
  <c r="P5" i="4"/>
  <c r="T6" i="4"/>
  <c r="AR7" i="4"/>
  <c r="AR8" i="4"/>
  <c r="T10" i="4"/>
  <c r="AR11" i="4"/>
  <c r="X12" i="4"/>
  <c r="AV13" i="4"/>
  <c r="AZ14" i="4"/>
  <c r="AB14" i="4"/>
  <c r="AV14" i="4"/>
  <c r="AV15" i="4"/>
  <c r="AV16" i="4"/>
  <c r="AV17" i="4"/>
  <c r="BH18" i="4"/>
  <c r="AJ18" i="4"/>
  <c r="P18" i="4"/>
  <c r="AA20" i="4"/>
  <c r="R21" i="5" s="1"/>
  <c r="AZ21" i="4"/>
  <c r="AJ26" i="4"/>
  <c r="AN27" i="4"/>
  <c r="AR28" i="4"/>
  <c r="AV29" i="4"/>
  <c r="BD30" i="4"/>
  <c r="AF30" i="4"/>
  <c r="AZ30" i="4"/>
  <c r="AJ32" i="4"/>
  <c r="AN33" i="4"/>
  <c r="AR34" i="4"/>
  <c r="AV35" i="4"/>
  <c r="BD36" i="4"/>
  <c r="AF36" i="4"/>
  <c r="AZ36" i="4"/>
  <c r="AJ38" i="4"/>
  <c r="AN39" i="4"/>
  <c r="AR40" i="4"/>
  <c r="AV41" i="4"/>
  <c r="BH42" i="4"/>
  <c r="BD42" i="4"/>
  <c r="AF42" i="4"/>
  <c r="AZ42" i="4"/>
  <c r="AB45" i="4"/>
  <c r="BL46" i="4"/>
  <c r="BL49" i="4"/>
  <c r="AZ51" i="4"/>
  <c r="BL52" i="4"/>
  <c r="AZ54" i="4"/>
  <c r="AB57" i="4"/>
  <c r="BL58" i="4"/>
  <c r="AR59" i="4"/>
  <c r="BL61" i="4"/>
  <c r="AR62" i="4"/>
  <c r="AZ63" i="4"/>
  <c r="BL64" i="4"/>
  <c r="AZ65" i="4"/>
  <c r="L68" i="4"/>
  <c r="AV68" i="4"/>
  <c r="AF70" i="4"/>
  <c r="X71" i="4"/>
  <c r="L80" i="4"/>
  <c r="AB83" i="4"/>
  <c r="AR88" i="4"/>
  <c r="T88" i="4"/>
  <c r="BL88" i="4"/>
  <c r="AN88" i="4"/>
  <c r="P88" i="4"/>
  <c r="AV88" i="4"/>
  <c r="L88" i="4"/>
  <c r="BH88" i="4"/>
  <c r="AF88" i="4"/>
  <c r="BD88" i="4"/>
  <c r="X88" i="4"/>
  <c r="AJ88" i="4"/>
  <c r="AF90" i="4"/>
  <c r="AF91" i="4"/>
  <c r="AG15" i="5"/>
  <c r="U16" i="5"/>
  <c r="S17" i="5"/>
  <c r="AA19" i="5"/>
  <c r="AI32" i="5"/>
  <c r="AC33" i="5"/>
  <c r="AE35" i="5"/>
  <c r="M55" i="5"/>
  <c r="Y86" i="5"/>
  <c r="AR81" i="4"/>
  <c r="T81" i="4"/>
  <c r="BL81" i="4"/>
  <c r="AN81" i="4"/>
  <c r="P81" i="4"/>
  <c r="AZ81" i="4"/>
  <c r="X81" i="4"/>
  <c r="AJ81" i="4"/>
  <c r="AF81" i="4"/>
  <c r="BD84" i="4"/>
  <c r="AB84" i="4"/>
  <c r="AZ84" i="4"/>
  <c r="X84" i="4"/>
  <c r="L84" i="4"/>
  <c r="AR85" i="4"/>
  <c r="T85" i="4"/>
  <c r="BL85" i="4"/>
  <c r="AN85" i="4"/>
  <c r="P85" i="4"/>
  <c r="L85" i="4"/>
  <c r="BD85" i="4"/>
  <c r="AB85" i="4"/>
  <c r="M94" i="5"/>
  <c r="AR74" i="4"/>
  <c r="T74" i="4"/>
  <c r="BL74" i="4"/>
  <c r="AN74" i="4"/>
  <c r="P74" i="4"/>
  <c r="AZ74" i="4"/>
  <c r="X74" i="4"/>
  <c r="AV74" i="4"/>
  <c r="AJ74" i="4"/>
  <c r="AF74" i="4"/>
  <c r="AJ77" i="4"/>
  <c r="AJ85" i="4"/>
  <c r="AB89" i="4"/>
  <c r="AR82" i="4"/>
  <c r="T82" i="4"/>
  <c r="BL82" i="4"/>
  <c r="AN82" i="4"/>
  <c r="P82" i="4"/>
  <c r="BH82" i="4"/>
  <c r="AF82" i="4"/>
  <c r="BD82" i="4"/>
  <c r="AB82" i="4"/>
  <c r="AV82" i="4"/>
  <c r="AR86" i="4"/>
  <c r="T86" i="4"/>
  <c r="BL86" i="4"/>
  <c r="AN86" i="4"/>
  <c r="P86" i="4"/>
  <c r="AZ86" i="4"/>
  <c r="X86" i="4"/>
  <c r="AV86" i="4"/>
  <c r="AJ86" i="4"/>
  <c r="AF86" i="4"/>
  <c r="AJ89" i="4"/>
  <c r="AG10" i="5"/>
  <c r="W10" i="5"/>
  <c r="K10" i="5"/>
  <c r="Y10" i="5"/>
  <c r="I10" i="5"/>
  <c r="U10" i="5"/>
  <c r="Q10" i="5"/>
  <c r="AC10" i="5"/>
  <c r="AA10" i="5"/>
  <c r="AG22" i="5"/>
  <c r="Y22" i="5"/>
  <c r="K22" i="5"/>
  <c r="I22" i="5"/>
  <c r="W22" i="5"/>
  <c r="U22" i="5"/>
  <c r="AC22" i="5"/>
  <c r="AA22" i="5"/>
  <c r="AE22" i="5"/>
  <c r="O22" i="5"/>
  <c r="AI34" i="5"/>
  <c r="U34" i="5"/>
  <c r="AC34" i="5"/>
  <c r="O34" i="5"/>
  <c r="AG34" i="5"/>
  <c r="Q34" i="5"/>
  <c r="AE34" i="5"/>
  <c r="K34" i="5"/>
  <c r="I34" i="5"/>
  <c r="Y34" i="5"/>
  <c r="AA34" i="5"/>
  <c r="W34" i="5"/>
  <c r="M34" i="5"/>
  <c r="AI46" i="5"/>
  <c r="U46" i="5"/>
  <c r="AC46" i="5"/>
  <c r="O46" i="5"/>
  <c r="Q46" i="5"/>
  <c r="AE46" i="5"/>
  <c r="M46" i="5"/>
  <c r="Y46" i="5"/>
  <c r="I46" i="5"/>
  <c r="AG46" i="5"/>
  <c r="AA46" i="5"/>
  <c r="S46" i="5"/>
  <c r="K46" i="5"/>
  <c r="W58" i="5"/>
  <c r="AC58" i="5"/>
  <c r="O58" i="5"/>
  <c r="AG58" i="5"/>
  <c r="M58" i="5"/>
  <c r="K58" i="5"/>
  <c r="AA58" i="5"/>
  <c r="AE58" i="5"/>
  <c r="Y58" i="5"/>
  <c r="S58" i="5"/>
  <c r="AI58" i="5"/>
  <c r="Q58" i="5"/>
  <c r="I58" i="5"/>
  <c r="W70" i="5"/>
  <c r="AI70" i="5"/>
  <c r="I70" i="5"/>
  <c r="Q70" i="5"/>
  <c r="AE70" i="5"/>
  <c r="O70" i="5"/>
  <c r="AC70" i="5"/>
  <c r="M70" i="5"/>
  <c r="K70" i="5"/>
  <c r="Y70" i="5"/>
  <c r="U70" i="5"/>
  <c r="AA70" i="5"/>
  <c r="W82" i="5"/>
  <c r="AI82" i="5"/>
  <c r="I82" i="5"/>
  <c r="S82" i="5"/>
  <c r="AG82" i="5"/>
  <c r="AC82" i="5"/>
  <c r="M82" i="5"/>
  <c r="K82" i="5"/>
  <c r="AE82" i="5"/>
  <c r="U82" i="5"/>
  <c r="AA82" i="5"/>
  <c r="Y82" i="5"/>
  <c r="W94" i="5"/>
  <c r="AI94" i="5"/>
  <c r="I94" i="5"/>
  <c r="Y94" i="5"/>
  <c r="U94" i="5"/>
  <c r="Q94" i="5"/>
  <c r="O94" i="5"/>
  <c r="AE94" i="5"/>
  <c r="K94" i="5"/>
  <c r="AA94" i="5"/>
  <c r="AC94" i="5"/>
  <c r="AC106" i="5"/>
  <c r="Q106" i="5"/>
  <c r="AA106" i="5"/>
  <c r="M106" i="5"/>
  <c r="Y106" i="5"/>
  <c r="K106" i="5"/>
  <c r="AE106" i="5"/>
  <c r="W106" i="5"/>
  <c r="I106" i="5"/>
  <c r="AI106" i="5"/>
  <c r="U106" i="5"/>
  <c r="AG106" i="5"/>
  <c r="S106" i="5"/>
  <c r="O106" i="5"/>
  <c r="AR69" i="4"/>
  <c r="T69" i="4"/>
  <c r="BL69" i="4"/>
  <c r="AN69" i="4"/>
  <c r="P69" i="4"/>
  <c r="AZ69" i="4"/>
  <c r="X69" i="4"/>
  <c r="AJ69" i="4"/>
  <c r="AF69" i="4"/>
  <c r="L74" i="4"/>
  <c r="AR79" i="4"/>
  <c r="T79" i="4"/>
  <c r="BL79" i="4"/>
  <c r="AN79" i="4"/>
  <c r="P79" i="4"/>
  <c r="BD79" i="4"/>
  <c r="AB79" i="4"/>
  <c r="L79" i="4"/>
  <c r="BH84" i="4"/>
  <c r="X94" i="4"/>
  <c r="U58" i="5"/>
  <c r="S70" i="5"/>
  <c r="AZ85" i="4"/>
  <c r="M10" i="5"/>
  <c r="AI22" i="5"/>
  <c r="AG70" i="5"/>
  <c r="O82" i="5"/>
  <c r="AR71" i="4"/>
  <c r="T71" i="4"/>
  <c r="BL71" i="4"/>
  <c r="AN71" i="4"/>
  <c r="P71" i="4"/>
  <c r="AB78" i="4"/>
  <c r="AR83" i="4"/>
  <c r="T83" i="4"/>
  <c r="BL83" i="4"/>
  <c r="AN83" i="4"/>
  <c r="P83" i="4"/>
  <c r="BH98" i="4"/>
  <c r="AJ98" i="4"/>
  <c r="L98" i="4"/>
  <c r="AV98" i="4"/>
  <c r="T98" i="4"/>
  <c r="P98" i="4"/>
  <c r="AF98" i="4"/>
  <c r="X75" i="4"/>
  <c r="AR78" i="4"/>
  <c r="T78" i="4"/>
  <c r="BL78" i="4"/>
  <c r="AN78" i="4"/>
  <c r="P78" i="4"/>
  <c r="X87" i="4"/>
  <c r="BH90" i="4"/>
  <c r="AJ90" i="4"/>
  <c r="AV90" i="4"/>
  <c r="T90" i="4"/>
  <c r="P90" i="4"/>
  <c r="BH94" i="4"/>
  <c r="AJ94" i="4"/>
  <c r="L94" i="4"/>
  <c r="AV94" i="4"/>
  <c r="T94" i="4"/>
  <c r="P94" i="4"/>
  <c r="AF94" i="4"/>
  <c r="BL98" i="4"/>
  <c r="X105" i="4"/>
  <c r="AR75" i="4"/>
  <c r="T75" i="4"/>
  <c r="BL75" i="4"/>
  <c r="AN75" i="4"/>
  <c r="P75" i="4"/>
  <c r="AJ78" i="4"/>
  <c r="AR87" i="4"/>
  <c r="T87" i="4"/>
  <c r="BL87" i="4"/>
  <c r="AN87" i="4"/>
  <c r="P87" i="4"/>
  <c r="AN94" i="4"/>
  <c r="AR77" i="4"/>
  <c r="T77" i="4"/>
  <c r="BL77" i="4"/>
  <c r="AN77" i="4"/>
  <c r="P77" i="4"/>
  <c r="AR89" i="4"/>
  <c r="T89" i="4"/>
  <c r="BL89" i="4"/>
  <c r="AN89" i="4"/>
  <c r="P89" i="4"/>
  <c r="AV71" i="4"/>
  <c r="AR72" i="4"/>
  <c r="T72" i="4"/>
  <c r="BL72" i="4"/>
  <c r="AN72" i="4"/>
  <c r="P72" i="4"/>
  <c r="AJ75" i="4"/>
  <c r="AF77" i="4"/>
  <c r="BH77" i="4"/>
  <c r="AV83" i="4"/>
  <c r="AR84" i="4"/>
  <c r="T84" i="4"/>
  <c r="BL84" i="4"/>
  <c r="AN84" i="4"/>
  <c r="P84" i="4"/>
  <c r="AJ87" i="4"/>
  <c r="AF89" i="4"/>
  <c r="BH89" i="4"/>
  <c r="AR90" i="4"/>
  <c r="AZ103" i="4"/>
  <c r="AV103" i="4"/>
  <c r="P103" i="4"/>
  <c r="B17" i="6"/>
  <c r="B5" i="6"/>
  <c r="B8" i="6"/>
  <c r="B10" i="6"/>
  <c r="B9" i="6"/>
  <c r="B7" i="6"/>
  <c r="B6" i="6"/>
  <c r="B16" i="6"/>
  <c r="B4" i="6"/>
  <c r="B15" i="6"/>
  <c r="B14" i="6"/>
  <c r="B13" i="6"/>
  <c r="B12" i="6"/>
  <c r="BH93" i="4"/>
  <c r="AJ93" i="4"/>
  <c r="L93" i="4"/>
  <c r="AB93" i="4"/>
  <c r="BH97" i="4"/>
  <c r="AJ97" i="4"/>
  <c r="L97" i="4"/>
  <c r="AB97" i="4"/>
  <c r="BH101" i="4"/>
  <c r="AJ101" i="4"/>
  <c r="L101" i="4"/>
  <c r="AB101" i="4"/>
  <c r="BH105" i="4"/>
  <c r="AJ105" i="4"/>
  <c r="L105" i="4"/>
  <c r="AV105" i="4"/>
  <c r="AB105" i="4"/>
  <c r="BD105" i="4"/>
  <c r="B11" i="6"/>
  <c r="BH92" i="4"/>
  <c r="AJ92" i="4"/>
  <c r="L92" i="4"/>
  <c r="AB92" i="4"/>
  <c r="BH96" i="4"/>
  <c r="AJ96" i="4"/>
  <c r="L96" i="4"/>
  <c r="AB96" i="4"/>
  <c r="BH100" i="4"/>
  <c r="AJ100" i="4"/>
  <c r="L100" i="4"/>
  <c r="AB100" i="4"/>
  <c r="BH104" i="4"/>
  <c r="AJ104" i="4"/>
  <c r="L104" i="4"/>
  <c r="AB104" i="4"/>
  <c r="BL105" i="4"/>
  <c r="AN93" i="4"/>
  <c r="AF96" i="4"/>
  <c r="AF100" i="4"/>
  <c r="AF104" i="4"/>
  <c r="AN105" i="4"/>
  <c r="BH91" i="4"/>
  <c r="AJ91" i="4"/>
  <c r="L91" i="4"/>
  <c r="AB91" i="4"/>
  <c r="P93" i="4"/>
  <c r="BH95" i="4"/>
  <c r="AJ95" i="4"/>
  <c r="L95" i="4"/>
  <c r="AB95" i="4"/>
  <c r="P97" i="4"/>
  <c r="BH99" i="4"/>
  <c r="AJ99" i="4"/>
  <c r="L99" i="4"/>
  <c r="AB99" i="4"/>
  <c r="P101" i="4"/>
  <c r="BH103" i="4"/>
  <c r="AJ103" i="4"/>
  <c r="L103" i="4"/>
  <c r="AB103" i="4"/>
  <c r="P105" i="4"/>
  <c r="AI106" i="4" l="1"/>
  <c r="B8" i="3" s="1"/>
  <c r="P3" i="5"/>
  <c r="P107" i="5" s="1"/>
  <c r="AR106" i="4"/>
  <c r="C10" i="3" s="1"/>
  <c r="BD106" i="4"/>
  <c r="C13" i="3" s="1"/>
  <c r="AF106" i="4"/>
  <c r="C7" i="3" s="1"/>
  <c r="B15" i="3"/>
  <c r="T106" i="4"/>
  <c r="C4" i="3" s="1"/>
  <c r="AJ106" i="4"/>
  <c r="C8" i="3" s="1"/>
  <c r="BH106" i="4"/>
  <c r="C14" i="3" s="1"/>
  <c r="AV106" i="4"/>
  <c r="C11" i="3" s="1"/>
  <c r="Z3" i="5"/>
  <c r="Z107" i="5" s="1"/>
  <c r="AQ106" i="4"/>
  <c r="B10" i="3" s="1"/>
  <c r="AN106" i="4"/>
  <c r="C9" i="3" s="1"/>
  <c r="X106" i="4"/>
  <c r="C5" i="3" s="1"/>
  <c r="AA106" i="4"/>
  <c r="B6" i="3" s="1"/>
  <c r="AZ106" i="4"/>
  <c r="C12" i="3" s="1"/>
  <c r="AB106" i="4"/>
  <c r="C6" i="3" s="1"/>
  <c r="L106" i="4"/>
  <c r="C2" i="3" s="1"/>
  <c r="R107" i="5"/>
  <c r="S106" i="4"/>
  <c r="B4" i="3" s="1"/>
  <c r="N3" i="5"/>
  <c r="N107" i="5" s="1"/>
  <c r="BL106" i="4"/>
  <c r="C15" i="3" s="1"/>
  <c r="P106" i="4"/>
  <c r="C3" i="3" s="1"/>
  <c r="BC106" i="4"/>
  <c r="B13" i="3" s="1"/>
  <c r="AF3" i="5"/>
  <c r="AF107" i="5" s="1"/>
  <c r="T3" i="5"/>
  <c r="T107" i="5" s="1"/>
  <c r="AE106" i="4"/>
  <c r="B7" i="3" s="1"/>
</calcChain>
</file>

<file path=xl/sharedStrings.xml><?xml version="1.0" encoding="utf-8"?>
<sst xmlns="http://schemas.openxmlformats.org/spreadsheetml/2006/main" count="1231" uniqueCount="306">
  <si>
    <t>Jogo</t>
  </si>
  <si>
    <t>Data</t>
  </si>
  <si>
    <t>Hora</t>
  </si>
  <si>
    <t>Time 1</t>
  </si>
  <si>
    <t>Placar 1</t>
  </si>
  <si>
    <t>x</t>
  </si>
  <si>
    <t>Placar 2</t>
  </si>
  <si>
    <t>Time 2</t>
  </si>
  <si>
    <t>Grupo</t>
  </si>
  <si>
    <t>Rodada</t>
  </si>
  <si>
    <t>DataHora</t>
  </si>
  <si>
    <t>México</t>
  </si>
  <si>
    <t>África do Sul</t>
  </si>
  <si>
    <t>Grupo A</t>
  </si>
  <si>
    <t>1ª rodada</t>
  </si>
  <si>
    <t>República da Coreia</t>
  </si>
  <si>
    <t>República Tcheca</t>
  </si>
  <si>
    <t>Canadá</t>
  </si>
  <si>
    <t>Bósnia e Herzegovina</t>
  </si>
  <si>
    <t>Grupo B</t>
  </si>
  <si>
    <t>Estados Unidos</t>
  </si>
  <si>
    <t>Paraguai</t>
  </si>
  <si>
    <t>Grupo D</t>
  </si>
  <si>
    <t>Catar</t>
  </si>
  <si>
    <t>Suíça</t>
  </si>
  <si>
    <t>Brasil</t>
  </si>
  <si>
    <t>Marrocos</t>
  </si>
  <si>
    <t>Grupo C</t>
  </si>
  <si>
    <t>Haiti</t>
  </si>
  <si>
    <t>Escócia</t>
  </si>
  <si>
    <t>Austrália</t>
  </si>
  <si>
    <t>Turquia</t>
  </si>
  <si>
    <t>Alemanha</t>
  </si>
  <si>
    <t>Curaçau</t>
  </si>
  <si>
    <t>Grupo E</t>
  </si>
  <si>
    <t>Costa do Marfim</t>
  </si>
  <si>
    <t>Equador</t>
  </si>
  <si>
    <t>Holanda</t>
  </si>
  <si>
    <t>Japão</t>
  </si>
  <si>
    <t>Grupo F</t>
  </si>
  <si>
    <t>Suécia</t>
  </si>
  <si>
    <t>Tunísia</t>
  </si>
  <si>
    <t>Espanha</t>
  </si>
  <si>
    <t>Cabo Verde</t>
  </si>
  <si>
    <t>Grupo H</t>
  </si>
  <si>
    <t>Arábia Saudita</t>
  </si>
  <si>
    <t>Uruguai</t>
  </si>
  <si>
    <t>Bélgica</t>
  </si>
  <si>
    <t>Egito</t>
  </si>
  <si>
    <t>Grupo G</t>
  </si>
  <si>
    <t>Irã</t>
  </si>
  <si>
    <t>Nova Zelândia</t>
  </si>
  <si>
    <t>Áustria</t>
  </si>
  <si>
    <t>Jordânia</t>
  </si>
  <si>
    <t>Grupo J</t>
  </si>
  <si>
    <t>França</t>
  </si>
  <si>
    <t>Senegal</t>
  </si>
  <si>
    <t>Grupo I</t>
  </si>
  <si>
    <t>Iraque</t>
  </si>
  <si>
    <t>Noruega</t>
  </si>
  <si>
    <t>Argentina</t>
  </si>
  <si>
    <t>Argélia</t>
  </si>
  <si>
    <t>Portugal</t>
  </si>
  <si>
    <t>Rep. Dem. do Congo</t>
  </si>
  <si>
    <t>Grupo K</t>
  </si>
  <si>
    <t>Inglaterra</t>
  </si>
  <si>
    <t>Croácia</t>
  </si>
  <si>
    <t>Grupo L</t>
  </si>
  <si>
    <t>Gana</t>
  </si>
  <si>
    <t>Panamá</t>
  </si>
  <si>
    <t>Uzbequistão</t>
  </si>
  <si>
    <t>Colômbia</t>
  </si>
  <si>
    <t>2ª rodada</t>
  </si>
  <si>
    <t>3ª rodada</t>
  </si>
  <si>
    <t>2º colocado Grupo A</t>
  </si>
  <si>
    <t>2º colocado Grupo B</t>
  </si>
  <si>
    <t>N/A</t>
  </si>
  <si>
    <t>fase de 32-avos</t>
  </si>
  <si>
    <t>Vencedor Grupo E</t>
  </si>
  <si>
    <t>3º colocado Grupos A/B/C/D/F</t>
  </si>
  <si>
    <t>Vencedor Grupo F</t>
  </si>
  <si>
    <t>2º colocado Grupo C</t>
  </si>
  <si>
    <t>Vencedor Grupo C</t>
  </si>
  <si>
    <t>2º colocado Grupo F</t>
  </si>
  <si>
    <t>Vencedor Grupo I</t>
  </si>
  <si>
    <t>3º colocado Grupos C/D/F/G/H</t>
  </si>
  <si>
    <t>2º colocado Grupo E</t>
  </si>
  <si>
    <t>2º colocado Grupo I</t>
  </si>
  <si>
    <t>Vencedor Grupo A</t>
  </si>
  <si>
    <t>3º colocado Grupos C/E/F/H/I</t>
  </si>
  <si>
    <t>Vencedor Grupo L</t>
  </si>
  <si>
    <t>3º colocado Grupos E/H/I/J/K</t>
  </si>
  <si>
    <t>Vencedor Grupo D</t>
  </si>
  <si>
    <t>3º colocado Grupos B/E/F/I/J</t>
  </si>
  <si>
    <t>Vencedor Grupo G</t>
  </si>
  <si>
    <t>3º colocado Grupos A/E/H/I/J</t>
  </si>
  <si>
    <t>2º colocado Grupo K</t>
  </si>
  <si>
    <t>2º colocado Grupo L</t>
  </si>
  <si>
    <t>Vencedor Grupo H</t>
  </si>
  <si>
    <t>2º colocado Grupo J</t>
  </si>
  <si>
    <t>Vencedor Grupo B</t>
  </si>
  <si>
    <t>3º colocado Grupos E/F/G/I/J</t>
  </si>
  <si>
    <t>Vencedor Grupo J</t>
  </si>
  <si>
    <t>2º colocado Grupo H</t>
  </si>
  <si>
    <t>Vencedor Grupo K</t>
  </si>
  <si>
    <t>3º colocado Grupos D/E/I/J/L</t>
  </si>
  <si>
    <t>2º colocado Grupo D</t>
  </si>
  <si>
    <t>2º colocado Grupo G</t>
  </si>
  <si>
    <t>Vencedor jogo 74</t>
  </si>
  <si>
    <t>Vencedor jogo 77</t>
  </si>
  <si>
    <t>Oitavas de final</t>
  </si>
  <si>
    <t>Vencedor jogo 73</t>
  </si>
  <si>
    <t>Vencedor jogo 75</t>
  </si>
  <si>
    <t>Vencedor jogo 76</t>
  </si>
  <si>
    <t>Vencedor jogo 78</t>
  </si>
  <si>
    <t>Vencedor jogo 79</t>
  </si>
  <si>
    <t>Vencedor jogo 80</t>
  </si>
  <si>
    <t>Vencedor jogo 83</t>
  </si>
  <si>
    <t>Vencedor jogo 84</t>
  </si>
  <si>
    <t>Vencedor jogo 81</t>
  </si>
  <si>
    <t>Vencedor jogo 82</t>
  </si>
  <si>
    <t>Vencedor jogo 86</t>
  </si>
  <si>
    <t>Vencedor jogo 88</t>
  </si>
  <si>
    <t>Vencedor jogo 85</t>
  </si>
  <si>
    <t>Vencedor jogo 87</t>
  </si>
  <si>
    <t>Vencedor jogo 89</t>
  </si>
  <si>
    <t>Vencedor jogo 90</t>
  </si>
  <si>
    <t>Quartas de final</t>
  </si>
  <si>
    <t>Vencedor jogo 93</t>
  </si>
  <si>
    <t>Vencedor jogo 94</t>
  </si>
  <si>
    <t>Vencedor jogo 91</t>
  </si>
  <si>
    <t>Vencedor jogo 92</t>
  </si>
  <si>
    <t>Vencedor jogo 95</t>
  </si>
  <si>
    <t>Vencedor jogo 96</t>
  </si>
  <si>
    <t>Vencedor jogo 97</t>
  </si>
  <si>
    <t>Vencedor jogo 98</t>
  </si>
  <si>
    <t>Semifinais</t>
  </si>
  <si>
    <t>Vencedor jogo 99</t>
  </si>
  <si>
    <t>Vencedor jogo 100</t>
  </si>
  <si>
    <t>Perdedor jogo 101</t>
  </si>
  <si>
    <t>Perdedor jogo 102</t>
  </si>
  <si>
    <t>Disputa do 3º lugar</t>
  </si>
  <si>
    <t>Vencedor jogo 101</t>
  </si>
  <si>
    <t>Vencedor jogo 102</t>
  </si>
  <si>
    <t>Final</t>
  </si>
  <si>
    <t>Mexico</t>
  </si>
  <si>
    <t>South Africa</t>
  </si>
  <si>
    <t>South Korea</t>
  </si>
  <si>
    <t>Czechia</t>
  </si>
  <si>
    <t>Canada</t>
  </si>
  <si>
    <t>Bosnia &amp; Herzegovina</t>
  </si>
  <si>
    <t>United States</t>
  </si>
  <si>
    <t>Paraguay</t>
  </si>
  <si>
    <t>Qatar</t>
  </si>
  <si>
    <t>Switzerland</t>
  </si>
  <si>
    <t>Brazil</t>
  </si>
  <si>
    <t>Morocco</t>
  </si>
  <si>
    <t>Scotland</t>
  </si>
  <si>
    <t>Australia</t>
  </si>
  <si>
    <t>Turkey</t>
  </si>
  <si>
    <t>Germany</t>
  </si>
  <si>
    <t>Curaçao</t>
  </si>
  <si>
    <t>Ivory Coast</t>
  </si>
  <si>
    <t>Ecuador</t>
  </si>
  <si>
    <t>Netherlands</t>
  </si>
  <si>
    <t>Japan</t>
  </si>
  <si>
    <t>Sweden</t>
  </si>
  <si>
    <t>Tunisia</t>
  </si>
  <si>
    <t>Spain</t>
  </si>
  <si>
    <t>Cape Verde</t>
  </si>
  <si>
    <t>Saudi Arabia</t>
  </si>
  <si>
    <t>Uruguay</t>
  </si>
  <si>
    <t>Belgium</t>
  </si>
  <si>
    <t>Egypt</t>
  </si>
  <si>
    <t>Iran</t>
  </si>
  <si>
    <t>New Zealand</t>
  </si>
  <si>
    <t>Austria</t>
  </si>
  <si>
    <t>Jordan</t>
  </si>
  <si>
    <t>France</t>
  </si>
  <si>
    <t>Iraq</t>
  </si>
  <si>
    <t>Norway</t>
  </si>
  <si>
    <t>Algeria</t>
  </si>
  <si>
    <t>DR Congo</t>
  </si>
  <si>
    <t>England</t>
  </si>
  <si>
    <t>Croatia</t>
  </si>
  <si>
    <t>Ghana</t>
  </si>
  <si>
    <t>Panama</t>
  </si>
  <si>
    <t>Uzbekistan</t>
  </si>
  <si>
    <t>Colombia</t>
  </si>
  <si>
    <t>A definir</t>
  </si>
  <si>
    <t>Runner-up Group A</t>
  </si>
  <si>
    <t>Runner-up Group B</t>
  </si>
  <si>
    <t>Winner Group E</t>
  </si>
  <si>
    <t>Third-placed Groups A/B/C/D/F</t>
  </si>
  <si>
    <t>Winner Group F</t>
  </si>
  <si>
    <t>Runner-up Group C</t>
  </si>
  <si>
    <t>Winner Group C</t>
  </si>
  <si>
    <t>Runner-up Group F</t>
  </si>
  <si>
    <t>Winner Group I</t>
  </si>
  <si>
    <t>Third-placed Groups C/D/F/G/H</t>
  </si>
  <si>
    <t>Runner-up Group E</t>
  </si>
  <si>
    <t>Runner-up Group I</t>
  </si>
  <si>
    <t>Winner Group A</t>
  </si>
  <si>
    <t>Third-placed Groups C/E/F/H/I</t>
  </si>
  <si>
    <t>Winner Group L</t>
  </si>
  <si>
    <t>Third-placed Groups E/H/I/J/K</t>
  </si>
  <si>
    <t>Winner Group D</t>
  </si>
  <si>
    <t>Third-placed Groups B/E/F/I/J</t>
  </si>
  <si>
    <t>Winner Group G</t>
  </si>
  <si>
    <t>Third-placed Groups A/E/H/I/J</t>
  </si>
  <si>
    <t>Runner-up Group K</t>
  </si>
  <si>
    <t>Runner-up Group L</t>
  </si>
  <si>
    <t>Winner Group H</t>
  </si>
  <si>
    <t>Runner-up Group J</t>
  </si>
  <si>
    <t>Winner Group B</t>
  </si>
  <si>
    <t>Third-placed Groups E/F/G/I/J</t>
  </si>
  <si>
    <t>Winner Group J</t>
  </si>
  <si>
    <t>Runner-up Group H</t>
  </si>
  <si>
    <t>Winner Group K</t>
  </si>
  <si>
    <t>Third-placed Groups D/E/I/J/L</t>
  </si>
  <si>
    <t>Runner-up Group D</t>
  </si>
  <si>
    <t>Runner-up Group G</t>
  </si>
  <si>
    <t>Winner Match 74</t>
  </si>
  <si>
    <t>Winner Match 77</t>
  </si>
  <si>
    <t>Winner Match 73</t>
  </si>
  <si>
    <t>Winner Match 75</t>
  </si>
  <si>
    <t>Winner Match 76</t>
  </si>
  <si>
    <t>Winner Match 78</t>
  </si>
  <si>
    <t>Winner Match 79</t>
  </si>
  <si>
    <t>Winner Match 80</t>
  </si>
  <si>
    <t>Winner Match 83</t>
  </si>
  <si>
    <t>Winner Match 84</t>
  </si>
  <si>
    <t>Winner Match 81</t>
  </si>
  <si>
    <t>Winner Match 82</t>
  </si>
  <si>
    <t>Winner Match 86</t>
  </si>
  <si>
    <t>Winner Match 88</t>
  </si>
  <si>
    <t>Winner Match 85</t>
  </si>
  <si>
    <t>Winner Match 87</t>
  </si>
  <si>
    <t>Winner Match 89</t>
  </si>
  <si>
    <t>Winner Match 90</t>
  </si>
  <si>
    <t>Winner Match 93</t>
  </si>
  <si>
    <t>Winner Match 94</t>
  </si>
  <si>
    <t>Winner Match 91</t>
  </si>
  <si>
    <t>Winner Match 92</t>
  </si>
  <si>
    <t>Winner Match 95</t>
  </si>
  <si>
    <t>Winner Match 96</t>
  </si>
  <si>
    <t>Winner Match 97</t>
  </si>
  <si>
    <t>Winner Match 98</t>
  </si>
  <si>
    <t>Winner Match 99</t>
  </si>
  <si>
    <t>Winner Match 100</t>
  </si>
  <si>
    <t>Loser Match 101</t>
  </si>
  <si>
    <t>Loser Match 102</t>
  </si>
  <si>
    <t>Disputa do terceiro lugar</t>
  </si>
  <si>
    <t>Winner Match 101</t>
  </si>
  <si>
    <t>Winner Match 102</t>
  </si>
  <si>
    <t>Nome</t>
  </si>
  <si>
    <t>Ponto Totais</t>
  </si>
  <si>
    <t>Placares Exatos</t>
  </si>
  <si>
    <t>Link</t>
  </si>
  <si>
    <t>Email</t>
  </si>
  <si>
    <t>ALICE</t>
  </si>
  <si>
    <t>ANNE</t>
  </si>
  <si>
    <t>CARLINHOS</t>
  </si>
  <si>
    <t>DEDE</t>
  </si>
  <si>
    <t>ERIKA</t>
  </si>
  <si>
    <t>GUTO</t>
  </si>
  <si>
    <t>HELENA</t>
  </si>
  <si>
    <t>JULIA</t>
  </si>
  <si>
    <t>KANOO</t>
  </si>
  <si>
    <t>KATIA</t>
  </si>
  <si>
    <t>RAFA</t>
  </si>
  <si>
    <t>RAQUEL</t>
  </si>
  <si>
    <t>RENATO</t>
  </si>
  <si>
    <t>ZE</t>
  </si>
  <si>
    <t>TESTE</t>
  </si>
  <si>
    <t>Ptos</t>
  </si>
  <si>
    <t>Exto</t>
  </si>
  <si>
    <t>Palpite</t>
  </si>
  <si>
    <t>Pontos</t>
  </si>
  <si>
    <t>Total</t>
  </si>
  <si>
    <t>Posição</t>
  </si>
  <si>
    <t>Jogador</t>
  </si>
  <si>
    <t>Bônus</t>
  </si>
  <si>
    <t>A regra para pontuação ficou assim:</t>
  </si>
  <si>
    <t>Acerto no resultado do jogo ("time 1 vence time 2", "time 1 perde do time 2" ou "empate): 2 pontos</t>
  </si>
  <si>
    <t>Acerto no número de gols marcado pelo time: 1 ponto</t>
  </si>
  <si>
    <t>Bônus ao acertar o placar exato do jogo: 1 ponto</t>
  </si>
  <si>
    <t>Tabela de exemplos de pontuação:</t>
  </si>
  <si>
    <t>Jogo Real</t>
  </si>
  <si>
    <t>Cálculo dos Pontos</t>
  </si>
  <si>
    <t>2 x 1</t>
  </si>
  <si>
    <t>2 (res) + 1 (gol1) + 1 (gol2) + 1 (bônus)</t>
  </si>
  <si>
    <t>5 pts</t>
  </si>
  <si>
    <t>2 x 0</t>
  </si>
  <si>
    <t>2 (res) + 1 (gol1) + 0 (gol2) + 0 (bônus)</t>
  </si>
  <si>
    <t>3 pts</t>
  </si>
  <si>
    <t>1 x 1</t>
  </si>
  <si>
    <t>0 x 0</t>
  </si>
  <si>
    <t>2 (res) + 0 (gol1) + 0 (gol2) + 0 (bônus)</t>
  </si>
  <si>
    <t>2 pts</t>
  </si>
  <si>
    <t>0 x 3</t>
  </si>
  <si>
    <t>1 x 3</t>
  </si>
  <si>
    <t>2 (res) + 0 (gol1) + 1 (gol2) + 0 (bônus)</t>
  </si>
  <si>
    <t>(vazio)</t>
  </si>
  <si>
    <t>Jogador não preencheu</t>
  </si>
  <si>
    <t>0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</si>
</sst>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&quot;/&quot;mm"/>
    <numFmt numFmtId="165" formatCode="m/d/yyyy\ h:mm:ss"/>
  </numFmts>
  <fonts count="19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&quot;Aptos Narrow&quot;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2B2D3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2B2D31"/>
      <name val="&quot;DM Mono&quot;"/>
    </font>
    <font>
      <sz val="10"/>
      <color theme="1"/>
      <name val="&quot;DM Mono&quot;"/>
    </font>
    <font>
      <b/>
      <sz val="12"/>
      <color rgb="FF1A1C1E"/>
      <name val="Inter"/>
    </font>
    <font>
      <sz val="11"/>
      <color rgb="FF1A1C1E"/>
      <name val="Inter"/>
    </font>
    <font>
      <b/>
      <sz val="12"/>
      <color rgb="FF2B2D31"/>
      <name val="Inter"/>
    </font>
    <font>
      <b/>
      <sz val="11"/>
      <color rgb="FF2B2D31"/>
      <name val="Inter"/>
    </font>
    <font>
      <sz val="11"/>
      <color rgb="FF2B2D31"/>
      <name val="Inter"/>
    </font>
    <font>
      <i/>
      <sz val="11"/>
      <color rgb="FF2B2D31"/>
      <name val="Inter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20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20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6" fillId="3" borderId="0" xfId="0" applyFont="1" applyFill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8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9" fillId="8" borderId="0" xfId="0" applyFont="1" applyFill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164" fontId="8" fillId="10" borderId="5" xfId="0" applyNumberFormat="1" applyFont="1" applyFill="1" applyBorder="1" applyAlignment="1">
      <alignment horizontal="center"/>
    </xf>
    <xf numFmtId="20" fontId="8" fillId="10" borderId="5" xfId="0" applyNumberFormat="1" applyFont="1" applyFill="1" applyBorder="1" applyAlignment="1">
      <alignment horizontal="center"/>
    </xf>
    <xf numFmtId="0" fontId="8" fillId="10" borderId="5" xfId="0" applyFont="1" applyFill="1" applyBorder="1"/>
    <xf numFmtId="0" fontId="9" fillId="10" borderId="5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4" borderId="0" xfId="0" applyFont="1" applyFill="1"/>
    <xf numFmtId="0" fontId="14" fillId="4" borderId="0" xfId="0" applyFont="1" applyFill="1"/>
    <xf numFmtId="0" fontId="15" fillId="4" borderId="0" xfId="0" applyFont="1" applyFill="1"/>
    <xf numFmtId="0" fontId="16" fillId="4" borderId="5" xfId="0" applyFont="1" applyFill="1" applyBorder="1" applyAlignment="1">
      <alignment horizontal="center"/>
    </xf>
    <xf numFmtId="0" fontId="16" fillId="4" borderId="5" xfId="0" applyFont="1" applyFill="1" applyBorder="1"/>
    <xf numFmtId="0" fontId="17" fillId="4" borderId="5" xfId="0" applyFont="1" applyFill="1" applyBorder="1" applyAlignment="1">
      <alignment horizontal="center"/>
    </xf>
    <xf numFmtId="0" fontId="17" fillId="4" borderId="5" xfId="0" applyFont="1" applyFill="1" applyBorder="1"/>
    <xf numFmtId="0" fontId="18" fillId="4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7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4" xfId="0" applyFont="1" applyBorder="1"/>
    <xf numFmtId="164" fontId="8" fillId="6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ANKING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HISTORICO!$A$110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HISTORICO!$A$111:$A$214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C4-4275-95F3-17A0F88D0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703364"/>
        <c:axId val="247020538"/>
      </c:lineChart>
      <c:catAx>
        <c:axId val="2042703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47020538"/>
        <c:crosses val="autoZero"/>
        <c:auto val="1"/>
        <c:lblAlgn val="ctr"/>
        <c:lblOffset val="100"/>
        <c:noMultiLvlLbl val="1"/>
      </c:catAx>
      <c:valAx>
        <c:axId val="247020538"/>
        <c:scaling>
          <c:orientation val="minMax"/>
          <c:max val="14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Arial"/>
              </a:defRPr>
            </a:pPr>
            <a:endParaRPr lang="pt-BR"/>
          </a:p>
        </c:txPr>
        <c:crossAx val="20427033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215</xdr:row>
      <xdr:rowOff>66675</xdr:rowOff>
    </xdr:from>
    <xdr:ext cx="11096625" cy="47910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/>
  </sheetViews>
  <sheetFormatPr defaultColWidth="12.5703125" defaultRowHeight="15.75" customHeight="1"/>
  <cols>
    <col min="1" max="1" width="6.28515625" customWidth="1"/>
    <col min="2" max="2" width="7.140625" customWidth="1"/>
    <col min="3" max="3" width="7.7109375" customWidth="1"/>
    <col min="4" max="4" width="19" customWidth="1"/>
    <col min="5" max="5" width="7.140625" customWidth="1"/>
    <col min="6" max="6" width="2.85546875" customWidth="1"/>
    <col min="7" max="7" width="7.140625" customWidth="1"/>
    <col min="8" max="8" width="23.85546875" customWidth="1"/>
    <col min="9" max="9" width="11" customWidth="1"/>
    <col min="10" max="10" width="16.42578125" customWidth="1"/>
    <col min="11" max="11" width="18.140625" customWidth="1"/>
  </cols>
  <sheetData>
    <row r="1" spans="1:29" ht="31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2.75">
      <c r="A2" s="5">
        <v>1</v>
      </c>
      <c r="B2" s="6">
        <v>46184</v>
      </c>
      <c r="C2" s="7">
        <v>0.66666666666666663</v>
      </c>
      <c r="D2" s="8" t="s">
        <v>11</v>
      </c>
      <c r="E2" s="9"/>
      <c r="F2" s="9" t="s">
        <v>5</v>
      </c>
      <c r="G2" s="9"/>
      <c r="H2" s="8" t="s">
        <v>12</v>
      </c>
      <c r="I2" s="5" t="s">
        <v>13</v>
      </c>
      <c r="J2" s="5" t="s">
        <v>14</v>
      </c>
      <c r="K2" s="10">
        <f t="shared" ref="K2:K105" si="0">B2+C2</f>
        <v>46184.666666666664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2.75">
      <c r="A3" s="5">
        <v>2</v>
      </c>
      <c r="B3" s="6">
        <v>46184</v>
      </c>
      <c r="C3" s="7">
        <v>0.95833333333333337</v>
      </c>
      <c r="D3" s="8" t="s">
        <v>15</v>
      </c>
      <c r="E3" s="9"/>
      <c r="F3" s="9" t="s">
        <v>5</v>
      </c>
      <c r="G3" s="9"/>
      <c r="H3" s="8" t="s">
        <v>16</v>
      </c>
      <c r="I3" s="5" t="s">
        <v>13</v>
      </c>
      <c r="J3" s="5" t="s">
        <v>14</v>
      </c>
      <c r="K3" s="10">
        <f t="shared" si="0"/>
        <v>46184.958333333336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2.75">
      <c r="A4" s="5">
        <v>3</v>
      </c>
      <c r="B4" s="6">
        <v>46185</v>
      </c>
      <c r="C4" s="7">
        <v>0.66666666666666663</v>
      </c>
      <c r="D4" s="8" t="s">
        <v>17</v>
      </c>
      <c r="E4" s="9"/>
      <c r="F4" s="9" t="s">
        <v>5</v>
      </c>
      <c r="G4" s="9"/>
      <c r="H4" s="8" t="s">
        <v>18</v>
      </c>
      <c r="I4" s="5" t="s">
        <v>19</v>
      </c>
      <c r="J4" s="5" t="s">
        <v>14</v>
      </c>
      <c r="K4" s="10">
        <f t="shared" si="0"/>
        <v>46185.666666666664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2.75">
      <c r="A5" s="5">
        <v>4</v>
      </c>
      <c r="B5" s="6">
        <v>46185</v>
      </c>
      <c r="C5" s="7">
        <v>0.91666666666666663</v>
      </c>
      <c r="D5" s="8" t="s">
        <v>20</v>
      </c>
      <c r="E5" s="9"/>
      <c r="F5" s="9" t="s">
        <v>5</v>
      </c>
      <c r="G5" s="9"/>
      <c r="H5" s="8" t="s">
        <v>21</v>
      </c>
      <c r="I5" s="5" t="s">
        <v>22</v>
      </c>
      <c r="J5" s="5" t="s">
        <v>14</v>
      </c>
      <c r="K5" s="10">
        <f t="shared" si="0"/>
        <v>46185.916666666664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2.75">
      <c r="A6" s="5">
        <v>5</v>
      </c>
      <c r="B6" s="6">
        <v>46186</v>
      </c>
      <c r="C6" s="7">
        <v>0.66666666666666663</v>
      </c>
      <c r="D6" s="8" t="s">
        <v>23</v>
      </c>
      <c r="E6" s="9"/>
      <c r="F6" s="9" t="s">
        <v>5</v>
      </c>
      <c r="G6" s="9"/>
      <c r="H6" s="8" t="s">
        <v>24</v>
      </c>
      <c r="I6" s="5" t="s">
        <v>19</v>
      </c>
      <c r="J6" s="5" t="s">
        <v>14</v>
      </c>
      <c r="K6" s="10">
        <f t="shared" si="0"/>
        <v>46186.666666666664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2.75">
      <c r="A7" s="5">
        <v>6</v>
      </c>
      <c r="B7" s="6">
        <v>46186</v>
      </c>
      <c r="C7" s="7">
        <v>0.79166666666666663</v>
      </c>
      <c r="D7" s="8" t="s">
        <v>25</v>
      </c>
      <c r="E7" s="9"/>
      <c r="F7" s="9" t="s">
        <v>5</v>
      </c>
      <c r="G7" s="9"/>
      <c r="H7" s="8" t="s">
        <v>26</v>
      </c>
      <c r="I7" s="5" t="s">
        <v>27</v>
      </c>
      <c r="J7" s="5" t="s">
        <v>14</v>
      </c>
      <c r="K7" s="10">
        <f t="shared" si="0"/>
        <v>46186.791666666664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2.75">
      <c r="A8" s="5">
        <v>7</v>
      </c>
      <c r="B8" s="6">
        <v>46186</v>
      </c>
      <c r="C8" s="7">
        <v>0.91666666666666663</v>
      </c>
      <c r="D8" s="8" t="s">
        <v>28</v>
      </c>
      <c r="E8" s="9"/>
      <c r="F8" s="9" t="s">
        <v>5</v>
      </c>
      <c r="G8" s="9"/>
      <c r="H8" s="8" t="s">
        <v>29</v>
      </c>
      <c r="I8" s="5" t="s">
        <v>27</v>
      </c>
      <c r="J8" s="5" t="s">
        <v>14</v>
      </c>
      <c r="K8" s="10">
        <f t="shared" si="0"/>
        <v>46186.916666666664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2.75">
      <c r="A9" s="5">
        <v>8</v>
      </c>
      <c r="B9" s="6">
        <v>46187</v>
      </c>
      <c r="C9" s="7">
        <v>4.1666666666666664E-2</v>
      </c>
      <c r="D9" s="8" t="s">
        <v>30</v>
      </c>
      <c r="E9" s="9"/>
      <c r="F9" s="9" t="s">
        <v>5</v>
      </c>
      <c r="G9" s="9"/>
      <c r="H9" s="8" t="s">
        <v>31</v>
      </c>
      <c r="I9" s="5" t="s">
        <v>22</v>
      </c>
      <c r="J9" s="5" t="s">
        <v>14</v>
      </c>
      <c r="K9" s="10">
        <f t="shared" si="0"/>
        <v>46187.041666666664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2.75">
      <c r="A10" s="5">
        <v>9</v>
      </c>
      <c r="B10" s="6">
        <v>46187</v>
      </c>
      <c r="C10" s="7">
        <v>0.58333333333333337</v>
      </c>
      <c r="D10" s="8" t="s">
        <v>32</v>
      </c>
      <c r="E10" s="9"/>
      <c r="F10" s="9" t="s">
        <v>5</v>
      </c>
      <c r="G10" s="9"/>
      <c r="H10" s="8" t="s">
        <v>33</v>
      </c>
      <c r="I10" s="5" t="s">
        <v>34</v>
      </c>
      <c r="J10" s="5" t="s">
        <v>14</v>
      </c>
      <c r="K10" s="10">
        <f t="shared" si="0"/>
        <v>46187.583333333336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2.75">
      <c r="A11" s="5">
        <v>10</v>
      </c>
      <c r="B11" s="6">
        <v>46187</v>
      </c>
      <c r="C11" s="7">
        <v>0.83333333333333337</v>
      </c>
      <c r="D11" s="8" t="s">
        <v>35</v>
      </c>
      <c r="E11" s="9"/>
      <c r="F11" s="9" t="s">
        <v>5</v>
      </c>
      <c r="G11" s="9"/>
      <c r="H11" s="8" t="s">
        <v>36</v>
      </c>
      <c r="I11" s="5" t="s">
        <v>34</v>
      </c>
      <c r="J11" s="5" t="s">
        <v>14</v>
      </c>
      <c r="K11" s="10">
        <f t="shared" si="0"/>
        <v>46187.833333333336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2.75">
      <c r="A12" s="5">
        <v>11</v>
      </c>
      <c r="B12" s="6">
        <v>46187</v>
      </c>
      <c r="C12" s="7">
        <v>0.70833333333333337</v>
      </c>
      <c r="D12" s="8" t="s">
        <v>37</v>
      </c>
      <c r="E12" s="9"/>
      <c r="F12" s="9" t="s">
        <v>5</v>
      </c>
      <c r="G12" s="9"/>
      <c r="H12" s="8" t="s">
        <v>38</v>
      </c>
      <c r="I12" s="5" t="s">
        <v>39</v>
      </c>
      <c r="J12" s="5" t="s">
        <v>14</v>
      </c>
      <c r="K12" s="10">
        <f t="shared" si="0"/>
        <v>46187.708333333336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2.75">
      <c r="A13" s="5">
        <v>12</v>
      </c>
      <c r="B13" s="6">
        <v>46187</v>
      </c>
      <c r="C13" s="7">
        <v>0.95833333333333337</v>
      </c>
      <c r="D13" s="8" t="s">
        <v>40</v>
      </c>
      <c r="E13" s="9"/>
      <c r="F13" s="9" t="s">
        <v>5</v>
      </c>
      <c r="G13" s="9"/>
      <c r="H13" s="8" t="s">
        <v>41</v>
      </c>
      <c r="I13" s="5" t="s">
        <v>39</v>
      </c>
      <c r="J13" s="5" t="s">
        <v>14</v>
      </c>
      <c r="K13" s="10">
        <f t="shared" si="0"/>
        <v>46187.958333333336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2.75">
      <c r="A14" s="5">
        <v>13</v>
      </c>
      <c r="B14" s="6">
        <v>46188</v>
      </c>
      <c r="C14" s="7">
        <v>0.54166666666666663</v>
      </c>
      <c r="D14" s="8" t="s">
        <v>42</v>
      </c>
      <c r="E14" s="9"/>
      <c r="F14" s="9" t="s">
        <v>5</v>
      </c>
      <c r="G14" s="9"/>
      <c r="H14" s="8" t="s">
        <v>43</v>
      </c>
      <c r="I14" s="5" t="s">
        <v>44</v>
      </c>
      <c r="J14" s="5" t="s">
        <v>14</v>
      </c>
      <c r="K14" s="10">
        <f t="shared" si="0"/>
        <v>46188.541666666664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2.75">
      <c r="A15" s="5">
        <v>14</v>
      </c>
      <c r="B15" s="6">
        <v>46188</v>
      </c>
      <c r="C15" s="7">
        <v>0.79166666666666663</v>
      </c>
      <c r="D15" s="8" t="s">
        <v>45</v>
      </c>
      <c r="E15" s="9"/>
      <c r="F15" s="9" t="s">
        <v>5</v>
      </c>
      <c r="G15" s="9"/>
      <c r="H15" s="8" t="s">
        <v>46</v>
      </c>
      <c r="I15" s="5" t="s">
        <v>44</v>
      </c>
      <c r="J15" s="5" t="s">
        <v>14</v>
      </c>
      <c r="K15" s="10">
        <f t="shared" si="0"/>
        <v>46188.791666666664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2.75">
      <c r="A16" s="5">
        <v>15</v>
      </c>
      <c r="B16" s="6">
        <v>46188</v>
      </c>
      <c r="C16" s="7">
        <v>0.66666666666666663</v>
      </c>
      <c r="D16" s="8" t="s">
        <v>47</v>
      </c>
      <c r="E16" s="9"/>
      <c r="F16" s="9" t="s">
        <v>5</v>
      </c>
      <c r="G16" s="9"/>
      <c r="H16" s="8" t="s">
        <v>48</v>
      </c>
      <c r="I16" s="5" t="s">
        <v>49</v>
      </c>
      <c r="J16" s="5" t="s">
        <v>14</v>
      </c>
      <c r="K16" s="10">
        <f t="shared" si="0"/>
        <v>46188.666666666664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2.75">
      <c r="A17" s="5">
        <v>16</v>
      </c>
      <c r="B17" s="6">
        <v>46188</v>
      </c>
      <c r="C17" s="7">
        <v>0.91666666666666663</v>
      </c>
      <c r="D17" s="8" t="s">
        <v>50</v>
      </c>
      <c r="E17" s="9"/>
      <c r="F17" s="9" t="s">
        <v>5</v>
      </c>
      <c r="G17" s="9"/>
      <c r="H17" s="8" t="s">
        <v>51</v>
      </c>
      <c r="I17" s="5" t="s">
        <v>49</v>
      </c>
      <c r="J17" s="5" t="s">
        <v>14</v>
      </c>
      <c r="K17" s="10">
        <f t="shared" si="0"/>
        <v>46188.916666666664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2.75">
      <c r="A18" s="5">
        <v>17</v>
      </c>
      <c r="B18" s="6">
        <v>46190</v>
      </c>
      <c r="C18" s="7">
        <v>4.1666666666666664E-2</v>
      </c>
      <c r="D18" s="8" t="s">
        <v>52</v>
      </c>
      <c r="E18" s="9"/>
      <c r="F18" s="9" t="s">
        <v>5</v>
      </c>
      <c r="G18" s="9"/>
      <c r="H18" s="8" t="s">
        <v>53</v>
      </c>
      <c r="I18" s="5" t="s">
        <v>54</v>
      </c>
      <c r="J18" s="5" t="s">
        <v>14</v>
      </c>
      <c r="K18" s="10">
        <f t="shared" si="0"/>
        <v>46190.041666666664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2.75">
      <c r="A19" s="5">
        <v>18</v>
      </c>
      <c r="B19" s="6">
        <v>46189</v>
      </c>
      <c r="C19" s="7">
        <v>0.66666666666666663</v>
      </c>
      <c r="D19" s="8" t="s">
        <v>55</v>
      </c>
      <c r="E19" s="9"/>
      <c r="F19" s="9" t="s">
        <v>5</v>
      </c>
      <c r="G19" s="9"/>
      <c r="H19" s="8" t="s">
        <v>56</v>
      </c>
      <c r="I19" s="5" t="s">
        <v>57</v>
      </c>
      <c r="J19" s="5" t="s">
        <v>14</v>
      </c>
      <c r="K19" s="10">
        <f t="shared" si="0"/>
        <v>46189.666666666664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2.75">
      <c r="A20" s="5">
        <v>19</v>
      </c>
      <c r="B20" s="6">
        <v>46189</v>
      </c>
      <c r="C20" s="7">
        <v>0.79166666666666663</v>
      </c>
      <c r="D20" s="8" t="s">
        <v>58</v>
      </c>
      <c r="E20" s="9"/>
      <c r="F20" s="9" t="s">
        <v>5</v>
      </c>
      <c r="G20" s="9"/>
      <c r="H20" s="8" t="s">
        <v>59</v>
      </c>
      <c r="I20" s="5" t="s">
        <v>57</v>
      </c>
      <c r="J20" s="5" t="s">
        <v>14</v>
      </c>
      <c r="K20" s="10">
        <f t="shared" si="0"/>
        <v>46189.791666666664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2.75">
      <c r="A21" s="5">
        <v>20</v>
      </c>
      <c r="B21" s="6">
        <v>46189</v>
      </c>
      <c r="C21" s="7">
        <v>0.91666666666666663</v>
      </c>
      <c r="D21" s="8" t="s">
        <v>60</v>
      </c>
      <c r="E21" s="9"/>
      <c r="F21" s="9" t="s">
        <v>5</v>
      </c>
      <c r="G21" s="9"/>
      <c r="H21" s="8" t="s">
        <v>61</v>
      </c>
      <c r="I21" s="5" t="s">
        <v>54</v>
      </c>
      <c r="J21" s="5" t="s">
        <v>14</v>
      </c>
      <c r="K21" s="10">
        <f t="shared" si="0"/>
        <v>46189.916666666664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2.75">
      <c r="A22" s="5">
        <v>21</v>
      </c>
      <c r="B22" s="6">
        <v>46190</v>
      </c>
      <c r="C22" s="7">
        <v>0.58333333333333337</v>
      </c>
      <c r="D22" s="8" t="s">
        <v>62</v>
      </c>
      <c r="E22" s="9"/>
      <c r="F22" s="9" t="s">
        <v>5</v>
      </c>
      <c r="G22" s="9"/>
      <c r="H22" s="8" t="s">
        <v>63</v>
      </c>
      <c r="I22" s="5" t="s">
        <v>64</v>
      </c>
      <c r="J22" s="5" t="s">
        <v>14</v>
      </c>
      <c r="K22" s="10">
        <f t="shared" si="0"/>
        <v>46190.583333333336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2.75">
      <c r="A23" s="5">
        <v>22</v>
      </c>
      <c r="B23" s="6">
        <v>46190</v>
      </c>
      <c r="C23" s="7">
        <v>0.70833333333333337</v>
      </c>
      <c r="D23" s="8" t="s">
        <v>65</v>
      </c>
      <c r="E23" s="9"/>
      <c r="F23" s="9" t="s">
        <v>5</v>
      </c>
      <c r="G23" s="9"/>
      <c r="H23" s="8" t="s">
        <v>66</v>
      </c>
      <c r="I23" s="5" t="s">
        <v>67</v>
      </c>
      <c r="J23" s="5" t="s">
        <v>14</v>
      </c>
      <c r="K23" s="10">
        <f t="shared" si="0"/>
        <v>46190.708333333336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2.75">
      <c r="A24" s="5">
        <v>23</v>
      </c>
      <c r="B24" s="6">
        <v>46190</v>
      </c>
      <c r="C24" s="7">
        <v>0.83333333333333337</v>
      </c>
      <c r="D24" s="8" t="s">
        <v>68</v>
      </c>
      <c r="E24" s="9"/>
      <c r="F24" s="9" t="s">
        <v>5</v>
      </c>
      <c r="G24" s="9"/>
      <c r="H24" s="8" t="s">
        <v>69</v>
      </c>
      <c r="I24" s="5" t="s">
        <v>67</v>
      </c>
      <c r="J24" s="5" t="s">
        <v>14</v>
      </c>
      <c r="K24" s="10">
        <f t="shared" si="0"/>
        <v>46190.833333333336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2.75">
      <c r="A25" s="5">
        <v>24</v>
      </c>
      <c r="B25" s="6">
        <v>46190</v>
      </c>
      <c r="C25" s="7">
        <v>0.875</v>
      </c>
      <c r="D25" s="8" t="s">
        <v>70</v>
      </c>
      <c r="E25" s="9"/>
      <c r="F25" s="9" t="s">
        <v>5</v>
      </c>
      <c r="G25" s="9"/>
      <c r="H25" s="8" t="s">
        <v>71</v>
      </c>
      <c r="I25" s="5" t="s">
        <v>64</v>
      </c>
      <c r="J25" s="5" t="s">
        <v>14</v>
      </c>
      <c r="K25" s="10">
        <f t="shared" si="0"/>
        <v>46190.875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2.75">
      <c r="A26" s="12">
        <v>25</v>
      </c>
      <c r="B26" s="13">
        <v>46191</v>
      </c>
      <c r="C26" s="14">
        <v>0.54166666666666663</v>
      </c>
      <c r="D26" s="15" t="s">
        <v>16</v>
      </c>
      <c r="E26" s="16"/>
      <c r="F26" s="16" t="s">
        <v>5</v>
      </c>
      <c r="G26" s="16"/>
      <c r="H26" s="15" t="s">
        <v>12</v>
      </c>
      <c r="I26" s="12" t="s">
        <v>13</v>
      </c>
      <c r="J26" s="12" t="s">
        <v>72</v>
      </c>
      <c r="K26" s="17">
        <f t="shared" si="0"/>
        <v>46191.541666666664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2.75">
      <c r="A27" s="12">
        <v>26</v>
      </c>
      <c r="B27" s="13">
        <v>46191</v>
      </c>
      <c r="C27" s="14">
        <v>0.66666666666666663</v>
      </c>
      <c r="D27" s="15" t="s">
        <v>24</v>
      </c>
      <c r="E27" s="16"/>
      <c r="F27" s="16" t="s">
        <v>5</v>
      </c>
      <c r="G27" s="16"/>
      <c r="H27" s="15" t="s">
        <v>18</v>
      </c>
      <c r="I27" s="12" t="s">
        <v>19</v>
      </c>
      <c r="J27" s="12" t="s">
        <v>72</v>
      </c>
      <c r="K27" s="17">
        <f t="shared" si="0"/>
        <v>46191.666666666664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2.75">
      <c r="A28" s="12">
        <v>27</v>
      </c>
      <c r="B28" s="13">
        <v>46191</v>
      </c>
      <c r="C28" s="14">
        <v>0.79166666666666663</v>
      </c>
      <c r="D28" s="15" t="s">
        <v>17</v>
      </c>
      <c r="E28" s="16"/>
      <c r="F28" s="16" t="s">
        <v>5</v>
      </c>
      <c r="G28" s="16"/>
      <c r="H28" s="15" t="s">
        <v>23</v>
      </c>
      <c r="I28" s="12" t="s">
        <v>19</v>
      </c>
      <c r="J28" s="12" t="s">
        <v>72</v>
      </c>
      <c r="K28" s="17">
        <f t="shared" si="0"/>
        <v>46191.791666666664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2.75">
      <c r="A29" s="12">
        <v>28</v>
      </c>
      <c r="B29" s="13">
        <v>46191</v>
      </c>
      <c r="C29" s="14">
        <v>0.91666666666666663</v>
      </c>
      <c r="D29" s="15" t="s">
        <v>11</v>
      </c>
      <c r="E29" s="16"/>
      <c r="F29" s="16" t="s">
        <v>5</v>
      </c>
      <c r="G29" s="16"/>
      <c r="H29" s="15" t="s">
        <v>15</v>
      </c>
      <c r="I29" s="12" t="s">
        <v>13</v>
      </c>
      <c r="J29" s="12" t="s">
        <v>72</v>
      </c>
      <c r="K29" s="17">
        <f t="shared" si="0"/>
        <v>46191.916666666664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2.75">
      <c r="A30" s="12">
        <v>29</v>
      </c>
      <c r="B30" s="13">
        <v>46192</v>
      </c>
      <c r="C30" s="14">
        <v>0</v>
      </c>
      <c r="D30" s="15" t="s">
        <v>31</v>
      </c>
      <c r="E30" s="16"/>
      <c r="F30" s="16" t="s">
        <v>5</v>
      </c>
      <c r="G30" s="16"/>
      <c r="H30" s="15" t="s">
        <v>21</v>
      </c>
      <c r="I30" s="12" t="s">
        <v>22</v>
      </c>
      <c r="J30" s="12" t="s">
        <v>72</v>
      </c>
      <c r="K30" s="17">
        <f t="shared" si="0"/>
        <v>46192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2.75">
      <c r="A31" s="12">
        <v>30</v>
      </c>
      <c r="B31" s="13">
        <v>46192</v>
      </c>
      <c r="C31" s="14">
        <v>0.66666666666666663</v>
      </c>
      <c r="D31" s="15" t="s">
        <v>20</v>
      </c>
      <c r="E31" s="16"/>
      <c r="F31" s="16" t="s">
        <v>5</v>
      </c>
      <c r="G31" s="16"/>
      <c r="H31" s="15" t="s">
        <v>30</v>
      </c>
      <c r="I31" s="12" t="s">
        <v>22</v>
      </c>
      <c r="J31" s="12" t="s">
        <v>72</v>
      </c>
      <c r="K31" s="17">
        <f t="shared" si="0"/>
        <v>46192.666666666664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2.75">
      <c r="A32" s="12">
        <v>31</v>
      </c>
      <c r="B32" s="13">
        <v>46192</v>
      </c>
      <c r="C32" s="14">
        <v>0.79166666666666663</v>
      </c>
      <c r="D32" s="15" t="s">
        <v>29</v>
      </c>
      <c r="E32" s="16"/>
      <c r="F32" s="16" t="s">
        <v>5</v>
      </c>
      <c r="G32" s="16"/>
      <c r="H32" s="15" t="s">
        <v>26</v>
      </c>
      <c r="I32" s="12" t="s">
        <v>27</v>
      </c>
      <c r="J32" s="12" t="s">
        <v>72</v>
      </c>
      <c r="K32" s="17">
        <f t="shared" si="0"/>
        <v>46192.791666666664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2.75">
      <c r="A33" s="12">
        <v>32</v>
      </c>
      <c r="B33" s="13">
        <v>46192</v>
      </c>
      <c r="C33" s="14">
        <v>0.89583333333333337</v>
      </c>
      <c r="D33" s="15" t="s">
        <v>25</v>
      </c>
      <c r="E33" s="16"/>
      <c r="F33" s="16" t="s">
        <v>5</v>
      </c>
      <c r="G33" s="16"/>
      <c r="H33" s="15" t="s">
        <v>28</v>
      </c>
      <c r="I33" s="12" t="s">
        <v>27</v>
      </c>
      <c r="J33" s="12" t="s">
        <v>72</v>
      </c>
      <c r="K33" s="17">
        <f t="shared" si="0"/>
        <v>46192.895833333336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2.75">
      <c r="A34" s="12">
        <v>33</v>
      </c>
      <c r="B34" s="13">
        <v>46193</v>
      </c>
      <c r="C34" s="14">
        <v>0.95833333333333337</v>
      </c>
      <c r="D34" s="15" t="s">
        <v>41</v>
      </c>
      <c r="E34" s="16"/>
      <c r="F34" s="16" t="s">
        <v>5</v>
      </c>
      <c r="G34" s="16"/>
      <c r="H34" s="15" t="s">
        <v>38</v>
      </c>
      <c r="I34" s="12" t="s">
        <v>39</v>
      </c>
      <c r="J34" s="12" t="s">
        <v>72</v>
      </c>
      <c r="K34" s="17">
        <f t="shared" si="0"/>
        <v>46193.958333333336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2.75">
      <c r="A35" s="12">
        <v>34</v>
      </c>
      <c r="B35" s="13">
        <v>46193</v>
      </c>
      <c r="C35" s="14">
        <v>0.58333333333333337</v>
      </c>
      <c r="D35" s="15" t="s">
        <v>37</v>
      </c>
      <c r="E35" s="16"/>
      <c r="F35" s="16" t="s">
        <v>5</v>
      </c>
      <c r="G35" s="16"/>
      <c r="H35" s="15" t="s">
        <v>40</v>
      </c>
      <c r="I35" s="12" t="s">
        <v>39</v>
      </c>
      <c r="J35" s="12" t="s">
        <v>72</v>
      </c>
      <c r="K35" s="17">
        <f t="shared" si="0"/>
        <v>46193.583333333336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2.75">
      <c r="A36" s="12">
        <v>35</v>
      </c>
      <c r="B36" s="13">
        <v>46193</v>
      </c>
      <c r="C36" s="14">
        <v>0.70833333333333337</v>
      </c>
      <c r="D36" s="15" t="s">
        <v>32</v>
      </c>
      <c r="E36" s="16"/>
      <c r="F36" s="16" t="s">
        <v>5</v>
      </c>
      <c r="G36" s="16"/>
      <c r="H36" s="15" t="s">
        <v>35</v>
      </c>
      <c r="I36" s="12" t="s">
        <v>34</v>
      </c>
      <c r="J36" s="12" t="s">
        <v>72</v>
      </c>
      <c r="K36" s="17">
        <f t="shared" si="0"/>
        <v>46193.708333333336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2.75">
      <c r="A37" s="12">
        <v>36</v>
      </c>
      <c r="B37" s="13">
        <v>46193</v>
      </c>
      <c r="C37" s="14">
        <v>0.875</v>
      </c>
      <c r="D37" s="15" t="s">
        <v>36</v>
      </c>
      <c r="E37" s="16"/>
      <c r="F37" s="16" t="s">
        <v>5</v>
      </c>
      <c r="G37" s="16"/>
      <c r="H37" s="15" t="s">
        <v>33</v>
      </c>
      <c r="I37" s="12" t="s">
        <v>34</v>
      </c>
      <c r="J37" s="12" t="s">
        <v>72</v>
      </c>
      <c r="K37" s="17">
        <f t="shared" si="0"/>
        <v>46193.875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2.75">
      <c r="A38" s="12">
        <v>37</v>
      </c>
      <c r="B38" s="13">
        <v>46194</v>
      </c>
      <c r="C38" s="14">
        <v>0.54166666666666663</v>
      </c>
      <c r="D38" s="15" t="s">
        <v>42</v>
      </c>
      <c r="E38" s="16"/>
      <c r="F38" s="16" t="s">
        <v>5</v>
      </c>
      <c r="G38" s="16"/>
      <c r="H38" s="15" t="s">
        <v>45</v>
      </c>
      <c r="I38" s="12" t="s">
        <v>44</v>
      </c>
      <c r="J38" s="12" t="s">
        <v>72</v>
      </c>
      <c r="K38" s="17">
        <f t="shared" si="0"/>
        <v>46194.541666666664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2.75">
      <c r="A39" s="12">
        <v>38</v>
      </c>
      <c r="B39" s="13">
        <v>46194</v>
      </c>
      <c r="C39" s="14">
        <v>0.66666666666666663</v>
      </c>
      <c r="D39" s="15" t="s">
        <v>47</v>
      </c>
      <c r="E39" s="16"/>
      <c r="F39" s="16" t="s">
        <v>5</v>
      </c>
      <c r="G39" s="16"/>
      <c r="H39" s="15" t="s">
        <v>50</v>
      </c>
      <c r="I39" s="12" t="s">
        <v>49</v>
      </c>
      <c r="J39" s="12" t="s">
        <v>72</v>
      </c>
      <c r="K39" s="17">
        <f t="shared" si="0"/>
        <v>46194.666666666664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2.75">
      <c r="A40" s="12">
        <v>39</v>
      </c>
      <c r="B40" s="13">
        <v>46194</v>
      </c>
      <c r="C40" s="14">
        <v>0.79166666666666663</v>
      </c>
      <c r="D40" s="15" t="s">
        <v>46</v>
      </c>
      <c r="E40" s="16"/>
      <c r="F40" s="16" t="s">
        <v>5</v>
      </c>
      <c r="G40" s="16"/>
      <c r="H40" s="15" t="s">
        <v>43</v>
      </c>
      <c r="I40" s="12" t="s">
        <v>44</v>
      </c>
      <c r="J40" s="12" t="s">
        <v>72</v>
      </c>
      <c r="K40" s="17">
        <f t="shared" si="0"/>
        <v>46194.791666666664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2.75">
      <c r="A41" s="12">
        <v>40</v>
      </c>
      <c r="B41" s="13">
        <v>46194</v>
      </c>
      <c r="C41" s="14">
        <v>0.91666666666666663</v>
      </c>
      <c r="D41" s="15" t="s">
        <v>51</v>
      </c>
      <c r="E41" s="16"/>
      <c r="F41" s="16" t="s">
        <v>5</v>
      </c>
      <c r="G41" s="16"/>
      <c r="H41" s="15" t="s">
        <v>48</v>
      </c>
      <c r="I41" s="12" t="s">
        <v>49</v>
      </c>
      <c r="J41" s="12" t="s">
        <v>72</v>
      </c>
      <c r="K41" s="17">
        <f t="shared" si="0"/>
        <v>46194.916666666664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2.75">
      <c r="A42" s="12">
        <v>41</v>
      </c>
      <c r="B42" s="13">
        <v>46195</v>
      </c>
      <c r="C42" s="14">
        <v>0.58333333333333337</v>
      </c>
      <c r="D42" s="15" t="s">
        <v>60</v>
      </c>
      <c r="E42" s="16"/>
      <c r="F42" s="16" t="s">
        <v>5</v>
      </c>
      <c r="G42" s="16"/>
      <c r="H42" s="15" t="s">
        <v>52</v>
      </c>
      <c r="I42" s="12" t="s">
        <v>54</v>
      </c>
      <c r="J42" s="12" t="s">
        <v>72</v>
      </c>
      <c r="K42" s="17">
        <f t="shared" si="0"/>
        <v>46195.583333333336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2.75">
      <c r="A43" s="12">
        <v>42</v>
      </c>
      <c r="B43" s="13">
        <v>46195</v>
      </c>
      <c r="C43" s="14">
        <v>0.75</v>
      </c>
      <c r="D43" s="15" t="s">
        <v>55</v>
      </c>
      <c r="E43" s="16"/>
      <c r="F43" s="16" t="s">
        <v>5</v>
      </c>
      <c r="G43" s="16"/>
      <c r="H43" s="15" t="s">
        <v>58</v>
      </c>
      <c r="I43" s="12" t="s">
        <v>57</v>
      </c>
      <c r="J43" s="12" t="s">
        <v>72</v>
      </c>
      <c r="K43" s="17">
        <f t="shared" si="0"/>
        <v>46195.75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2.75">
      <c r="A44" s="12">
        <v>43</v>
      </c>
      <c r="B44" s="13">
        <v>46195</v>
      </c>
      <c r="C44" s="14">
        <v>0.875</v>
      </c>
      <c r="D44" s="15" t="s">
        <v>59</v>
      </c>
      <c r="E44" s="16"/>
      <c r="F44" s="16" t="s">
        <v>5</v>
      </c>
      <c r="G44" s="16"/>
      <c r="H44" s="15" t="s">
        <v>56</v>
      </c>
      <c r="I44" s="12" t="s">
        <v>57</v>
      </c>
      <c r="J44" s="12" t="s">
        <v>72</v>
      </c>
      <c r="K44" s="17">
        <f t="shared" si="0"/>
        <v>46195.875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2.75">
      <c r="A45" s="12">
        <v>44</v>
      </c>
      <c r="B45" s="13">
        <v>46196</v>
      </c>
      <c r="C45" s="14">
        <v>0</v>
      </c>
      <c r="D45" s="15" t="s">
        <v>53</v>
      </c>
      <c r="E45" s="16"/>
      <c r="F45" s="16" t="s">
        <v>5</v>
      </c>
      <c r="G45" s="16"/>
      <c r="H45" s="15" t="s">
        <v>61</v>
      </c>
      <c r="I45" s="12" t="s">
        <v>54</v>
      </c>
      <c r="J45" s="12" t="s">
        <v>72</v>
      </c>
      <c r="K45" s="17">
        <f t="shared" si="0"/>
        <v>46196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2.75">
      <c r="A46" s="12">
        <v>45</v>
      </c>
      <c r="B46" s="13">
        <v>46196</v>
      </c>
      <c r="C46" s="14">
        <v>0.58333333333333337</v>
      </c>
      <c r="D46" s="15" t="s">
        <v>62</v>
      </c>
      <c r="E46" s="16"/>
      <c r="F46" s="16" t="s">
        <v>5</v>
      </c>
      <c r="G46" s="16"/>
      <c r="H46" s="15" t="s">
        <v>70</v>
      </c>
      <c r="I46" s="12" t="s">
        <v>64</v>
      </c>
      <c r="J46" s="12" t="s">
        <v>72</v>
      </c>
      <c r="K46" s="17">
        <f t="shared" si="0"/>
        <v>46196.583333333336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2.75">
      <c r="A47" s="12">
        <v>46</v>
      </c>
      <c r="B47" s="13">
        <v>46196</v>
      </c>
      <c r="C47" s="14">
        <v>0.70833333333333337</v>
      </c>
      <c r="D47" s="15" t="s">
        <v>65</v>
      </c>
      <c r="E47" s="16"/>
      <c r="F47" s="16" t="s">
        <v>5</v>
      </c>
      <c r="G47" s="16"/>
      <c r="H47" s="15" t="s">
        <v>68</v>
      </c>
      <c r="I47" s="12" t="s">
        <v>67</v>
      </c>
      <c r="J47" s="12" t="s">
        <v>72</v>
      </c>
      <c r="K47" s="17">
        <f t="shared" si="0"/>
        <v>46196.708333333336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2.75">
      <c r="A48" s="12">
        <v>47</v>
      </c>
      <c r="B48" s="13">
        <v>46196</v>
      </c>
      <c r="C48" s="14">
        <v>0.83333333333333337</v>
      </c>
      <c r="D48" s="15" t="s">
        <v>69</v>
      </c>
      <c r="E48" s="16"/>
      <c r="F48" s="16" t="s">
        <v>5</v>
      </c>
      <c r="G48" s="16"/>
      <c r="H48" s="15" t="s">
        <v>66</v>
      </c>
      <c r="I48" s="12" t="s">
        <v>67</v>
      </c>
      <c r="J48" s="12" t="s">
        <v>72</v>
      </c>
      <c r="K48" s="17">
        <f t="shared" si="0"/>
        <v>46196.833333333336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2.75">
      <c r="A49" s="12">
        <v>48</v>
      </c>
      <c r="B49" s="13">
        <v>46196</v>
      </c>
      <c r="C49" s="14">
        <v>0.95833333333333337</v>
      </c>
      <c r="D49" s="15" t="s">
        <v>71</v>
      </c>
      <c r="E49" s="16"/>
      <c r="F49" s="16" t="s">
        <v>5</v>
      </c>
      <c r="G49" s="16"/>
      <c r="H49" s="15" t="s">
        <v>63</v>
      </c>
      <c r="I49" s="12" t="s">
        <v>64</v>
      </c>
      <c r="J49" s="12" t="s">
        <v>72</v>
      </c>
      <c r="K49" s="17">
        <f t="shared" si="0"/>
        <v>46196.958333333336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2.75">
      <c r="A50" s="5">
        <v>49</v>
      </c>
      <c r="B50" s="6">
        <v>46197</v>
      </c>
      <c r="C50" s="7">
        <v>0.66666666666666663</v>
      </c>
      <c r="D50" s="8" t="s">
        <v>24</v>
      </c>
      <c r="E50" s="9"/>
      <c r="F50" s="9" t="s">
        <v>5</v>
      </c>
      <c r="G50" s="9"/>
      <c r="H50" s="8" t="s">
        <v>17</v>
      </c>
      <c r="I50" s="5" t="s">
        <v>19</v>
      </c>
      <c r="J50" s="5" t="s">
        <v>73</v>
      </c>
      <c r="K50" s="10">
        <f t="shared" si="0"/>
        <v>46197.666666666664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2.75">
      <c r="A51" s="5">
        <v>50</v>
      </c>
      <c r="B51" s="6">
        <v>46197</v>
      </c>
      <c r="C51" s="7">
        <v>0.66666666666666663</v>
      </c>
      <c r="D51" s="8" t="s">
        <v>18</v>
      </c>
      <c r="E51" s="9"/>
      <c r="F51" s="9" t="s">
        <v>5</v>
      </c>
      <c r="G51" s="9"/>
      <c r="H51" s="8" t="s">
        <v>23</v>
      </c>
      <c r="I51" s="5" t="s">
        <v>19</v>
      </c>
      <c r="J51" s="5" t="s">
        <v>73</v>
      </c>
      <c r="K51" s="10">
        <f t="shared" si="0"/>
        <v>46197.666666666664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2.75">
      <c r="A52" s="5">
        <v>51</v>
      </c>
      <c r="B52" s="6">
        <v>46197</v>
      </c>
      <c r="C52" s="7">
        <v>0.79166666666666663</v>
      </c>
      <c r="D52" s="8" t="s">
        <v>29</v>
      </c>
      <c r="E52" s="9"/>
      <c r="F52" s="9" t="s">
        <v>5</v>
      </c>
      <c r="G52" s="9"/>
      <c r="H52" s="8" t="s">
        <v>25</v>
      </c>
      <c r="I52" s="5" t="s">
        <v>27</v>
      </c>
      <c r="J52" s="5" t="s">
        <v>73</v>
      </c>
      <c r="K52" s="10">
        <f t="shared" si="0"/>
        <v>46197.791666666664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2.75">
      <c r="A53" s="5">
        <v>52</v>
      </c>
      <c r="B53" s="6">
        <v>46197</v>
      </c>
      <c r="C53" s="7">
        <v>0.79166666666666663</v>
      </c>
      <c r="D53" s="8" t="s">
        <v>26</v>
      </c>
      <c r="E53" s="9"/>
      <c r="F53" s="9" t="s">
        <v>5</v>
      </c>
      <c r="G53" s="9"/>
      <c r="H53" s="8" t="s">
        <v>28</v>
      </c>
      <c r="I53" s="5" t="s">
        <v>27</v>
      </c>
      <c r="J53" s="5" t="s">
        <v>73</v>
      </c>
      <c r="K53" s="10">
        <f t="shared" si="0"/>
        <v>46197.791666666664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2.75">
      <c r="A54" s="5">
        <v>53</v>
      </c>
      <c r="B54" s="6">
        <v>46197</v>
      </c>
      <c r="C54" s="7">
        <v>0.91666666666666663</v>
      </c>
      <c r="D54" s="8" t="s">
        <v>16</v>
      </c>
      <c r="E54" s="9"/>
      <c r="F54" s="9" t="s">
        <v>5</v>
      </c>
      <c r="G54" s="9"/>
      <c r="H54" s="8" t="s">
        <v>11</v>
      </c>
      <c r="I54" s="5" t="s">
        <v>13</v>
      </c>
      <c r="J54" s="5" t="s">
        <v>73</v>
      </c>
      <c r="K54" s="10">
        <f t="shared" si="0"/>
        <v>46197.916666666664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2.75">
      <c r="A55" s="5">
        <v>54</v>
      </c>
      <c r="B55" s="6">
        <v>46197</v>
      </c>
      <c r="C55" s="7">
        <v>0.91666666666666663</v>
      </c>
      <c r="D55" s="8" t="s">
        <v>12</v>
      </c>
      <c r="E55" s="9"/>
      <c r="F55" s="9" t="s">
        <v>5</v>
      </c>
      <c r="G55" s="9"/>
      <c r="H55" s="8" t="s">
        <v>15</v>
      </c>
      <c r="I55" s="5" t="s">
        <v>13</v>
      </c>
      <c r="J55" s="5" t="s">
        <v>73</v>
      </c>
      <c r="K55" s="10">
        <f t="shared" si="0"/>
        <v>46197.916666666664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2.75">
      <c r="A56" s="5">
        <v>55</v>
      </c>
      <c r="B56" s="6">
        <v>46198</v>
      </c>
      <c r="C56" s="7">
        <v>0.70833333333333337</v>
      </c>
      <c r="D56" s="8" t="s">
        <v>36</v>
      </c>
      <c r="E56" s="9"/>
      <c r="F56" s="9" t="s">
        <v>5</v>
      </c>
      <c r="G56" s="9"/>
      <c r="H56" s="8" t="s">
        <v>32</v>
      </c>
      <c r="I56" s="5" t="s">
        <v>34</v>
      </c>
      <c r="J56" s="5" t="s">
        <v>73</v>
      </c>
      <c r="K56" s="10">
        <f t="shared" si="0"/>
        <v>46198.708333333336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2.75">
      <c r="A57" s="5">
        <v>56</v>
      </c>
      <c r="B57" s="6">
        <v>46198</v>
      </c>
      <c r="C57" s="7">
        <v>0.70833333333333337</v>
      </c>
      <c r="D57" s="8" t="s">
        <v>33</v>
      </c>
      <c r="E57" s="9"/>
      <c r="F57" s="9" t="s">
        <v>5</v>
      </c>
      <c r="G57" s="9"/>
      <c r="H57" s="8" t="s">
        <v>35</v>
      </c>
      <c r="I57" s="5" t="s">
        <v>34</v>
      </c>
      <c r="J57" s="5" t="s">
        <v>73</v>
      </c>
      <c r="K57" s="10">
        <f t="shared" si="0"/>
        <v>46198.708333333336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2.75">
      <c r="A58" s="5">
        <v>57</v>
      </c>
      <c r="B58" s="6">
        <v>46198</v>
      </c>
      <c r="C58" s="7">
        <v>0.83333333333333337</v>
      </c>
      <c r="D58" s="8" t="s">
        <v>38</v>
      </c>
      <c r="E58" s="9"/>
      <c r="F58" s="9" t="s">
        <v>5</v>
      </c>
      <c r="G58" s="9"/>
      <c r="H58" s="8" t="s">
        <v>40</v>
      </c>
      <c r="I58" s="5" t="s">
        <v>39</v>
      </c>
      <c r="J58" s="5" t="s">
        <v>73</v>
      </c>
      <c r="K58" s="10">
        <f t="shared" si="0"/>
        <v>46198.833333333336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2.75">
      <c r="A59" s="5">
        <v>58</v>
      </c>
      <c r="B59" s="6">
        <v>46198</v>
      </c>
      <c r="C59" s="7">
        <v>0.83333333333333337</v>
      </c>
      <c r="D59" s="8" t="s">
        <v>41</v>
      </c>
      <c r="E59" s="9"/>
      <c r="F59" s="9" t="s">
        <v>5</v>
      </c>
      <c r="G59" s="9"/>
      <c r="H59" s="8" t="s">
        <v>37</v>
      </c>
      <c r="I59" s="5" t="s">
        <v>39</v>
      </c>
      <c r="J59" s="5" t="s">
        <v>73</v>
      </c>
      <c r="K59" s="10">
        <f t="shared" si="0"/>
        <v>46198.833333333336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2.75">
      <c r="A60" s="5">
        <v>59</v>
      </c>
      <c r="B60" s="6">
        <v>46198</v>
      </c>
      <c r="C60" s="7">
        <v>0.95833333333333337</v>
      </c>
      <c r="D60" s="8" t="s">
        <v>31</v>
      </c>
      <c r="E60" s="9"/>
      <c r="F60" s="9" t="s">
        <v>5</v>
      </c>
      <c r="G60" s="9"/>
      <c r="H60" s="8" t="s">
        <v>20</v>
      </c>
      <c r="I60" s="5" t="s">
        <v>22</v>
      </c>
      <c r="J60" s="5" t="s">
        <v>73</v>
      </c>
      <c r="K60" s="10">
        <f t="shared" si="0"/>
        <v>46198.958333333336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2.75">
      <c r="A61" s="5">
        <v>60</v>
      </c>
      <c r="B61" s="6">
        <v>46198</v>
      </c>
      <c r="C61" s="7">
        <v>0.95833333333333337</v>
      </c>
      <c r="D61" s="8" t="s">
        <v>21</v>
      </c>
      <c r="E61" s="9"/>
      <c r="F61" s="9" t="s">
        <v>5</v>
      </c>
      <c r="G61" s="9"/>
      <c r="H61" s="8" t="s">
        <v>30</v>
      </c>
      <c r="I61" s="5" t="s">
        <v>22</v>
      </c>
      <c r="J61" s="5" t="s">
        <v>73</v>
      </c>
      <c r="K61" s="10">
        <f t="shared" si="0"/>
        <v>46198.958333333336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2.75">
      <c r="A62" s="5">
        <v>61</v>
      </c>
      <c r="B62" s="6">
        <v>46199</v>
      </c>
      <c r="C62" s="7">
        <v>0.66666666666666663</v>
      </c>
      <c r="D62" s="8" t="s">
        <v>59</v>
      </c>
      <c r="E62" s="9"/>
      <c r="F62" s="9" t="s">
        <v>5</v>
      </c>
      <c r="G62" s="9"/>
      <c r="H62" s="8" t="s">
        <v>55</v>
      </c>
      <c r="I62" s="5" t="s">
        <v>57</v>
      </c>
      <c r="J62" s="5" t="s">
        <v>73</v>
      </c>
      <c r="K62" s="10">
        <f t="shared" si="0"/>
        <v>46199.666666666664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2.75">
      <c r="A63" s="5">
        <v>62</v>
      </c>
      <c r="B63" s="6">
        <v>46199</v>
      </c>
      <c r="C63" s="7">
        <v>0.66666666666666663</v>
      </c>
      <c r="D63" s="8" t="s">
        <v>56</v>
      </c>
      <c r="E63" s="9"/>
      <c r="F63" s="9" t="s">
        <v>5</v>
      </c>
      <c r="G63" s="9"/>
      <c r="H63" s="8" t="s">
        <v>58</v>
      </c>
      <c r="I63" s="5" t="s">
        <v>57</v>
      </c>
      <c r="J63" s="5" t="s">
        <v>73</v>
      </c>
      <c r="K63" s="10">
        <f t="shared" si="0"/>
        <v>46199.666666666664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2.75">
      <c r="A64" s="5">
        <v>63</v>
      </c>
      <c r="B64" s="6">
        <v>46199</v>
      </c>
      <c r="C64" s="7">
        <v>0.875</v>
      </c>
      <c r="D64" s="8" t="s">
        <v>43</v>
      </c>
      <c r="E64" s="9"/>
      <c r="F64" s="9" t="s">
        <v>5</v>
      </c>
      <c r="G64" s="9"/>
      <c r="H64" s="8" t="s">
        <v>45</v>
      </c>
      <c r="I64" s="5" t="s">
        <v>44</v>
      </c>
      <c r="J64" s="5" t="s">
        <v>73</v>
      </c>
      <c r="K64" s="10">
        <f t="shared" si="0"/>
        <v>46199.875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2.75">
      <c r="A65" s="5">
        <v>64</v>
      </c>
      <c r="B65" s="6">
        <v>46199</v>
      </c>
      <c r="C65" s="7">
        <v>0.875</v>
      </c>
      <c r="D65" s="8" t="s">
        <v>46</v>
      </c>
      <c r="E65" s="9"/>
      <c r="F65" s="9" t="s">
        <v>5</v>
      </c>
      <c r="G65" s="9"/>
      <c r="H65" s="8" t="s">
        <v>42</v>
      </c>
      <c r="I65" s="5" t="s">
        <v>44</v>
      </c>
      <c r="J65" s="5" t="s">
        <v>73</v>
      </c>
      <c r="K65" s="10">
        <f t="shared" si="0"/>
        <v>46199.875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2.75">
      <c r="A66" s="5">
        <v>65</v>
      </c>
      <c r="B66" s="6">
        <v>46200</v>
      </c>
      <c r="C66" s="7">
        <v>0</v>
      </c>
      <c r="D66" s="8" t="s">
        <v>48</v>
      </c>
      <c r="E66" s="9"/>
      <c r="F66" s="9" t="s">
        <v>5</v>
      </c>
      <c r="G66" s="9"/>
      <c r="H66" s="8" t="s">
        <v>50</v>
      </c>
      <c r="I66" s="5" t="s">
        <v>49</v>
      </c>
      <c r="J66" s="5" t="s">
        <v>73</v>
      </c>
      <c r="K66" s="10">
        <f t="shared" si="0"/>
        <v>46200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2.75">
      <c r="A67" s="5">
        <v>66</v>
      </c>
      <c r="B67" s="6">
        <v>46200</v>
      </c>
      <c r="C67" s="7">
        <v>0</v>
      </c>
      <c r="D67" s="8" t="s">
        <v>51</v>
      </c>
      <c r="E67" s="9"/>
      <c r="F67" s="9" t="s">
        <v>5</v>
      </c>
      <c r="G67" s="9"/>
      <c r="H67" s="8" t="s">
        <v>47</v>
      </c>
      <c r="I67" s="5" t="s">
        <v>49</v>
      </c>
      <c r="J67" s="5" t="s">
        <v>73</v>
      </c>
      <c r="K67" s="10">
        <f t="shared" si="0"/>
        <v>46200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2.75">
      <c r="A68" s="5">
        <v>67</v>
      </c>
      <c r="B68" s="6">
        <v>46200</v>
      </c>
      <c r="C68" s="7">
        <v>0.75</v>
      </c>
      <c r="D68" s="8" t="s">
        <v>69</v>
      </c>
      <c r="E68" s="9"/>
      <c r="F68" s="9" t="s">
        <v>5</v>
      </c>
      <c r="G68" s="9"/>
      <c r="H68" s="8" t="s">
        <v>65</v>
      </c>
      <c r="I68" s="5" t="s">
        <v>67</v>
      </c>
      <c r="J68" s="5" t="s">
        <v>73</v>
      </c>
      <c r="K68" s="10">
        <f t="shared" si="0"/>
        <v>46200.75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2.75">
      <c r="A69" s="5">
        <v>68</v>
      </c>
      <c r="B69" s="6">
        <v>46200</v>
      </c>
      <c r="C69" s="7">
        <v>0.75</v>
      </c>
      <c r="D69" s="8" t="s">
        <v>66</v>
      </c>
      <c r="E69" s="9"/>
      <c r="F69" s="9" t="s">
        <v>5</v>
      </c>
      <c r="G69" s="9"/>
      <c r="H69" s="8" t="s">
        <v>68</v>
      </c>
      <c r="I69" s="5" t="s">
        <v>67</v>
      </c>
      <c r="J69" s="5" t="s">
        <v>73</v>
      </c>
      <c r="K69" s="10">
        <f t="shared" si="0"/>
        <v>46200.75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2.75">
      <c r="A70" s="5">
        <v>69</v>
      </c>
      <c r="B70" s="6">
        <v>46200</v>
      </c>
      <c r="C70" s="7">
        <v>0.85416666666666663</v>
      </c>
      <c r="D70" s="8" t="s">
        <v>71</v>
      </c>
      <c r="E70" s="9"/>
      <c r="F70" s="9" t="s">
        <v>5</v>
      </c>
      <c r="G70" s="9"/>
      <c r="H70" s="8" t="s">
        <v>62</v>
      </c>
      <c r="I70" s="5" t="s">
        <v>64</v>
      </c>
      <c r="J70" s="5" t="s">
        <v>73</v>
      </c>
      <c r="K70" s="10">
        <f t="shared" si="0"/>
        <v>46200.854166666664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2.75">
      <c r="A71" s="5">
        <v>70</v>
      </c>
      <c r="B71" s="6">
        <v>46200</v>
      </c>
      <c r="C71" s="7">
        <v>0.85416666666666663</v>
      </c>
      <c r="D71" s="8" t="s">
        <v>63</v>
      </c>
      <c r="E71" s="9"/>
      <c r="F71" s="9" t="s">
        <v>5</v>
      </c>
      <c r="G71" s="9"/>
      <c r="H71" s="8" t="s">
        <v>70</v>
      </c>
      <c r="I71" s="5" t="s">
        <v>64</v>
      </c>
      <c r="J71" s="5" t="s">
        <v>73</v>
      </c>
      <c r="K71" s="10">
        <f t="shared" si="0"/>
        <v>46200.854166666664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2.75">
      <c r="A72" s="5">
        <v>71</v>
      </c>
      <c r="B72" s="6">
        <v>46200</v>
      </c>
      <c r="C72" s="7">
        <v>0.95833333333333337</v>
      </c>
      <c r="D72" s="8" t="s">
        <v>61</v>
      </c>
      <c r="E72" s="9"/>
      <c r="F72" s="9" t="s">
        <v>5</v>
      </c>
      <c r="G72" s="9"/>
      <c r="H72" s="8" t="s">
        <v>52</v>
      </c>
      <c r="I72" s="5" t="s">
        <v>54</v>
      </c>
      <c r="J72" s="5" t="s">
        <v>73</v>
      </c>
      <c r="K72" s="10">
        <f t="shared" si="0"/>
        <v>46200.958333333336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2.75">
      <c r="A73" s="5">
        <v>72</v>
      </c>
      <c r="B73" s="6">
        <v>46200</v>
      </c>
      <c r="C73" s="7">
        <v>0.95833333333333337</v>
      </c>
      <c r="D73" s="8" t="s">
        <v>53</v>
      </c>
      <c r="E73" s="9"/>
      <c r="F73" s="9" t="s">
        <v>5</v>
      </c>
      <c r="G73" s="9"/>
      <c r="H73" s="8" t="s">
        <v>60</v>
      </c>
      <c r="I73" s="5" t="s">
        <v>54</v>
      </c>
      <c r="J73" s="5" t="s">
        <v>73</v>
      </c>
      <c r="K73" s="10">
        <f t="shared" si="0"/>
        <v>46200.958333333336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2.75">
      <c r="A74" s="12">
        <v>73</v>
      </c>
      <c r="B74" s="13">
        <v>46201</v>
      </c>
      <c r="C74" s="14">
        <v>0.66666666666666663</v>
      </c>
      <c r="D74" s="15" t="s">
        <v>74</v>
      </c>
      <c r="E74" s="16"/>
      <c r="F74" s="16" t="s">
        <v>5</v>
      </c>
      <c r="G74" s="16"/>
      <c r="H74" s="15" t="s">
        <v>75</v>
      </c>
      <c r="I74" s="12" t="s">
        <v>76</v>
      </c>
      <c r="J74" s="12" t="s">
        <v>77</v>
      </c>
      <c r="K74" s="18">
        <f t="shared" si="0"/>
        <v>46201.666666666664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2.75">
      <c r="A75" s="12">
        <v>74</v>
      </c>
      <c r="B75" s="13">
        <v>46202</v>
      </c>
      <c r="C75" s="14">
        <v>0.72916666666666663</v>
      </c>
      <c r="D75" s="15" t="s">
        <v>78</v>
      </c>
      <c r="E75" s="16"/>
      <c r="F75" s="16" t="s">
        <v>5</v>
      </c>
      <c r="G75" s="16"/>
      <c r="H75" s="15" t="s">
        <v>79</v>
      </c>
      <c r="I75" s="12" t="s">
        <v>76</v>
      </c>
      <c r="J75" s="12" t="s">
        <v>77</v>
      </c>
      <c r="K75" s="18">
        <f t="shared" si="0"/>
        <v>46202.729166666664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2.75">
      <c r="A76" s="12">
        <v>75</v>
      </c>
      <c r="B76" s="13">
        <v>46202</v>
      </c>
      <c r="C76" s="14">
        <v>0.91666666666666663</v>
      </c>
      <c r="D76" s="15" t="s">
        <v>80</v>
      </c>
      <c r="E76" s="16"/>
      <c r="F76" s="16" t="s">
        <v>5</v>
      </c>
      <c r="G76" s="16"/>
      <c r="H76" s="15" t="s">
        <v>81</v>
      </c>
      <c r="I76" s="12" t="s">
        <v>76</v>
      </c>
      <c r="J76" s="12" t="s">
        <v>77</v>
      </c>
      <c r="K76" s="18">
        <f t="shared" si="0"/>
        <v>46202.916666666664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2.75">
      <c r="A77" s="12">
        <v>76</v>
      </c>
      <c r="B77" s="13">
        <v>46202</v>
      </c>
      <c r="C77" s="14">
        <v>0.58333333333333337</v>
      </c>
      <c r="D77" s="15" t="s">
        <v>82</v>
      </c>
      <c r="E77" s="16"/>
      <c r="F77" s="16" t="s">
        <v>5</v>
      </c>
      <c r="G77" s="16"/>
      <c r="H77" s="15" t="s">
        <v>83</v>
      </c>
      <c r="I77" s="12" t="s">
        <v>76</v>
      </c>
      <c r="J77" s="12" t="s">
        <v>77</v>
      </c>
      <c r="K77" s="18">
        <f t="shared" si="0"/>
        <v>46202.583333333336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2.75">
      <c r="A78" s="12">
        <v>77</v>
      </c>
      <c r="B78" s="13">
        <v>46203</v>
      </c>
      <c r="C78" s="14">
        <v>0.75</v>
      </c>
      <c r="D78" s="15" t="s">
        <v>84</v>
      </c>
      <c r="E78" s="16"/>
      <c r="F78" s="16" t="s">
        <v>5</v>
      </c>
      <c r="G78" s="16"/>
      <c r="H78" s="15" t="s">
        <v>85</v>
      </c>
      <c r="I78" s="12" t="s">
        <v>76</v>
      </c>
      <c r="J78" s="12" t="s">
        <v>77</v>
      </c>
      <c r="K78" s="18">
        <f t="shared" si="0"/>
        <v>46203.75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2.75">
      <c r="A79" s="12">
        <v>78</v>
      </c>
      <c r="B79" s="13">
        <v>46203</v>
      </c>
      <c r="C79" s="14">
        <v>0.58333333333333337</v>
      </c>
      <c r="D79" s="15" t="s">
        <v>86</v>
      </c>
      <c r="E79" s="16"/>
      <c r="F79" s="16" t="s">
        <v>5</v>
      </c>
      <c r="G79" s="16"/>
      <c r="H79" s="15" t="s">
        <v>87</v>
      </c>
      <c r="I79" s="12" t="s">
        <v>76</v>
      </c>
      <c r="J79" s="12" t="s">
        <v>77</v>
      </c>
      <c r="K79" s="18">
        <f t="shared" si="0"/>
        <v>46203.583333333336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2.75">
      <c r="A80" s="12">
        <v>79</v>
      </c>
      <c r="B80" s="13">
        <v>46203</v>
      </c>
      <c r="C80" s="14">
        <v>0.91666666666666663</v>
      </c>
      <c r="D80" s="15" t="s">
        <v>88</v>
      </c>
      <c r="E80" s="16"/>
      <c r="F80" s="16" t="s">
        <v>5</v>
      </c>
      <c r="G80" s="16"/>
      <c r="H80" s="15" t="s">
        <v>89</v>
      </c>
      <c r="I80" s="12" t="s">
        <v>76</v>
      </c>
      <c r="J80" s="12" t="s">
        <v>77</v>
      </c>
      <c r="K80" s="18">
        <f t="shared" si="0"/>
        <v>46203.916666666664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2.75">
      <c r="A81" s="12">
        <v>80</v>
      </c>
      <c r="B81" s="13">
        <v>46204</v>
      </c>
      <c r="C81" s="14">
        <v>0.54166666666666663</v>
      </c>
      <c r="D81" s="15" t="s">
        <v>90</v>
      </c>
      <c r="E81" s="16"/>
      <c r="F81" s="16" t="s">
        <v>5</v>
      </c>
      <c r="G81" s="16"/>
      <c r="H81" s="15" t="s">
        <v>91</v>
      </c>
      <c r="I81" s="12" t="s">
        <v>76</v>
      </c>
      <c r="J81" s="12" t="s">
        <v>77</v>
      </c>
      <c r="K81" s="18">
        <f t="shared" si="0"/>
        <v>46204.541666666664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2.75">
      <c r="A82" s="12">
        <v>81</v>
      </c>
      <c r="B82" s="13">
        <v>46204</v>
      </c>
      <c r="C82" s="14">
        <v>0.875</v>
      </c>
      <c r="D82" s="15" t="s">
        <v>92</v>
      </c>
      <c r="E82" s="16"/>
      <c r="F82" s="16" t="s">
        <v>5</v>
      </c>
      <c r="G82" s="16"/>
      <c r="H82" s="15" t="s">
        <v>93</v>
      </c>
      <c r="I82" s="12" t="s">
        <v>76</v>
      </c>
      <c r="J82" s="12" t="s">
        <v>77</v>
      </c>
      <c r="K82" s="18">
        <f t="shared" si="0"/>
        <v>46204.875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2.75">
      <c r="A83" s="12">
        <v>82</v>
      </c>
      <c r="B83" s="13">
        <v>46204</v>
      </c>
      <c r="C83" s="14">
        <v>0.70833333333333337</v>
      </c>
      <c r="D83" s="15" t="s">
        <v>94</v>
      </c>
      <c r="E83" s="16"/>
      <c r="F83" s="16" t="s">
        <v>5</v>
      </c>
      <c r="G83" s="16"/>
      <c r="H83" s="15" t="s">
        <v>95</v>
      </c>
      <c r="I83" s="12" t="s">
        <v>76</v>
      </c>
      <c r="J83" s="12" t="s">
        <v>77</v>
      </c>
      <c r="K83" s="18">
        <f t="shared" si="0"/>
        <v>46204.708333333336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2.75">
      <c r="A84" s="12">
        <v>83</v>
      </c>
      <c r="B84" s="13">
        <v>46205</v>
      </c>
      <c r="C84" s="14">
        <v>0.83333333333333337</v>
      </c>
      <c r="D84" s="15" t="s">
        <v>96</v>
      </c>
      <c r="E84" s="16"/>
      <c r="F84" s="16" t="s">
        <v>5</v>
      </c>
      <c r="G84" s="16"/>
      <c r="H84" s="15" t="s">
        <v>97</v>
      </c>
      <c r="I84" s="12" t="s">
        <v>76</v>
      </c>
      <c r="J84" s="12" t="s">
        <v>77</v>
      </c>
      <c r="K84" s="18">
        <f t="shared" si="0"/>
        <v>46205.833333333336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2.75">
      <c r="A85" s="12">
        <v>84</v>
      </c>
      <c r="B85" s="13">
        <v>46205</v>
      </c>
      <c r="C85" s="14">
        <v>0.66666666666666663</v>
      </c>
      <c r="D85" s="15" t="s">
        <v>98</v>
      </c>
      <c r="E85" s="16"/>
      <c r="F85" s="16" t="s">
        <v>5</v>
      </c>
      <c r="G85" s="16"/>
      <c r="H85" s="15" t="s">
        <v>99</v>
      </c>
      <c r="I85" s="12" t="s">
        <v>76</v>
      </c>
      <c r="J85" s="12" t="s">
        <v>77</v>
      </c>
      <c r="K85" s="18">
        <f t="shared" si="0"/>
        <v>46205.666666666664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2.75">
      <c r="A86" s="12">
        <v>85</v>
      </c>
      <c r="B86" s="13">
        <v>46205</v>
      </c>
      <c r="C86" s="14">
        <v>0</v>
      </c>
      <c r="D86" s="15" t="s">
        <v>100</v>
      </c>
      <c r="E86" s="16"/>
      <c r="F86" s="16" t="s">
        <v>5</v>
      </c>
      <c r="G86" s="16"/>
      <c r="H86" s="15" t="s">
        <v>101</v>
      </c>
      <c r="I86" s="12" t="s">
        <v>76</v>
      </c>
      <c r="J86" s="12" t="s">
        <v>77</v>
      </c>
      <c r="K86" s="18">
        <f t="shared" si="0"/>
        <v>46205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2.75">
      <c r="A87" s="12">
        <v>86</v>
      </c>
      <c r="B87" s="13">
        <v>46206</v>
      </c>
      <c r="C87" s="14">
        <v>0.79166666666666663</v>
      </c>
      <c r="D87" s="15" t="s">
        <v>102</v>
      </c>
      <c r="E87" s="16"/>
      <c r="F87" s="16" t="s">
        <v>5</v>
      </c>
      <c r="G87" s="16"/>
      <c r="H87" s="15" t="s">
        <v>103</v>
      </c>
      <c r="I87" s="12" t="s">
        <v>76</v>
      </c>
      <c r="J87" s="12" t="s">
        <v>77</v>
      </c>
      <c r="K87" s="18">
        <f t="shared" si="0"/>
        <v>46206.791666666664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2.75">
      <c r="A88" s="12">
        <v>87</v>
      </c>
      <c r="B88" s="13">
        <v>46206</v>
      </c>
      <c r="C88" s="14">
        <v>0.9375</v>
      </c>
      <c r="D88" s="15" t="s">
        <v>104</v>
      </c>
      <c r="E88" s="16"/>
      <c r="F88" s="16" t="s">
        <v>5</v>
      </c>
      <c r="G88" s="16"/>
      <c r="H88" s="15" t="s">
        <v>105</v>
      </c>
      <c r="I88" s="12" t="s">
        <v>76</v>
      </c>
      <c r="J88" s="12" t="s">
        <v>77</v>
      </c>
      <c r="K88" s="18">
        <f t="shared" si="0"/>
        <v>46206.9375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2.75">
      <c r="A89" s="12">
        <v>88</v>
      </c>
      <c r="B89" s="13">
        <v>46206</v>
      </c>
      <c r="C89" s="14">
        <v>0.625</v>
      </c>
      <c r="D89" s="15" t="s">
        <v>106</v>
      </c>
      <c r="E89" s="16"/>
      <c r="F89" s="16" t="s">
        <v>5</v>
      </c>
      <c r="G89" s="16"/>
      <c r="H89" s="15" t="s">
        <v>107</v>
      </c>
      <c r="I89" s="12" t="s">
        <v>76</v>
      </c>
      <c r="J89" s="12" t="s">
        <v>77</v>
      </c>
      <c r="K89" s="18">
        <f t="shared" si="0"/>
        <v>46206.625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2.75">
      <c r="A90" s="5">
        <v>89</v>
      </c>
      <c r="B90" s="6">
        <v>46207</v>
      </c>
      <c r="C90" s="7">
        <v>0.75</v>
      </c>
      <c r="D90" s="8" t="s">
        <v>108</v>
      </c>
      <c r="E90" s="9"/>
      <c r="F90" s="9" t="s">
        <v>5</v>
      </c>
      <c r="G90" s="9"/>
      <c r="H90" s="8" t="s">
        <v>109</v>
      </c>
      <c r="I90" s="5" t="s">
        <v>76</v>
      </c>
      <c r="J90" s="5" t="s">
        <v>110</v>
      </c>
      <c r="K90" s="10">
        <f t="shared" si="0"/>
        <v>46207.75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2.75">
      <c r="A91" s="5">
        <v>90</v>
      </c>
      <c r="B91" s="6">
        <v>46207</v>
      </c>
      <c r="C91" s="7">
        <v>0.58333333333333337</v>
      </c>
      <c r="D91" s="8" t="s">
        <v>111</v>
      </c>
      <c r="E91" s="9"/>
      <c r="F91" s="9" t="s">
        <v>5</v>
      </c>
      <c r="G91" s="9"/>
      <c r="H91" s="8" t="s">
        <v>112</v>
      </c>
      <c r="I91" s="5" t="s">
        <v>76</v>
      </c>
      <c r="J91" s="5" t="s">
        <v>110</v>
      </c>
      <c r="K91" s="10">
        <f t="shared" si="0"/>
        <v>46207.583333333336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2.75">
      <c r="A92" s="5">
        <v>91</v>
      </c>
      <c r="B92" s="6">
        <v>46208</v>
      </c>
      <c r="C92" s="7">
        <v>0.70833333333333337</v>
      </c>
      <c r="D92" s="8" t="s">
        <v>113</v>
      </c>
      <c r="E92" s="9"/>
      <c r="F92" s="9" t="s">
        <v>5</v>
      </c>
      <c r="G92" s="9"/>
      <c r="H92" s="8" t="s">
        <v>114</v>
      </c>
      <c r="I92" s="5" t="s">
        <v>76</v>
      </c>
      <c r="J92" s="5" t="s">
        <v>110</v>
      </c>
      <c r="K92" s="10">
        <f t="shared" si="0"/>
        <v>46208.708333333336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2.75">
      <c r="A93" s="5">
        <v>92</v>
      </c>
      <c r="B93" s="6">
        <v>46208</v>
      </c>
      <c r="C93" s="7">
        <v>0.875</v>
      </c>
      <c r="D93" s="8" t="s">
        <v>115</v>
      </c>
      <c r="E93" s="9"/>
      <c r="F93" s="9" t="s">
        <v>5</v>
      </c>
      <c r="G93" s="9"/>
      <c r="H93" s="8" t="s">
        <v>116</v>
      </c>
      <c r="I93" s="5" t="s">
        <v>76</v>
      </c>
      <c r="J93" s="5" t="s">
        <v>110</v>
      </c>
      <c r="K93" s="10">
        <f t="shared" si="0"/>
        <v>46208.875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2.75">
      <c r="A94" s="5">
        <v>93</v>
      </c>
      <c r="B94" s="6">
        <v>46209</v>
      </c>
      <c r="C94" s="7">
        <v>0.66666666666666663</v>
      </c>
      <c r="D94" s="8" t="s">
        <v>117</v>
      </c>
      <c r="E94" s="9"/>
      <c r="F94" s="9" t="s">
        <v>5</v>
      </c>
      <c r="G94" s="9"/>
      <c r="H94" s="8" t="s">
        <v>118</v>
      </c>
      <c r="I94" s="5" t="s">
        <v>76</v>
      </c>
      <c r="J94" s="5" t="s">
        <v>110</v>
      </c>
      <c r="K94" s="10">
        <f t="shared" si="0"/>
        <v>46209.666666666664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2.75">
      <c r="A95" s="5">
        <v>94</v>
      </c>
      <c r="B95" s="6">
        <v>46209</v>
      </c>
      <c r="C95" s="7">
        <v>0.875</v>
      </c>
      <c r="D95" s="8" t="s">
        <v>119</v>
      </c>
      <c r="E95" s="9"/>
      <c r="F95" s="9" t="s">
        <v>5</v>
      </c>
      <c r="G95" s="9"/>
      <c r="H95" s="8" t="s">
        <v>120</v>
      </c>
      <c r="I95" s="5" t="s">
        <v>76</v>
      </c>
      <c r="J95" s="5" t="s">
        <v>110</v>
      </c>
      <c r="K95" s="10">
        <f t="shared" si="0"/>
        <v>46209.875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2.75">
      <c r="A96" s="5">
        <v>95</v>
      </c>
      <c r="B96" s="6">
        <v>46210</v>
      </c>
      <c r="C96" s="7">
        <v>0.54166666666666663</v>
      </c>
      <c r="D96" s="8" t="s">
        <v>121</v>
      </c>
      <c r="E96" s="9"/>
      <c r="F96" s="9" t="s">
        <v>5</v>
      </c>
      <c r="G96" s="9"/>
      <c r="H96" s="8" t="s">
        <v>122</v>
      </c>
      <c r="I96" s="5" t="s">
        <v>76</v>
      </c>
      <c r="J96" s="5" t="s">
        <v>110</v>
      </c>
      <c r="K96" s="10">
        <f t="shared" si="0"/>
        <v>46210.541666666664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2.75">
      <c r="A97" s="5">
        <v>96</v>
      </c>
      <c r="B97" s="6">
        <v>46210</v>
      </c>
      <c r="C97" s="7">
        <v>0.70833333333333337</v>
      </c>
      <c r="D97" s="8" t="s">
        <v>123</v>
      </c>
      <c r="E97" s="9"/>
      <c r="F97" s="9" t="s">
        <v>5</v>
      </c>
      <c r="G97" s="9"/>
      <c r="H97" s="8" t="s">
        <v>124</v>
      </c>
      <c r="I97" s="5" t="s">
        <v>76</v>
      </c>
      <c r="J97" s="5" t="s">
        <v>110</v>
      </c>
      <c r="K97" s="10">
        <f t="shared" si="0"/>
        <v>46210.708333333336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2.75">
      <c r="A98" s="12">
        <v>97</v>
      </c>
      <c r="B98" s="13">
        <v>46212</v>
      </c>
      <c r="C98" s="14">
        <v>0.70833333333333337</v>
      </c>
      <c r="D98" s="15" t="s">
        <v>125</v>
      </c>
      <c r="E98" s="16"/>
      <c r="F98" s="16" t="s">
        <v>5</v>
      </c>
      <c r="G98" s="16"/>
      <c r="H98" s="15" t="s">
        <v>126</v>
      </c>
      <c r="I98" s="12" t="s">
        <v>76</v>
      </c>
      <c r="J98" s="12" t="s">
        <v>127</v>
      </c>
      <c r="K98" s="18">
        <f t="shared" si="0"/>
        <v>46212.708333333336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2.75">
      <c r="A99" s="12">
        <v>98</v>
      </c>
      <c r="B99" s="13">
        <v>46213</v>
      </c>
      <c r="C99" s="14">
        <v>0.66666666666666663</v>
      </c>
      <c r="D99" s="15" t="s">
        <v>128</v>
      </c>
      <c r="E99" s="16"/>
      <c r="F99" s="16" t="s">
        <v>5</v>
      </c>
      <c r="G99" s="16"/>
      <c r="H99" s="15" t="s">
        <v>129</v>
      </c>
      <c r="I99" s="12" t="s">
        <v>76</v>
      </c>
      <c r="J99" s="12" t="s">
        <v>127</v>
      </c>
      <c r="K99" s="18">
        <f t="shared" si="0"/>
        <v>46213.666666666664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2.75">
      <c r="A100" s="12">
        <v>99</v>
      </c>
      <c r="B100" s="13">
        <v>46215</v>
      </c>
      <c r="C100" s="14">
        <v>0.75</v>
      </c>
      <c r="D100" s="15" t="s">
        <v>130</v>
      </c>
      <c r="E100" s="16"/>
      <c r="F100" s="16" t="s">
        <v>5</v>
      </c>
      <c r="G100" s="16"/>
      <c r="H100" s="15" t="s">
        <v>131</v>
      </c>
      <c r="I100" s="12" t="s">
        <v>76</v>
      </c>
      <c r="J100" s="12" t="s">
        <v>127</v>
      </c>
      <c r="K100" s="18">
        <f t="shared" si="0"/>
        <v>46215.75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2.75">
      <c r="A101" s="12">
        <v>100</v>
      </c>
      <c r="B101" s="13">
        <v>46215</v>
      </c>
      <c r="C101" s="14">
        <v>0.91666666666666663</v>
      </c>
      <c r="D101" s="15" t="s">
        <v>132</v>
      </c>
      <c r="E101" s="16"/>
      <c r="F101" s="16" t="s">
        <v>5</v>
      </c>
      <c r="G101" s="16"/>
      <c r="H101" s="15" t="s">
        <v>133</v>
      </c>
      <c r="I101" s="12" t="s">
        <v>76</v>
      </c>
      <c r="J101" s="12" t="s">
        <v>127</v>
      </c>
      <c r="K101" s="18">
        <f t="shared" si="0"/>
        <v>46215.916666666664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2.75">
      <c r="A102" s="5">
        <v>101</v>
      </c>
      <c r="B102" s="6">
        <v>46217</v>
      </c>
      <c r="C102" s="7">
        <v>0.66666666666666663</v>
      </c>
      <c r="D102" s="8" t="s">
        <v>134</v>
      </c>
      <c r="E102" s="9"/>
      <c r="F102" s="9" t="s">
        <v>5</v>
      </c>
      <c r="G102" s="9"/>
      <c r="H102" s="8" t="s">
        <v>135</v>
      </c>
      <c r="I102" s="5" t="s">
        <v>76</v>
      </c>
      <c r="J102" s="5" t="s">
        <v>136</v>
      </c>
      <c r="K102" s="10">
        <f t="shared" si="0"/>
        <v>46217.666666666664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2.75">
      <c r="A103" s="5">
        <v>102</v>
      </c>
      <c r="B103" s="6">
        <v>46218</v>
      </c>
      <c r="C103" s="7">
        <v>0.66666666666666663</v>
      </c>
      <c r="D103" s="8" t="s">
        <v>137</v>
      </c>
      <c r="E103" s="9"/>
      <c r="F103" s="9" t="s">
        <v>5</v>
      </c>
      <c r="G103" s="9"/>
      <c r="H103" s="8" t="s">
        <v>138</v>
      </c>
      <c r="I103" s="5" t="s">
        <v>76</v>
      </c>
      <c r="J103" s="5" t="s">
        <v>136</v>
      </c>
      <c r="K103" s="10">
        <f t="shared" si="0"/>
        <v>46218.666666666664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2.75">
      <c r="A104" s="12">
        <v>103</v>
      </c>
      <c r="B104" s="13">
        <v>46221</v>
      </c>
      <c r="C104" s="14">
        <v>0.75</v>
      </c>
      <c r="D104" s="15" t="s">
        <v>139</v>
      </c>
      <c r="E104" s="16"/>
      <c r="F104" s="16" t="s">
        <v>5</v>
      </c>
      <c r="G104" s="16"/>
      <c r="H104" s="15" t="s">
        <v>140</v>
      </c>
      <c r="I104" s="12" t="s">
        <v>76</v>
      </c>
      <c r="J104" s="12" t="s">
        <v>141</v>
      </c>
      <c r="K104" s="18">
        <f t="shared" si="0"/>
        <v>46221.75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2.75">
      <c r="A105" s="5">
        <v>104</v>
      </c>
      <c r="B105" s="6">
        <v>46222</v>
      </c>
      <c r="C105" s="7">
        <v>0.66666666666666663</v>
      </c>
      <c r="D105" s="8" t="s">
        <v>142</v>
      </c>
      <c r="E105" s="9"/>
      <c r="F105" s="9" t="s">
        <v>5</v>
      </c>
      <c r="G105" s="9"/>
      <c r="H105" s="8" t="s">
        <v>143</v>
      </c>
      <c r="I105" s="5" t="s">
        <v>76</v>
      </c>
      <c r="J105" s="5" t="s">
        <v>144</v>
      </c>
      <c r="K105" s="10">
        <f t="shared" si="0"/>
        <v>46222.666666666664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2.75">
      <c r="A106" s="19"/>
      <c r="B106" s="19"/>
      <c r="C106" s="16"/>
      <c r="D106" s="16"/>
      <c r="E106" s="16"/>
      <c r="F106" s="16"/>
      <c r="G106" s="16"/>
      <c r="H106" s="16"/>
      <c r="I106" s="16"/>
      <c r="J106" s="16"/>
      <c r="K106" s="1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2.75">
      <c r="A107" s="19"/>
      <c r="B107" s="19"/>
      <c r="C107" s="16"/>
      <c r="D107" s="16"/>
      <c r="E107" s="16"/>
      <c r="F107" s="16"/>
      <c r="G107" s="16"/>
      <c r="H107" s="16"/>
      <c r="I107" s="16"/>
      <c r="J107" s="16"/>
      <c r="K107" s="1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2.75">
      <c r="A108" s="19"/>
      <c r="B108" s="19"/>
      <c r="C108" s="16"/>
      <c r="D108" s="16"/>
      <c r="E108" s="16"/>
      <c r="F108" s="16"/>
      <c r="G108" s="16"/>
      <c r="H108" s="16"/>
      <c r="I108" s="16"/>
      <c r="J108" s="16"/>
      <c r="K108" s="1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2.75">
      <c r="A109" s="19"/>
      <c r="B109" s="19"/>
      <c r="C109" s="16"/>
      <c r="D109" s="16"/>
      <c r="E109" s="16"/>
      <c r="F109" s="16"/>
      <c r="G109" s="16"/>
      <c r="H109" s="16"/>
      <c r="I109" s="16"/>
      <c r="J109" s="16"/>
      <c r="K109" s="16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2.75">
      <c r="A110" s="19"/>
      <c r="B110" s="19"/>
      <c r="C110" s="16"/>
      <c r="D110" s="16"/>
      <c r="E110" s="16"/>
      <c r="F110" s="16"/>
      <c r="G110" s="16"/>
      <c r="H110" s="16"/>
      <c r="I110" s="16"/>
      <c r="J110" s="16"/>
      <c r="K110" s="16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2.75">
      <c r="A111" s="19"/>
      <c r="B111" s="19"/>
      <c r="C111" s="16"/>
      <c r="D111" s="16"/>
      <c r="E111" s="16"/>
      <c r="F111" s="16"/>
      <c r="G111" s="16"/>
      <c r="H111" s="16"/>
      <c r="I111" s="16"/>
      <c r="J111" s="16"/>
      <c r="K111" s="16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2.75">
      <c r="A112" s="19"/>
      <c r="B112" s="19"/>
      <c r="C112" s="16"/>
      <c r="D112" s="16"/>
      <c r="E112" s="16"/>
      <c r="F112" s="16"/>
      <c r="G112" s="16"/>
      <c r="H112" s="16"/>
      <c r="I112" s="16"/>
      <c r="J112" s="16"/>
      <c r="K112" s="16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2.75">
      <c r="A113" s="19"/>
      <c r="B113" s="19"/>
      <c r="C113" s="16"/>
      <c r="D113" s="16"/>
      <c r="E113" s="16"/>
      <c r="F113" s="16"/>
      <c r="G113" s="16"/>
      <c r="H113" s="16"/>
      <c r="I113" s="16"/>
      <c r="J113" s="16"/>
      <c r="K113" s="16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2.75">
      <c r="A114" s="19"/>
      <c r="B114" s="19"/>
      <c r="C114" s="16"/>
      <c r="D114" s="16"/>
      <c r="E114" s="16"/>
      <c r="F114" s="16"/>
      <c r="G114" s="16"/>
      <c r="H114" s="16"/>
      <c r="I114" s="16"/>
      <c r="J114" s="16"/>
      <c r="K114" s="16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2.75">
      <c r="A115" s="19"/>
      <c r="B115" s="19"/>
      <c r="C115" s="16"/>
      <c r="D115" s="16"/>
      <c r="E115" s="16"/>
      <c r="F115" s="16"/>
      <c r="G115" s="16"/>
      <c r="H115" s="16"/>
      <c r="I115" s="16"/>
      <c r="J115" s="16"/>
      <c r="K115" s="16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2.75">
      <c r="A116" s="19"/>
      <c r="B116" s="19"/>
      <c r="C116" s="16"/>
      <c r="D116" s="16"/>
      <c r="E116" s="16"/>
      <c r="F116" s="16"/>
      <c r="G116" s="16"/>
      <c r="H116" s="16"/>
      <c r="I116" s="16"/>
      <c r="J116" s="16"/>
      <c r="K116" s="16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2.75">
      <c r="A117" s="19"/>
      <c r="B117" s="19"/>
      <c r="C117" s="16"/>
      <c r="D117" s="16"/>
      <c r="E117" s="16"/>
      <c r="F117" s="16"/>
      <c r="G117" s="16"/>
      <c r="H117" s="16"/>
      <c r="I117" s="16"/>
      <c r="J117" s="16"/>
      <c r="K117" s="16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2.75">
      <c r="A118" s="19"/>
      <c r="B118" s="19"/>
      <c r="C118" s="16"/>
      <c r="D118" s="16"/>
      <c r="E118" s="16"/>
      <c r="F118" s="16"/>
      <c r="G118" s="16"/>
      <c r="H118" s="16"/>
      <c r="I118" s="16"/>
      <c r="J118" s="16"/>
      <c r="K118" s="16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2.75">
      <c r="A119" s="19"/>
      <c r="B119" s="19"/>
      <c r="C119" s="16"/>
      <c r="D119" s="16"/>
      <c r="E119" s="16"/>
      <c r="F119" s="16"/>
      <c r="G119" s="16"/>
      <c r="H119" s="16"/>
      <c r="I119" s="16"/>
      <c r="J119" s="16"/>
      <c r="K119" s="16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2.75">
      <c r="A120" s="19"/>
      <c r="B120" s="19"/>
      <c r="C120" s="16"/>
      <c r="D120" s="16"/>
      <c r="E120" s="16"/>
      <c r="F120" s="16"/>
      <c r="G120" s="16"/>
      <c r="H120" s="16"/>
      <c r="I120" s="16"/>
      <c r="J120" s="16"/>
      <c r="K120" s="16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2.75">
      <c r="A121" s="19"/>
      <c r="B121" s="19"/>
      <c r="C121" s="16"/>
      <c r="D121" s="16"/>
      <c r="E121" s="16"/>
      <c r="F121" s="16"/>
      <c r="G121" s="16"/>
      <c r="H121" s="16"/>
      <c r="I121" s="16"/>
      <c r="J121" s="16"/>
      <c r="K121" s="1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2.75">
      <c r="A122" s="19"/>
      <c r="B122" s="19"/>
      <c r="C122" s="16"/>
      <c r="D122" s="16"/>
      <c r="E122" s="16"/>
      <c r="F122" s="16"/>
      <c r="G122" s="16"/>
      <c r="H122" s="16"/>
      <c r="I122" s="16"/>
      <c r="J122" s="16"/>
      <c r="K122" s="16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2.75">
      <c r="A123" s="19"/>
      <c r="B123" s="19"/>
      <c r="C123" s="16"/>
      <c r="D123" s="16"/>
      <c r="E123" s="16"/>
      <c r="F123" s="16"/>
      <c r="G123" s="16"/>
      <c r="H123" s="16"/>
      <c r="I123" s="16"/>
      <c r="J123" s="16"/>
      <c r="K123" s="16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2.75">
      <c r="A124" s="19"/>
      <c r="B124" s="19"/>
      <c r="C124" s="16"/>
      <c r="D124" s="16"/>
      <c r="E124" s="16"/>
      <c r="F124" s="16"/>
      <c r="G124" s="16"/>
      <c r="H124" s="16"/>
      <c r="I124" s="16"/>
      <c r="J124" s="16"/>
      <c r="K124" s="16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2.75">
      <c r="A125" s="19"/>
      <c r="B125" s="19"/>
      <c r="C125" s="16"/>
      <c r="D125" s="16"/>
      <c r="E125" s="16"/>
      <c r="F125" s="16"/>
      <c r="G125" s="16"/>
      <c r="H125" s="16"/>
      <c r="I125" s="16"/>
      <c r="J125" s="16"/>
      <c r="K125" s="16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2.75">
      <c r="A126" s="19"/>
      <c r="B126" s="19"/>
      <c r="C126" s="16"/>
      <c r="D126" s="16"/>
      <c r="E126" s="16"/>
      <c r="F126" s="16"/>
      <c r="G126" s="16"/>
      <c r="H126" s="16"/>
      <c r="I126" s="16"/>
      <c r="J126" s="16"/>
      <c r="K126" s="16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2.75">
      <c r="A127" s="19"/>
      <c r="B127" s="19"/>
      <c r="C127" s="16"/>
      <c r="D127" s="16"/>
      <c r="E127" s="16"/>
      <c r="F127" s="16"/>
      <c r="G127" s="16"/>
      <c r="H127" s="16"/>
      <c r="I127" s="16"/>
      <c r="J127" s="16"/>
      <c r="K127" s="16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2.75">
      <c r="A128" s="19"/>
      <c r="B128" s="19"/>
      <c r="C128" s="16"/>
      <c r="D128" s="16"/>
      <c r="E128" s="16"/>
      <c r="F128" s="16"/>
      <c r="G128" s="16"/>
      <c r="H128" s="16"/>
      <c r="I128" s="16"/>
      <c r="J128" s="16"/>
      <c r="K128" s="16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2.75">
      <c r="A129" s="19"/>
      <c r="B129" s="19"/>
      <c r="C129" s="16"/>
      <c r="D129" s="16"/>
      <c r="E129" s="16"/>
      <c r="F129" s="16"/>
      <c r="G129" s="16"/>
      <c r="H129" s="16"/>
      <c r="I129" s="16"/>
      <c r="J129" s="16"/>
      <c r="K129" s="16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2.75">
      <c r="A130" s="19"/>
      <c r="B130" s="19"/>
      <c r="C130" s="16"/>
      <c r="D130" s="16"/>
      <c r="E130" s="16"/>
      <c r="F130" s="16"/>
      <c r="G130" s="16"/>
      <c r="H130" s="16"/>
      <c r="I130" s="16"/>
      <c r="J130" s="16"/>
      <c r="K130" s="16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2.75">
      <c r="A131" s="19"/>
      <c r="B131" s="19"/>
      <c r="C131" s="16"/>
      <c r="D131" s="16"/>
      <c r="E131" s="16"/>
      <c r="F131" s="16"/>
      <c r="G131" s="16"/>
      <c r="H131" s="16"/>
      <c r="I131" s="16"/>
      <c r="J131" s="16"/>
      <c r="K131" s="16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2.75">
      <c r="A132" s="19"/>
      <c r="B132" s="19"/>
      <c r="C132" s="16"/>
      <c r="D132" s="16"/>
      <c r="E132" s="16"/>
      <c r="F132" s="16"/>
      <c r="G132" s="16"/>
      <c r="H132" s="16"/>
      <c r="I132" s="16"/>
      <c r="J132" s="16"/>
      <c r="K132" s="16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2.75">
      <c r="A133" s="19"/>
      <c r="B133" s="19"/>
      <c r="C133" s="16"/>
      <c r="D133" s="16"/>
      <c r="E133" s="16"/>
      <c r="F133" s="16"/>
      <c r="G133" s="16"/>
      <c r="H133" s="16"/>
      <c r="I133" s="16"/>
      <c r="J133" s="16"/>
      <c r="K133" s="16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2.75">
      <c r="A134" s="19"/>
      <c r="B134" s="19"/>
      <c r="C134" s="16"/>
      <c r="D134" s="16"/>
      <c r="E134" s="16"/>
      <c r="F134" s="16"/>
      <c r="G134" s="16"/>
      <c r="H134" s="16"/>
      <c r="I134" s="16"/>
      <c r="J134" s="16"/>
      <c r="K134" s="16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2.75">
      <c r="A135" s="19"/>
      <c r="B135" s="19"/>
      <c r="C135" s="16"/>
      <c r="D135" s="16"/>
      <c r="E135" s="16"/>
      <c r="F135" s="16"/>
      <c r="G135" s="16"/>
      <c r="H135" s="16"/>
      <c r="I135" s="16"/>
      <c r="J135" s="16"/>
      <c r="K135" s="16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2.75">
      <c r="A136" s="19"/>
      <c r="B136" s="19"/>
      <c r="C136" s="16"/>
      <c r="D136" s="16"/>
      <c r="E136" s="16"/>
      <c r="F136" s="16"/>
      <c r="G136" s="16"/>
      <c r="H136" s="16"/>
      <c r="I136" s="16"/>
      <c r="J136" s="16"/>
      <c r="K136" s="16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2.75">
      <c r="A137" s="19"/>
      <c r="B137" s="19"/>
      <c r="C137" s="16"/>
      <c r="D137" s="16"/>
      <c r="E137" s="16"/>
      <c r="F137" s="16"/>
      <c r="G137" s="16"/>
      <c r="H137" s="16"/>
      <c r="I137" s="16"/>
      <c r="J137" s="16"/>
      <c r="K137" s="16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2.75">
      <c r="A138" s="19"/>
      <c r="B138" s="19"/>
      <c r="C138" s="16"/>
      <c r="D138" s="16"/>
      <c r="E138" s="16"/>
      <c r="F138" s="16"/>
      <c r="G138" s="16"/>
      <c r="H138" s="16"/>
      <c r="I138" s="16"/>
      <c r="J138" s="16"/>
      <c r="K138" s="16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2.75">
      <c r="A139" s="19"/>
      <c r="B139" s="19"/>
      <c r="C139" s="16"/>
      <c r="D139" s="16"/>
      <c r="E139" s="16"/>
      <c r="F139" s="16"/>
      <c r="G139" s="16"/>
      <c r="H139" s="16"/>
      <c r="I139" s="16"/>
      <c r="J139" s="16"/>
      <c r="K139" s="16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2.75">
      <c r="A140" s="19"/>
      <c r="B140" s="19"/>
      <c r="C140" s="16"/>
      <c r="D140" s="16"/>
      <c r="E140" s="16"/>
      <c r="F140" s="16"/>
      <c r="G140" s="16"/>
      <c r="H140" s="16"/>
      <c r="I140" s="16"/>
      <c r="J140" s="16"/>
      <c r="K140" s="16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2.75">
      <c r="A141" s="19"/>
      <c r="B141" s="19"/>
      <c r="C141" s="16"/>
      <c r="D141" s="16"/>
      <c r="E141" s="16"/>
      <c r="F141" s="16"/>
      <c r="G141" s="16"/>
      <c r="H141" s="16"/>
      <c r="I141" s="16"/>
      <c r="J141" s="16"/>
      <c r="K141" s="16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2.75">
      <c r="A142" s="19"/>
      <c r="B142" s="19"/>
      <c r="C142" s="16"/>
      <c r="D142" s="16"/>
      <c r="E142" s="16"/>
      <c r="F142" s="16"/>
      <c r="G142" s="16"/>
      <c r="H142" s="16"/>
      <c r="I142" s="16"/>
      <c r="J142" s="16"/>
      <c r="K142" s="16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2.75">
      <c r="A143" s="19"/>
      <c r="B143" s="19"/>
      <c r="C143" s="16"/>
      <c r="D143" s="16"/>
      <c r="E143" s="16"/>
      <c r="F143" s="16"/>
      <c r="G143" s="16"/>
      <c r="H143" s="16"/>
      <c r="I143" s="16"/>
      <c r="J143" s="16"/>
      <c r="K143" s="16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2.75">
      <c r="A144" s="19"/>
      <c r="B144" s="19"/>
      <c r="C144" s="16"/>
      <c r="D144" s="16"/>
      <c r="E144" s="16"/>
      <c r="F144" s="16"/>
      <c r="G144" s="16"/>
      <c r="H144" s="16"/>
      <c r="I144" s="16"/>
      <c r="J144" s="16"/>
      <c r="K144" s="16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2.75">
      <c r="A145" s="19"/>
      <c r="B145" s="19"/>
      <c r="C145" s="16"/>
      <c r="D145" s="16"/>
      <c r="E145" s="16"/>
      <c r="F145" s="16"/>
      <c r="G145" s="16"/>
      <c r="H145" s="16"/>
      <c r="I145" s="16"/>
      <c r="J145" s="16"/>
      <c r="K145" s="16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2.75">
      <c r="A146" s="19"/>
      <c r="B146" s="19"/>
      <c r="C146" s="16"/>
      <c r="D146" s="16"/>
      <c r="E146" s="16"/>
      <c r="F146" s="16"/>
      <c r="G146" s="16"/>
      <c r="H146" s="16"/>
      <c r="I146" s="16"/>
      <c r="J146" s="16"/>
      <c r="K146" s="16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2.75">
      <c r="A147" s="19"/>
      <c r="B147" s="19"/>
      <c r="C147" s="16"/>
      <c r="D147" s="16"/>
      <c r="E147" s="16"/>
      <c r="F147" s="16"/>
      <c r="G147" s="16"/>
      <c r="H147" s="16"/>
      <c r="I147" s="16"/>
      <c r="J147" s="16"/>
      <c r="K147" s="16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2.75">
      <c r="A148" s="19"/>
      <c r="B148" s="19"/>
      <c r="C148" s="16"/>
      <c r="D148" s="16"/>
      <c r="E148" s="16"/>
      <c r="F148" s="16"/>
      <c r="G148" s="16"/>
      <c r="H148" s="16"/>
      <c r="I148" s="16"/>
      <c r="J148" s="16"/>
      <c r="K148" s="16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12.75">
      <c r="A149" s="19"/>
      <c r="B149" s="19"/>
      <c r="C149" s="16"/>
      <c r="D149" s="16"/>
      <c r="E149" s="16"/>
      <c r="F149" s="16"/>
      <c r="G149" s="16"/>
      <c r="H149" s="16"/>
      <c r="I149" s="16"/>
      <c r="J149" s="16"/>
      <c r="K149" s="16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2.75">
      <c r="A150" s="19"/>
      <c r="B150" s="19"/>
      <c r="C150" s="16"/>
      <c r="D150" s="16"/>
      <c r="E150" s="16"/>
      <c r="F150" s="16"/>
      <c r="G150" s="16"/>
      <c r="H150" s="16"/>
      <c r="I150" s="16"/>
      <c r="J150" s="16"/>
      <c r="K150" s="16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2.75">
      <c r="A151" s="19"/>
      <c r="B151" s="19"/>
      <c r="C151" s="16"/>
      <c r="D151" s="16"/>
      <c r="E151" s="16"/>
      <c r="F151" s="16"/>
      <c r="G151" s="16"/>
      <c r="H151" s="16"/>
      <c r="I151" s="16"/>
      <c r="J151" s="16"/>
      <c r="K151" s="16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2.75">
      <c r="A152" s="19"/>
      <c r="B152" s="19"/>
      <c r="C152" s="16"/>
      <c r="D152" s="16"/>
      <c r="E152" s="16"/>
      <c r="F152" s="16"/>
      <c r="G152" s="16"/>
      <c r="H152" s="16"/>
      <c r="I152" s="16"/>
      <c r="J152" s="16"/>
      <c r="K152" s="16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2.75">
      <c r="A153" s="19"/>
      <c r="B153" s="19"/>
      <c r="C153" s="16"/>
      <c r="D153" s="16"/>
      <c r="E153" s="16"/>
      <c r="F153" s="16"/>
      <c r="G153" s="16"/>
      <c r="H153" s="16"/>
      <c r="I153" s="16"/>
      <c r="J153" s="16"/>
      <c r="K153" s="16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2.75">
      <c r="A154" s="19"/>
      <c r="B154" s="19"/>
      <c r="C154" s="16"/>
      <c r="D154" s="16"/>
      <c r="E154" s="16"/>
      <c r="F154" s="16"/>
      <c r="G154" s="16"/>
      <c r="H154" s="16"/>
      <c r="I154" s="16"/>
      <c r="J154" s="16"/>
      <c r="K154" s="16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2.75">
      <c r="A155" s="19"/>
      <c r="B155" s="19"/>
      <c r="C155" s="16"/>
      <c r="D155" s="16"/>
      <c r="E155" s="16"/>
      <c r="F155" s="16"/>
      <c r="G155" s="16"/>
      <c r="H155" s="16"/>
      <c r="I155" s="16"/>
      <c r="J155" s="16"/>
      <c r="K155" s="16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2.75">
      <c r="A156" s="19"/>
      <c r="B156" s="19"/>
      <c r="C156" s="16"/>
      <c r="D156" s="16"/>
      <c r="E156" s="16"/>
      <c r="F156" s="16"/>
      <c r="G156" s="16"/>
      <c r="H156" s="16"/>
      <c r="I156" s="16"/>
      <c r="J156" s="16"/>
      <c r="K156" s="16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2.75">
      <c r="A157" s="19"/>
      <c r="B157" s="19"/>
      <c r="C157" s="16"/>
      <c r="D157" s="16"/>
      <c r="E157" s="16"/>
      <c r="F157" s="16"/>
      <c r="G157" s="16"/>
      <c r="H157" s="16"/>
      <c r="I157" s="16"/>
      <c r="J157" s="16"/>
      <c r="K157" s="16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2.75">
      <c r="A158" s="19"/>
      <c r="B158" s="19"/>
      <c r="C158" s="16"/>
      <c r="D158" s="16"/>
      <c r="E158" s="16"/>
      <c r="F158" s="16"/>
      <c r="G158" s="16"/>
      <c r="H158" s="16"/>
      <c r="I158" s="16"/>
      <c r="J158" s="16"/>
      <c r="K158" s="16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2.75">
      <c r="A159" s="19"/>
      <c r="B159" s="19"/>
      <c r="C159" s="16"/>
      <c r="D159" s="16"/>
      <c r="E159" s="16"/>
      <c r="F159" s="16"/>
      <c r="G159" s="16"/>
      <c r="H159" s="16"/>
      <c r="I159" s="16"/>
      <c r="J159" s="16"/>
      <c r="K159" s="16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2.75">
      <c r="A160" s="19"/>
      <c r="B160" s="19"/>
      <c r="C160" s="16"/>
      <c r="D160" s="16"/>
      <c r="E160" s="16"/>
      <c r="F160" s="16"/>
      <c r="G160" s="16"/>
      <c r="H160" s="16"/>
      <c r="I160" s="16"/>
      <c r="J160" s="16"/>
      <c r="K160" s="16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2.75">
      <c r="A161" s="19"/>
      <c r="B161" s="19"/>
      <c r="C161" s="16"/>
      <c r="D161" s="16"/>
      <c r="E161" s="16"/>
      <c r="F161" s="16"/>
      <c r="G161" s="16"/>
      <c r="H161" s="16"/>
      <c r="I161" s="16"/>
      <c r="J161" s="16"/>
      <c r="K161" s="16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2.75">
      <c r="A162" s="19"/>
      <c r="B162" s="19"/>
      <c r="C162" s="16"/>
      <c r="D162" s="16"/>
      <c r="E162" s="16"/>
      <c r="F162" s="16"/>
      <c r="G162" s="16"/>
      <c r="H162" s="16"/>
      <c r="I162" s="16"/>
      <c r="J162" s="16"/>
      <c r="K162" s="16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2.75">
      <c r="A163" s="19"/>
      <c r="B163" s="19"/>
      <c r="C163" s="16"/>
      <c r="D163" s="16"/>
      <c r="E163" s="16"/>
      <c r="F163" s="16"/>
      <c r="G163" s="16"/>
      <c r="H163" s="16"/>
      <c r="I163" s="16"/>
      <c r="J163" s="16"/>
      <c r="K163" s="16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2.75">
      <c r="A164" s="19"/>
      <c r="B164" s="19"/>
      <c r="C164" s="16"/>
      <c r="D164" s="16"/>
      <c r="E164" s="16"/>
      <c r="F164" s="16"/>
      <c r="G164" s="16"/>
      <c r="H164" s="16"/>
      <c r="I164" s="16"/>
      <c r="J164" s="16"/>
      <c r="K164" s="16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2.75">
      <c r="A165" s="19"/>
      <c r="B165" s="19"/>
      <c r="C165" s="16"/>
      <c r="D165" s="16"/>
      <c r="E165" s="16"/>
      <c r="F165" s="16"/>
      <c r="G165" s="16"/>
      <c r="H165" s="16"/>
      <c r="I165" s="16"/>
      <c r="J165" s="16"/>
      <c r="K165" s="16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2.75">
      <c r="A166" s="19"/>
      <c r="B166" s="19"/>
      <c r="C166" s="16"/>
      <c r="D166" s="16"/>
      <c r="E166" s="16"/>
      <c r="F166" s="16"/>
      <c r="G166" s="16"/>
      <c r="H166" s="16"/>
      <c r="I166" s="16"/>
      <c r="J166" s="16"/>
      <c r="K166" s="16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2.75">
      <c r="A167" s="19"/>
      <c r="B167" s="19"/>
      <c r="C167" s="16"/>
      <c r="D167" s="16"/>
      <c r="E167" s="16"/>
      <c r="F167" s="16"/>
      <c r="G167" s="16"/>
      <c r="H167" s="16"/>
      <c r="I167" s="16"/>
      <c r="J167" s="16"/>
      <c r="K167" s="16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2.75">
      <c r="A168" s="19"/>
      <c r="B168" s="19"/>
      <c r="C168" s="16"/>
      <c r="D168" s="16"/>
      <c r="E168" s="16"/>
      <c r="F168" s="16"/>
      <c r="G168" s="16"/>
      <c r="H168" s="16"/>
      <c r="I168" s="16"/>
      <c r="J168" s="16"/>
      <c r="K168" s="16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2.75">
      <c r="A169" s="19"/>
      <c r="B169" s="19"/>
      <c r="C169" s="16"/>
      <c r="D169" s="16"/>
      <c r="E169" s="16"/>
      <c r="F169" s="16"/>
      <c r="G169" s="16"/>
      <c r="H169" s="16"/>
      <c r="I169" s="16"/>
      <c r="J169" s="16"/>
      <c r="K169" s="16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2.75">
      <c r="A170" s="19"/>
      <c r="B170" s="19"/>
      <c r="C170" s="16"/>
      <c r="D170" s="16"/>
      <c r="E170" s="16"/>
      <c r="F170" s="16"/>
      <c r="G170" s="16"/>
      <c r="H170" s="16"/>
      <c r="I170" s="16"/>
      <c r="J170" s="16"/>
      <c r="K170" s="16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2.75">
      <c r="A171" s="19"/>
      <c r="B171" s="19"/>
      <c r="C171" s="16"/>
      <c r="D171" s="16"/>
      <c r="E171" s="16"/>
      <c r="F171" s="16"/>
      <c r="G171" s="16"/>
      <c r="H171" s="16"/>
      <c r="I171" s="16"/>
      <c r="J171" s="16"/>
      <c r="K171" s="16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2.75">
      <c r="A172" s="19"/>
      <c r="B172" s="19"/>
      <c r="C172" s="16"/>
      <c r="D172" s="16"/>
      <c r="E172" s="16"/>
      <c r="F172" s="16"/>
      <c r="G172" s="16"/>
      <c r="H172" s="16"/>
      <c r="I172" s="16"/>
      <c r="J172" s="16"/>
      <c r="K172" s="16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2.75">
      <c r="A173" s="19"/>
      <c r="B173" s="19"/>
      <c r="C173" s="16"/>
      <c r="D173" s="16"/>
      <c r="E173" s="16"/>
      <c r="F173" s="16"/>
      <c r="G173" s="16"/>
      <c r="H173" s="16"/>
      <c r="I173" s="16"/>
      <c r="J173" s="16"/>
      <c r="K173" s="16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2.75">
      <c r="A174" s="19"/>
      <c r="B174" s="19"/>
      <c r="C174" s="16"/>
      <c r="D174" s="16"/>
      <c r="E174" s="16"/>
      <c r="F174" s="16"/>
      <c r="G174" s="16"/>
      <c r="H174" s="16"/>
      <c r="I174" s="16"/>
      <c r="J174" s="16"/>
      <c r="K174" s="16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2.75">
      <c r="A175" s="19"/>
      <c r="B175" s="19"/>
      <c r="C175" s="16"/>
      <c r="D175" s="16"/>
      <c r="E175" s="16"/>
      <c r="F175" s="16"/>
      <c r="G175" s="16"/>
      <c r="H175" s="16"/>
      <c r="I175" s="16"/>
      <c r="J175" s="16"/>
      <c r="K175" s="16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2.75">
      <c r="A176" s="19"/>
      <c r="B176" s="19"/>
      <c r="C176" s="16"/>
      <c r="D176" s="16"/>
      <c r="E176" s="16"/>
      <c r="F176" s="16"/>
      <c r="G176" s="16"/>
      <c r="H176" s="16"/>
      <c r="I176" s="16"/>
      <c r="J176" s="16"/>
      <c r="K176" s="16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2.75">
      <c r="A177" s="19"/>
      <c r="B177" s="19"/>
      <c r="C177" s="16"/>
      <c r="D177" s="16"/>
      <c r="E177" s="16"/>
      <c r="F177" s="16"/>
      <c r="G177" s="16"/>
      <c r="H177" s="16"/>
      <c r="I177" s="16"/>
      <c r="J177" s="16"/>
      <c r="K177" s="16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2.75">
      <c r="A178" s="19"/>
      <c r="B178" s="19"/>
      <c r="C178" s="16"/>
      <c r="D178" s="16"/>
      <c r="E178" s="16"/>
      <c r="F178" s="16"/>
      <c r="G178" s="16"/>
      <c r="H178" s="16"/>
      <c r="I178" s="16"/>
      <c r="J178" s="16"/>
      <c r="K178" s="16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2.75">
      <c r="A179" s="19"/>
      <c r="B179" s="19"/>
      <c r="C179" s="16"/>
      <c r="D179" s="16"/>
      <c r="E179" s="16"/>
      <c r="F179" s="16"/>
      <c r="G179" s="16"/>
      <c r="H179" s="16"/>
      <c r="I179" s="16"/>
      <c r="J179" s="16"/>
      <c r="K179" s="16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2.75">
      <c r="A180" s="19"/>
      <c r="B180" s="19"/>
      <c r="C180" s="16"/>
      <c r="D180" s="16"/>
      <c r="E180" s="16"/>
      <c r="F180" s="16"/>
      <c r="G180" s="16"/>
      <c r="H180" s="16"/>
      <c r="I180" s="16"/>
      <c r="J180" s="16"/>
      <c r="K180" s="16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2.75">
      <c r="A181" s="19"/>
      <c r="B181" s="19"/>
      <c r="C181" s="16"/>
      <c r="D181" s="16"/>
      <c r="E181" s="16"/>
      <c r="F181" s="16"/>
      <c r="G181" s="16"/>
      <c r="H181" s="16"/>
      <c r="I181" s="16"/>
      <c r="J181" s="16"/>
      <c r="K181" s="16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2.75">
      <c r="A182" s="19"/>
      <c r="B182" s="19"/>
      <c r="C182" s="16"/>
      <c r="D182" s="16"/>
      <c r="E182" s="16"/>
      <c r="F182" s="16"/>
      <c r="G182" s="16"/>
      <c r="H182" s="16"/>
      <c r="I182" s="16"/>
      <c r="J182" s="16"/>
      <c r="K182" s="16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2.75">
      <c r="A183" s="19"/>
      <c r="B183" s="19"/>
      <c r="C183" s="16"/>
      <c r="D183" s="16"/>
      <c r="E183" s="16"/>
      <c r="F183" s="16"/>
      <c r="G183" s="16"/>
      <c r="H183" s="16"/>
      <c r="I183" s="16"/>
      <c r="J183" s="16"/>
      <c r="K183" s="16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2.75">
      <c r="A184" s="19"/>
      <c r="B184" s="19"/>
      <c r="C184" s="16"/>
      <c r="D184" s="16"/>
      <c r="E184" s="16"/>
      <c r="F184" s="16"/>
      <c r="G184" s="16"/>
      <c r="H184" s="16"/>
      <c r="I184" s="16"/>
      <c r="J184" s="16"/>
      <c r="K184" s="16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2.75">
      <c r="A185" s="19"/>
      <c r="B185" s="19"/>
      <c r="C185" s="16"/>
      <c r="D185" s="16"/>
      <c r="E185" s="16"/>
      <c r="F185" s="16"/>
      <c r="G185" s="16"/>
      <c r="H185" s="16"/>
      <c r="I185" s="16"/>
      <c r="J185" s="16"/>
      <c r="K185" s="16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2.75">
      <c r="A186" s="19"/>
      <c r="B186" s="19"/>
      <c r="C186" s="16"/>
      <c r="D186" s="16"/>
      <c r="E186" s="16"/>
      <c r="F186" s="16"/>
      <c r="G186" s="16"/>
      <c r="H186" s="16"/>
      <c r="I186" s="16"/>
      <c r="J186" s="16"/>
      <c r="K186" s="16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2.75">
      <c r="A187" s="19"/>
      <c r="B187" s="19"/>
      <c r="C187" s="16"/>
      <c r="D187" s="16"/>
      <c r="E187" s="16"/>
      <c r="F187" s="16"/>
      <c r="G187" s="16"/>
      <c r="H187" s="16"/>
      <c r="I187" s="16"/>
      <c r="J187" s="16"/>
      <c r="K187" s="16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2.75">
      <c r="A188" s="19"/>
      <c r="B188" s="19"/>
      <c r="C188" s="16"/>
      <c r="D188" s="16"/>
      <c r="E188" s="16"/>
      <c r="F188" s="16"/>
      <c r="G188" s="16"/>
      <c r="H188" s="16"/>
      <c r="I188" s="16"/>
      <c r="J188" s="16"/>
      <c r="K188" s="16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2.75">
      <c r="A189" s="19"/>
      <c r="B189" s="19"/>
      <c r="C189" s="16"/>
      <c r="D189" s="16"/>
      <c r="E189" s="16"/>
      <c r="F189" s="16"/>
      <c r="G189" s="16"/>
      <c r="H189" s="16"/>
      <c r="I189" s="16"/>
      <c r="J189" s="16"/>
      <c r="K189" s="16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2.75">
      <c r="A190" s="19"/>
      <c r="B190" s="19"/>
      <c r="C190" s="16"/>
      <c r="D190" s="16"/>
      <c r="E190" s="16"/>
      <c r="F190" s="16"/>
      <c r="G190" s="16"/>
      <c r="H190" s="16"/>
      <c r="I190" s="16"/>
      <c r="J190" s="16"/>
      <c r="K190" s="16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2.75">
      <c r="A191" s="19"/>
      <c r="B191" s="19"/>
      <c r="C191" s="16"/>
      <c r="D191" s="16"/>
      <c r="E191" s="16"/>
      <c r="F191" s="16"/>
      <c r="G191" s="16"/>
      <c r="H191" s="16"/>
      <c r="I191" s="16"/>
      <c r="J191" s="16"/>
      <c r="K191" s="16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2.75">
      <c r="A192" s="19"/>
      <c r="B192" s="19"/>
      <c r="C192" s="16"/>
      <c r="D192" s="16"/>
      <c r="E192" s="16"/>
      <c r="F192" s="16"/>
      <c r="G192" s="16"/>
      <c r="H192" s="16"/>
      <c r="I192" s="16"/>
      <c r="J192" s="16"/>
      <c r="K192" s="16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2.75">
      <c r="A193" s="19"/>
      <c r="B193" s="19"/>
      <c r="C193" s="16"/>
      <c r="D193" s="16"/>
      <c r="E193" s="16"/>
      <c r="F193" s="16"/>
      <c r="G193" s="16"/>
      <c r="H193" s="16"/>
      <c r="I193" s="16"/>
      <c r="J193" s="16"/>
      <c r="K193" s="16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2.75">
      <c r="A194" s="19"/>
      <c r="B194" s="19"/>
      <c r="C194" s="16"/>
      <c r="D194" s="16"/>
      <c r="E194" s="16"/>
      <c r="F194" s="16"/>
      <c r="G194" s="16"/>
      <c r="H194" s="16"/>
      <c r="I194" s="16"/>
      <c r="J194" s="16"/>
      <c r="K194" s="16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2.75">
      <c r="A195" s="19"/>
      <c r="B195" s="19"/>
      <c r="C195" s="16"/>
      <c r="D195" s="16"/>
      <c r="E195" s="16"/>
      <c r="F195" s="16"/>
      <c r="G195" s="16"/>
      <c r="H195" s="16"/>
      <c r="I195" s="16"/>
      <c r="J195" s="16"/>
      <c r="K195" s="16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2.75">
      <c r="A196" s="19"/>
      <c r="B196" s="19"/>
      <c r="C196" s="16"/>
      <c r="D196" s="16"/>
      <c r="E196" s="16"/>
      <c r="F196" s="16"/>
      <c r="G196" s="16"/>
      <c r="H196" s="16"/>
      <c r="I196" s="16"/>
      <c r="J196" s="16"/>
      <c r="K196" s="16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2.75">
      <c r="A197" s="19"/>
      <c r="B197" s="19"/>
      <c r="C197" s="16"/>
      <c r="D197" s="16"/>
      <c r="E197" s="16"/>
      <c r="F197" s="16"/>
      <c r="G197" s="16"/>
      <c r="H197" s="16"/>
      <c r="I197" s="16"/>
      <c r="J197" s="16"/>
      <c r="K197" s="16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2.75">
      <c r="A198" s="19"/>
      <c r="B198" s="19"/>
      <c r="C198" s="16"/>
      <c r="D198" s="16"/>
      <c r="E198" s="16"/>
      <c r="F198" s="16"/>
      <c r="G198" s="16"/>
      <c r="H198" s="16"/>
      <c r="I198" s="16"/>
      <c r="J198" s="16"/>
      <c r="K198" s="16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2.75">
      <c r="A199" s="19"/>
      <c r="B199" s="19"/>
      <c r="C199" s="16"/>
      <c r="D199" s="16"/>
      <c r="E199" s="16"/>
      <c r="F199" s="16"/>
      <c r="G199" s="16"/>
      <c r="H199" s="16"/>
      <c r="I199" s="16"/>
      <c r="J199" s="16"/>
      <c r="K199" s="16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2.75">
      <c r="A200" s="19"/>
      <c r="B200" s="19"/>
      <c r="C200" s="16"/>
      <c r="D200" s="16"/>
      <c r="E200" s="16"/>
      <c r="F200" s="16"/>
      <c r="G200" s="16"/>
      <c r="H200" s="16"/>
      <c r="I200" s="16"/>
      <c r="J200" s="16"/>
      <c r="K200" s="16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2.75">
      <c r="A201" s="19"/>
      <c r="B201" s="19"/>
      <c r="C201" s="16"/>
      <c r="D201" s="16"/>
      <c r="E201" s="16"/>
      <c r="F201" s="16"/>
      <c r="G201" s="16"/>
      <c r="H201" s="16"/>
      <c r="I201" s="16"/>
      <c r="J201" s="16"/>
      <c r="K201" s="16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2.75">
      <c r="A202" s="19"/>
      <c r="B202" s="19"/>
      <c r="C202" s="16"/>
      <c r="D202" s="16"/>
      <c r="E202" s="16"/>
      <c r="F202" s="16"/>
      <c r="G202" s="16"/>
      <c r="H202" s="16"/>
      <c r="I202" s="16"/>
      <c r="J202" s="16"/>
      <c r="K202" s="16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2.75">
      <c r="A203" s="19"/>
      <c r="B203" s="19"/>
      <c r="C203" s="16"/>
      <c r="D203" s="16"/>
      <c r="E203" s="16"/>
      <c r="F203" s="16"/>
      <c r="G203" s="16"/>
      <c r="H203" s="16"/>
      <c r="I203" s="16"/>
      <c r="J203" s="16"/>
      <c r="K203" s="16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2.75">
      <c r="A204" s="19"/>
      <c r="B204" s="19"/>
      <c r="C204" s="16"/>
      <c r="D204" s="16"/>
      <c r="E204" s="16"/>
      <c r="F204" s="16"/>
      <c r="G204" s="16"/>
      <c r="H204" s="16"/>
      <c r="I204" s="16"/>
      <c r="J204" s="16"/>
      <c r="K204" s="16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2.75">
      <c r="A205" s="19"/>
      <c r="B205" s="19"/>
      <c r="C205" s="16"/>
      <c r="D205" s="16"/>
      <c r="E205" s="16"/>
      <c r="F205" s="16"/>
      <c r="G205" s="16"/>
      <c r="H205" s="16"/>
      <c r="I205" s="16"/>
      <c r="J205" s="16"/>
      <c r="K205" s="16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2.75">
      <c r="A206" s="19"/>
      <c r="B206" s="19"/>
      <c r="C206" s="16"/>
      <c r="D206" s="16"/>
      <c r="E206" s="16"/>
      <c r="F206" s="16"/>
      <c r="G206" s="16"/>
      <c r="H206" s="16"/>
      <c r="I206" s="16"/>
      <c r="J206" s="16"/>
      <c r="K206" s="16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2.75">
      <c r="A207" s="19"/>
      <c r="B207" s="19"/>
      <c r="C207" s="16"/>
      <c r="D207" s="16"/>
      <c r="E207" s="16"/>
      <c r="F207" s="16"/>
      <c r="G207" s="16"/>
      <c r="H207" s="16"/>
      <c r="I207" s="16"/>
      <c r="J207" s="16"/>
      <c r="K207" s="16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2.75">
      <c r="A208" s="19"/>
      <c r="B208" s="19"/>
      <c r="C208" s="16"/>
      <c r="D208" s="16"/>
      <c r="E208" s="16"/>
      <c r="F208" s="16"/>
      <c r="G208" s="16"/>
      <c r="H208" s="16"/>
      <c r="I208" s="16"/>
      <c r="J208" s="16"/>
      <c r="K208" s="16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2.75">
      <c r="A209" s="19"/>
      <c r="B209" s="19"/>
      <c r="C209" s="16"/>
      <c r="D209" s="16"/>
      <c r="E209" s="16"/>
      <c r="F209" s="16"/>
      <c r="G209" s="16"/>
      <c r="H209" s="16"/>
      <c r="I209" s="16"/>
      <c r="J209" s="16"/>
      <c r="K209" s="16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2.75">
      <c r="A210" s="19"/>
      <c r="B210" s="19"/>
      <c r="C210" s="16"/>
      <c r="D210" s="16"/>
      <c r="E210" s="16"/>
      <c r="F210" s="16"/>
      <c r="G210" s="16"/>
      <c r="H210" s="16"/>
      <c r="I210" s="16"/>
      <c r="J210" s="16"/>
      <c r="K210" s="16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2.75">
      <c r="A211" s="19"/>
      <c r="B211" s="19"/>
      <c r="C211" s="16"/>
      <c r="D211" s="16"/>
      <c r="E211" s="16"/>
      <c r="F211" s="16"/>
      <c r="G211" s="16"/>
      <c r="H211" s="16"/>
      <c r="I211" s="16"/>
      <c r="J211" s="16"/>
      <c r="K211" s="16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2.75">
      <c r="A212" s="19"/>
      <c r="B212" s="19"/>
      <c r="C212" s="16"/>
      <c r="D212" s="16"/>
      <c r="E212" s="16"/>
      <c r="F212" s="16"/>
      <c r="G212" s="16"/>
      <c r="H212" s="16"/>
      <c r="I212" s="16"/>
      <c r="J212" s="16"/>
      <c r="K212" s="16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2.75">
      <c r="A213" s="19"/>
      <c r="B213" s="19"/>
      <c r="C213" s="16"/>
      <c r="D213" s="16"/>
      <c r="E213" s="16"/>
      <c r="F213" s="16"/>
      <c r="G213" s="16"/>
      <c r="H213" s="16"/>
      <c r="I213" s="16"/>
      <c r="J213" s="16"/>
      <c r="K213" s="16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2.75">
      <c r="A214" s="19"/>
      <c r="B214" s="19"/>
      <c r="C214" s="16"/>
      <c r="D214" s="16"/>
      <c r="E214" s="16"/>
      <c r="F214" s="16"/>
      <c r="G214" s="16"/>
      <c r="H214" s="16"/>
      <c r="I214" s="16"/>
      <c r="J214" s="16"/>
      <c r="K214" s="16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2.75">
      <c r="A215" s="19"/>
      <c r="B215" s="19"/>
      <c r="C215" s="16"/>
      <c r="D215" s="16"/>
      <c r="E215" s="16"/>
      <c r="F215" s="16"/>
      <c r="G215" s="16"/>
      <c r="H215" s="16"/>
      <c r="I215" s="16"/>
      <c r="J215" s="16"/>
      <c r="K215" s="16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2.75">
      <c r="A216" s="19"/>
      <c r="B216" s="19"/>
      <c r="C216" s="16"/>
      <c r="D216" s="16"/>
      <c r="E216" s="16"/>
      <c r="F216" s="16"/>
      <c r="G216" s="16"/>
      <c r="H216" s="16"/>
      <c r="I216" s="16"/>
      <c r="J216" s="16"/>
      <c r="K216" s="16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2.75">
      <c r="A217" s="19"/>
      <c r="B217" s="19"/>
      <c r="C217" s="16"/>
      <c r="D217" s="16"/>
      <c r="E217" s="16"/>
      <c r="F217" s="16"/>
      <c r="G217" s="16"/>
      <c r="H217" s="16"/>
      <c r="I217" s="16"/>
      <c r="J217" s="16"/>
      <c r="K217" s="16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2.75">
      <c r="A218" s="19"/>
      <c r="B218" s="19"/>
      <c r="C218" s="16"/>
      <c r="D218" s="16"/>
      <c r="E218" s="16"/>
      <c r="F218" s="16"/>
      <c r="G218" s="16"/>
      <c r="H218" s="16"/>
      <c r="I218" s="16"/>
      <c r="J218" s="16"/>
      <c r="K218" s="16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2.75">
      <c r="A219" s="19"/>
      <c r="B219" s="19"/>
      <c r="C219" s="16"/>
      <c r="D219" s="16"/>
      <c r="E219" s="16"/>
      <c r="F219" s="16"/>
      <c r="G219" s="16"/>
      <c r="H219" s="16"/>
      <c r="I219" s="16"/>
      <c r="J219" s="16"/>
      <c r="K219" s="16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2.75">
      <c r="A220" s="19"/>
      <c r="B220" s="19"/>
      <c r="C220" s="16"/>
      <c r="D220" s="16"/>
      <c r="E220" s="16"/>
      <c r="F220" s="16"/>
      <c r="G220" s="16"/>
      <c r="H220" s="16"/>
      <c r="I220" s="16"/>
      <c r="J220" s="16"/>
      <c r="K220" s="16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2.75">
      <c r="A221" s="19"/>
      <c r="B221" s="19"/>
      <c r="C221" s="16"/>
      <c r="D221" s="16"/>
      <c r="E221" s="16"/>
      <c r="F221" s="16"/>
      <c r="G221" s="16"/>
      <c r="H221" s="16"/>
      <c r="I221" s="16"/>
      <c r="J221" s="16"/>
      <c r="K221" s="16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2.75">
      <c r="A222" s="19"/>
      <c r="B222" s="19"/>
      <c r="C222" s="16"/>
      <c r="D222" s="16"/>
      <c r="E222" s="16"/>
      <c r="F222" s="16"/>
      <c r="G222" s="16"/>
      <c r="H222" s="16"/>
      <c r="I222" s="16"/>
      <c r="J222" s="16"/>
      <c r="K222" s="16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2.75">
      <c r="A223" s="19"/>
      <c r="B223" s="19"/>
      <c r="C223" s="16"/>
      <c r="D223" s="16"/>
      <c r="E223" s="16"/>
      <c r="F223" s="16"/>
      <c r="G223" s="16"/>
      <c r="H223" s="16"/>
      <c r="I223" s="16"/>
      <c r="J223" s="16"/>
      <c r="K223" s="16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2.75">
      <c r="A224" s="19"/>
      <c r="B224" s="19"/>
      <c r="C224" s="16"/>
      <c r="D224" s="16"/>
      <c r="E224" s="16"/>
      <c r="F224" s="16"/>
      <c r="G224" s="16"/>
      <c r="H224" s="16"/>
      <c r="I224" s="16"/>
      <c r="J224" s="16"/>
      <c r="K224" s="16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2.75">
      <c r="A225" s="19"/>
      <c r="B225" s="19"/>
      <c r="C225" s="16"/>
      <c r="D225" s="16"/>
      <c r="E225" s="16"/>
      <c r="F225" s="16"/>
      <c r="G225" s="16"/>
      <c r="H225" s="16"/>
      <c r="I225" s="16"/>
      <c r="J225" s="16"/>
      <c r="K225" s="16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2.75">
      <c r="A226" s="19"/>
      <c r="B226" s="19"/>
      <c r="C226" s="16"/>
      <c r="D226" s="16"/>
      <c r="E226" s="16"/>
      <c r="F226" s="16"/>
      <c r="G226" s="16"/>
      <c r="H226" s="16"/>
      <c r="I226" s="16"/>
      <c r="J226" s="16"/>
      <c r="K226" s="16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2.75">
      <c r="A227" s="19"/>
      <c r="B227" s="19"/>
      <c r="C227" s="16"/>
      <c r="D227" s="16"/>
      <c r="E227" s="16"/>
      <c r="F227" s="16"/>
      <c r="G227" s="16"/>
      <c r="H227" s="16"/>
      <c r="I227" s="16"/>
      <c r="J227" s="16"/>
      <c r="K227" s="16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2.75">
      <c r="A228" s="19"/>
      <c r="B228" s="19"/>
      <c r="C228" s="16"/>
      <c r="D228" s="16"/>
      <c r="E228" s="16"/>
      <c r="F228" s="16"/>
      <c r="G228" s="16"/>
      <c r="H228" s="16"/>
      <c r="I228" s="16"/>
      <c r="J228" s="16"/>
      <c r="K228" s="16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2.75">
      <c r="A229" s="19"/>
      <c r="B229" s="19"/>
      <c r="C229" s="16"/>
      <c r="D229" s="16"/>
      <c r="E229" s="16"/>
      <c r="F229" s="16"/>
      <c r="G229" s="16"/>
      <c r="H229" s="16"/>
      <c r="I229" s="16"/>
      <c r="J229" s="16"/>
      <c r="K229" s="16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2.75">
      <c r="A230" s="19"/>
      <c r="B230" s="19"/>
      <c r="C230" s="16"/>
      <c r="D230" s="16"/>
      <c r="E230" s="16"/>
      <c r="F230" s="16"/>
      <c r="G230" s="16"/>
      <c r="H230" s="16"/>
      <c r="I230" s="16"/>
      <c r="J230" s="16"/>
      <c r="K230" s="16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2.75">
      <c r="A231" s="19"/>
      <c r="B231" s="19"/>
      <c r="C231" s="16"/>
      <c r="D231" s="16"/>
      <c r="E231" s="16"/>
      <c r="F231" s="16"/>
      <c r="G231" s="16"/>
      <c r="H231" s="16"/>
      <c r="I231" s="16"/>
      <c r="J231" s="16"/>
      <c r="K231" s="16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2.75">
      <c r="A232" s="19"/>
      <c r="B232" s="19"/>
      <c r="C232" s="16"/>
      <c r="D232" s="16"/>
      <c r="E232" s="16"/>
      <c r="F232" s="16"/>
      <c r="G232" s="16"/>
      <c r="H232" s="16"/>
      <c r="I232" s="16"/>
      <c r="J232" s="16"/>
      <c r="K232" s="16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2.75">
      <c r="A233" s="19"/>
      <c r="B233" s="19"/>
      <c r="C233" s="16"/>
      <c r="D233" s="16"/>
      <c r="E233" s="16"/>
      <c r="F233" s="16"/>
      <c r="G233" s="16"/>
      <c r="H233" s="16"/>
      <c r="I233" s="16"/>
      <c r="J233" s="16"/>
      <c r="K233" s="16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2.75">
      <c r="A234" s="19"/>
      <c r="B234" s="19"/>
      <c r="C234" s="16"/>
      <c r="D234" s="16"/>
      <c r="E234" s="16"/>
      <c r="F234" s="16"/>
      <c r="G234" s="16"/>
      <c r="H234" s="16"/>
      <c r="I234" s="16"/>
      <c r="J234" s="16"/>
      <c r="K234" s="16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2.75">
      <c r="A235" s="19"/>
      <c r="B235" s="19"/>
      <c r="C235" s="16"/>
      <c r="D235" s="16"/>
      <c r="E235" s="16"/>
      <c r="F235" s="16"/>
      <c r="G235" s="16"/>
      <c r="H235" s="16"/>
      <c r="I235" s="16"/>
      <c r="J235" s="16"/>
      <c r="K235" s="16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2.75">
      <c r="A236" s="19"/>
      <c r="B236" s="19"/>
      <c r="C236" s="16"/>
      <c r="D236" s="16"/>
      <c r="E236" s="16"/>
      <c r="F236" s="16"/>
      <c r="G236" s="16"/>
      <c r="H236" s="16"/>
      <c r="I236" s="16"/>
      <c r="J236" s="16"/>
      <c r="K236" s="16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2.75">
      <c r="A237" s="19"/>
      <c r="B237" s="19"/>
      <c r="C237" s="16"/>
      <c r="D237" s="16"/>
      <c r="E237" s="16"/>
      <c r="F237" s="16"/>
      <c r="G237" s="16"/>
      <c r="H237" s="16"/>
      <c r="I237" s="16"/>
      <c r="J237" s="16"/>
      <c r="K237" s="16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2.75">
      <c r="A238" s="19"/>
      <c r="B238" s="19"/>
      <c r="C238" s="16"/>
      <c r="D238" s="16"/>
      <c r="E238" s="16"/>
      <c r="F238" s="16"/>
      <c r="G238" s="16"/>
      <c r="H238" s="16"/>
      <c r="I238" s="16"/>
      <c r="J238" s="16"/>
      <c r="K238" s="16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2.75">
      <c r="A239" s="19"/>
      <c r="B239" s="19"/>
      <c r="C239" s="16"/>
      <c r="D239" s="16"/>
      <c r="E239" s="16"/>
      <c r="F239" s="16"/>
      <c r="G239" s="16"/>
      <c r="H239" s="16"/>
      <c r="I239" s="16"/>
      <c r="J239" s="16"/>
      <c r="K239" s="16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2.75">
      <c r="A240" s="19"/>
      <c r="B240" s="19"/>
      <c r="C240" s="16"/>
      <c r="D240" s="16"/>
      <c r="E240" s="16"/>
      <c r="F240" s="16"/>
      <c r="G240" s="16"/>
      <c r="H240" s="16"/>
      <c r="I240" s="16"/>
      <c r="J240" s="16"/>
      <c r="K240" s="16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2.75">
      <c r="A241" s="19"/>
      <c r="B241" s="19"/>
      <c r="C241" s="16"/>
      <c r="D241" s="16"/>
      <c r="E241" s="16"/>
      <c r="F241" s="16"/>
      <c r="G241" s="16"/>
      <c r="H241" s="16"/>
      <c r="I241" s="16"/>
      <c r="J241" s="16"/>
      <c r="K241" s="16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2.75">
      <c r="A242" s="19"/>
      <c r="B242" s="19"/>
      <c r="C242" s="16"/>
      <c r="D242" s="16"/>
      <c r="E242" s="16"/>
      <c r="F242" s="16"/>
      <c r="G242" s="16"/>
      <c r="H242" s="16"/>
      <c r="I242" s="16"/>
      <c r="J242" s="16"/>
      <c r="K242" s="16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2.75">
      <c r="A243" s="19"/>
      <c r="B243" s="19"/>
      <c r="C243" s="16"/>
      <c r="D243" s="16"/>
      <c r="E243" s="16"/>
      <c r="F243" s="16"/>
      <c r="G243" s="16"/>
      <c r="H243" s="16"/>
      <c r="I243" s="16"/>
      <c r="J243" s="16"/>
      <c r="K243" s="16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2.75">
      <c r="A244" s="19"/>
      <c r="B244" s="19"/>
      <c r="C244" s="16"/>
      <c r="D244" s="16"/>
      <c r="E244" s="16"/>
      <c r="F244" s="16"/>
      <c r="G244" s="16"/>
      <c r="H244" s="16"/>
      <c r="I244" s="16"/>
      <c r="J244" s="16"/>
      <c r="K244" s="16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2.75">
      <c r="A245" s="19"/>
      <c r="B245" s="19"/>
      <c r="C245" s="16"/>
      <c r="D245" s="16"/>
      <c r="E245" s="16"/>
      <c r="F245" s="16"/>
      <c r="G245" s="16"/>
      <c r="H245" s="16"/>
      <c r="I245" s="16"/>
      <c r="J245" s="16"/>
      <c r="K245" s="16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2.75">
      <c r="A246" s="19"/>
      <c r="B246" s="19"/>
      <c r="C246" s="16"/>
      <c r="D246" s="16"/>
      <c r="E246" s="16"/>
      <c r="F246" s="16"/>
      <c r="G246" s="16"/>
      <c r="H246" s="16"/>
      <c r="I246" s="16"/>
      <c r="J246" s="16"/>
      <c r="K246" s="16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2.75">
      <c r="A247" s="19"/>
      <c r="B247" s="19"/>
      <c r="C247" s="16"/>
      <c r="D247" s="16"/>
      <c r="E247" s="16"/>
      <c r="F247" s="16"/>
      <c r="G247" s="16"/>
      <c r="H247" s="16"/>
      <c r="I247" s="16"/>
      <c r="J247" s="16"/>
      <c r="K247" s="16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2.75">
      <c r="A248" s="19"/>
      <c r="B248" s="19"/>
      <c r="C248" s="16"/>
      <c r="D248" s="16"/>
      <c r="E248" s="16"/>
      <c r="F248" s="16"/>
      <c r="G248" s="16"/>
      <c r="H248" s="16"/>
      <c r="I248" s="16"/>
      <c r="J248" s="16"/>
      <c r="K248" s="16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2.75">
      <c r="A249" s="19"/>
      <c r="B249" s="19"/>
      <c r="C249" s="16"/>
      <c r="D249" s="16"/>
      <c r="E249" s="16"/>
      <c r="F249" s="16"/>
      <c r="G249" s="16"/>
      <c r="H249" s="16"/>
      <c r="I249" s="16"/>
      <c r="J249" s="16"/>
      <c r="K249" s="16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2.75">
      <c r="A250" s="19"/>
      <c r="B250" s="19"/>
      <c r="C250" s="16"/>
      <c r="D250" s="16"/>
      <c r="E250" s="16"/>
      <c r="F250" s="16"/>
      <c r="G250" s="16"/>
      <c r="H250" s="16"/>
      <c r="I250" s="16"/>
      <c r="J250" s="16"/>
      <c r="K250" s="16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2.75">
      <c r="A251" s="19"/>
      <c r="B251" s="19"/>
      <c r="C251" s="16"/>
      <c r="D251" s="16"/>
      <c r="E251" s="16"/>
      <c r="F251" s="16"/>
      <c r="G251" s="16"/>
      <c r="H251" s="16"/>
      <c r="I251" s="16"/>
      <c r="J251" s="16"/>
      <c r="K251" s="16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2.75">
      <c r="A252" s="19"/>
      <c r="B252" s="19"/>
      <c r="C252" s="16"/>
      <c r="D252" s="16"/>
      <c r="E252" s="16"/>
      <c r="F252" s="16"/>
      <c r="G252" s="16"/>
      <c r="H252" s="16"/>
      <c r="I252" s="16"/>
      <c r="J252" s="16"/>
      <c r="K252" s="16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2.75">
      <c r="A253" s="19"/>
      <c r="B253" s="19"/>
      <c r="C253" s="16"/>
      <c r="D253" s="16"/>
      <c r="E253" s="16"/>
      <c r="F253" s="16"/>
      <c r="G253" s="16"/>
      <c r="H253" s="16"/>
      <c r="I253" s="16"/>
      <c r="J253" s="16"/>
      <c r="K253" s="16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2.75">
      <c r="A254" s="19"/>
      <c r="B254" s="19"/>
      <c r="C254" s="16"/>
      <c r="D254" s="16"/>
      <c r="E254" s="16"/>
      <c r="F254" s="16"/>
      <c r="G254" s="16"/>
      <c r="H254" s="16"/>
      <c r="I254" s="16"/>
      <c r="J254" s="16"/>
      <c r="K254" s="16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2.75">
      <c r="A255" s="19"/>
      <c r="B255" s="19"/>
      <c r="C255" s="16"/>
      <c r="D255" s="16"/>
      <c r="E255" s="16"/>
      <c r="F255" s="16"/>
      <c r="G255" s="16"/>
      <c r="H255" s="16"/>
      <c r="I255" s="16"/>
      <c r="J255" s="16"/>
      <c r="K255" s="16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2.75">
      <c r="A256" s="19"/>
      <c r="B256" s="19"/>
      <c r="C256" s="16"/>
      <c r="D256" s="16"/>
      <c r="E256" s="16"/>
      <c r="F256" s="16"/>
      <c r="G256" s="16"/>
      <c r="H256" s="16"/>
      <c r="I256" s="16"/>
      <c r="J256" s="16"/>
      <c r="K256" s="16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2.75">
      <c r="A257" s="19"/>
      <c r="B257" s="19"/>
      <c r="C257" s="16"/>
      <c r="D257" s="16"/>
      <c r="E257" s="16"/>
      <c r="F257" s="16"/>
      <c r="G257" s="16"/>
      <c r="H257" s="16"/>
      <c r="I257" s="16"/>
      <c r="J257" s="16"/>
      <c r="K257" s="16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2.75">
      <c r="A258" s="19"/>
      <c r="B258" s="19"/>
      <c r="C258" s="16"/>
      <c r="D258" s="16"/>
      <c r="E258" s="16"/>
      <c r="F258" s="16"/>
      <c r="G258" s="16"/>
      <c r="H258" s="16"/>
      <c r="I258" s="16"/>
      <c r="J258" s="16"/>
      <c r="K258" s="16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2.75">
      <c r="A259" s="19"/>
      <c r="B259" s="19"/>
      <c r="C259" s="16"/>
      <c r="D259" s="16"/>
      <c r="E259" s="16"/>
      <c r="F259" s="16"/>
      <c r="G259" s="16"/>
      <c r="H259" s="16"/>
      <c r="I259" s="16"/>
      <c r="J259" s="16"/>
      <c r="K259" s="16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2.75">
      <c r="A260" s="19"/>
      <c r="B260" s="19"/>
      <c r="C260" s="16"/>
      <c r="D260" s="16"/>
      <c r="E260" s="16"/>
      <c r="F260" s="16"/>
      <c r="G260" s="16"/>
      <c r="H260" s="16"/>
      <c r="I260" s="16"/>
      <c r="J260" s="16"/>
      <c r="K260" s="16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2.75">
      <c r="A261" s="19"/>
      <c r="B261" s="19"/>
      <c r="C261" s="16"/>
      <c r="D261" s="16"/>
      <c r="E261" s="16"/>
      <c r="F261" s="16"/>
      <c r="G261" s="16"/>
      <c r="H261" s="16"/>
      <c r="I261" s="16"/>
      <c r="J261" s="16"/>
      <c r="K261" s="16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2.75">
      <c r="A262" s="19"/>
      <c r="B262" s="19"/>
      <c r="C262" s="16"/>
      <c r="D262" s="16"/>
      <c r="E262" s="16"/>
      <c r="F262" s="16"/>
      <c r="G262" s="16"/>
      <c r="H262" s="16"/>
      <c r="I262" s="16"/>
      <c r="J262" s="16"/>
      <c r="K262" s="16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2.75">
      <c r="A263" s="19"/>
      <c r="B263" s="19"/>
      <c r="C263" s="16"/>
      <c r="D263" s="16"/>
      <c r="E263" s="16"/>
      <c r="F263" s="16"/>
      <c r="G263" s="16"/>
      <c r="H263" s="16"/>
      <c r="I263" s="16"/>
      <c r="J263" s="16"/>
      <c r="K263" s="16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2.75">
      <c r="A264" s="19"/>
      <c r="B264" s="19"/>
      <c r="C264" s="16"/>
      <c r="D264" s="16"/>
      <c r="E264" s="16"/>
      <c r="F264" s="16"/>
      <c r="G264" s="16"/>
      <c r="H264" s="16"/>
      <c r="I264" s="16"/>
      <c r="J264" s="16"/>
      <c r="K264" s="16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2.75">
      <c r="A265" s="19"/>
      <c r="B265" s="19"/>
      <c r="C265" s="16"/>
      <c r="D265" s="16"/>
      <c r="E265" s="16"/>
      <c r="F265" s="16"/>
      <c r="G265" s="16"/>
      <c r="H265" s="16"/>
      <c r="I265" s="16"/>
      <c r="J265" s="16"/>
      <c r="K265" s="16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2.75">
      <c r="A266" s="19"/>
      <c r="B266" s="19"/>
      <c r="C266" s="16"/>
      <c r="D266" s="16"/>
      <c r="E266" s="16"/>
      <c r="F266" s="16"/>
      <c r="G266" s="16"/>
      <c r="H266" s="16"/>
      <c r="I266" s="16"/>
      <c r="J266" s="16"/>
      <c r="K266" s="16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2.75">
      <c r="A267" s="19"/>
      <c r="B267" s="19"/>
      <c r="C267" s="16"/>
      <c r="D267" s="16"/>
      <c r="E267" s="16"/>
      <c r="F267" s="16"/>
      <c r="G267" s="16"/>
      <c r="H267" s="16"/>
      <c r="I267" s="16"/>
      <c r="J267" s="16"/>
      <c r="K267" s="16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2.75">
      <c r="A268" s="19"/>
      <c r="B268" s="19"/>
      <c r="C268" s="16"/>
      <c r="D268" s="16"/>
      <c r="E268" s="16"/>
      <c r="F268" s="16"/>
      <c r="G268" s="16"/>
      <c r="H268" s="16"/>
      <c r="I268" s="16"/>
      <c r="J268" s="16"/>
      <c r="K268" s="16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2.75">
      <c r="A269" s="19"/>
      <c r="B269" s="19"/>
      <c r="C269" s="16"/>
      <c r="D269" s="16"/>
      <c r="E269" s="16"/>
      <c r="F269" s="16"/>
      <c r="G269" s="16"/>
      <c r="H269" s="16"/>
      <c r="I269" s="16"/>
      <c r="J269" s="16"/>
      <c r="K269" s="16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2.75">
      <c r="A270" s="19"/>
      <c r="B270" s="19"/>
      <c r="C270" s="16"/>
      <c r="D270" s="16"/>
      <c r="E270" s="16"/>
      <c r="F270" s="16"/>
      <c r="G270" s="16"/>
      <c r="H270" s="16"/>
      <c r="I270" s="16"/>
      <c r="J270" s="16"/>
      <c r="K270" s="16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2.75">
      <c r="A271" s="19"/>
      <c r="B271" s="19"/>
      <c r="C271" s="16"/>
      <c r="D271" s="16"/>
      <c r="E271" s="16"/>
      <c r="F271" s="16"/>
      <c r="G271" s="16"/>
      <c r="H271" s="16"/>
      <c r="I271" s="16"/>
      <c r="J271" s="16"/>
      <c r="K271" s="16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2.75">
      <c r="A272" s="19"/>
      <c r="B272" s="19"/>
      <c r="C272" s="16"/>
      <c r="D272" s="16"/>
      <c r="E272" s="16"/>
      <c r="F272" s="16"/>
      <c r="G272" s="16"/>
      <c r="H272" s="16"/>
      <c r="I272" s="16"/>
      <c r="J272" s="16"/>
      <c r="K272" s="16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2.75">
      <c r="A273" s="19"/>
      <c r="B273" s="19"/>
      <c r="C273" s="16"/>
      <c r="D273" s="16"/>
      <c r="E273" s="16"/>
      <c r="F273" s="16"/>
      <c r="G273" s="16"/>
      <c r="H273" s="16"/>
      <c r="I273" s="16"/>
      <c r="J273" s="16"/>
      <c r="K273" s="16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2.75">
      <c r="A274" s="19"/>
      <c r="B274" s="19"/>
      <c r="C274" s="16"/>
      <c r="D274" s="16"/>
      <c r="E274" s="16"/>
      <c r="F274" s="16"/>
      <c r="G274" s="16"/>
      <c r="H274" s="16"/>
      <c r="I274" s="16"/>
      <c r="J274" s="16"/>
      <c r="K274" s="16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2.75">
      <c r="A275" s="19"/>
      <c r="B275" s="19"/>
      <c r="C275" s="16"/>
      <c r="D275" s="16"/>
      <c r="E275" s="16"/>
      <c r="F275" s="16"/>
      <c r="G275" s="16"/>
      <c r="H275" s="16"/>
      <c r="I275" s="16"/>
      <c r="J275" s="16"/>
      <c r="K275" s="16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2.75">
      <c r="A276" s="19"/>
      <c r="B276" s="19"/>
      <c r="C276" s="16"/>
      <c r="D276" s="16"/>
      <c r="E276" s="16"/>
      <c r="F276" s="16"/>
      <c r="G276" s="16"/>
      <c r="H276" s="16"/>
      <c r="I276" s="16"/>
      <c r="J276" s="16"/>
      <c r="K276" s="16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2.75">
      <c r="A277" s="19"/>
      <c r="B277" s="19"/>
      <c r="C277" s="16"/>
      <c r="D277" s="16"/>
      <c r="E277" s="16"/>
      <c r="F277" s="16"/>
      <c r="G277" s="16"/>
      <c r="H277" s="16"/>
      <c r="I277" s="16"/>
      <c r="J277" s="16"/>
      <c r="K277" s="16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2.75">
      <c r="A278" s="19"/>
      <c r="B278" s="19"/>
      <c r="C278" s="16"/>
      <c r="D278" s="16"/>
      <c r="E278" s="16"/>
      <c r="F278" s="16"/>
      <c r="G278" s="16"/>
      <c r="H278" s="16"/>
      <c r="I278" s="16"/>
      <c r="J278" s="16"/>
      <c r="K278" s="16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2.75">
      <c r="A279" s="19"/>
      <c r="B279" s="19"/>
      <c r="C279" s="16"/>
      <c r="D279" s="16"/>
      <c r="E279" s="16"/>
      <c r="F279" s="16"/>
      <c r="G279" s="16"/>
      <c r="H279" s="16"/>
      <c r="I279" s="16"/>
      <c r="J279" s="16"/>
      <c r="K279" s="16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2.75">
      <c r="A280" s="19"/>
      <c r="B280" s="19"/>
      <c r="C280" s="16"/>
      <c r="D280" s="16"/>
      <c r="E280" s="16"/>
      <c r="F280" s="16"/>
      <c r="G280" s="16"/>
      <c r="H280" s="16"/>
      <c r="I280" s="16"/>
      <c r="J280" s="16"/>
      <c r="K280" s="16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2.75">
      <c r="A281" s="19"/>
      <c r="B281" s="19"/>
      <c r="C281" s="16"/>
      <c r="D281" s="16"/>
      <c r="E281" s="16"/>
      <c r="F281" s="16"/>
      <c r="G281" s="16"/>
      <c r="H281" s="16"/>
      <c r="I281" s="16"/>
      <c r="J281" s="16"/>
      <c r="K281" s="16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2.75">
      <c r="A282" s="19"/>
      <c r="B282" s="19"/>
      <c r="C282" s="16"/>
      <c r="D282" s="16"/>
      <c r="E282" s="16"/>
      <c r="F282" s="16"/>
      <c r="G282" s="16"/>
      <c r="H282" s="16"/>
      <c r="I282" s="16"/>
      <c r="J282" s="16"/>
      <c r="K282" s="16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2.75">
      <c r="A283" s="19"/>
      <c r="B283" s="19"/>
      <c r="C283" s="16"/>
      <c r="D283" s="16"/>
      <c r="E283" s="16"/>
      <c r="F283" s="16"/>
      <c r="G283" s="16"/>
      <c r="H283" s="16"/>
      <c r="I283" s="16"/>
      <c r="J283" s="16"/>
      <c r="K283" s="16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2.75">
      <c r="A284" s="19"/>
      <c r="B284" s="19"/>
      <c r="C284" s="16"/>
      <c r="D284" s="16"/>
      <c r="E284" s="16"/>
      <c r="F284" s="16"/>
      <c r="G284" s="16"/>
      <c r="H284" s="16"/>
      <c r="I284" s="16"/>
      <c r="J284" s="16"/>
      <c r="K284" s="16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2.75">
      <c r="A285" s="19"/>
      <c r="B285" s="19"/>
      <c r="C285" s="16"/>
      <c r="D285" s="16"/>
      <c r="E285" s="16"/>
      <c r="F285" s="16"/>
      <c r="G285" s="16"/>
      <c r="H285" s="16"/>
      <c r="I285" s="16"/>
      <c r="J285" s="16"/>
      <c r="K285" s="16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2.75">
      <c r="A286" s="19"/>
      <c r="B286" s="19"/>
      <c r="C286" s="16"/>
      <c r="D286" s="16"/>
      <c r="E286" s="16"/>
      <c r="F286" s="16"/>
      <c r="G286" s="16"/>
      <c r="H286" s="16"/>
      <c r="I286" s="16"/>
      <c r="J286" s="16"/>
      <c r="K286" s="16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2.75">
      <c r="A287" s="19"/>
      <c r="B287" s="19"/>
      <c r="C287" s="16"/>
      <c r="D287" s="16"/>
      <c r="E287" s="16"/>
      <c r="F287" s="16"/>
      <c r="G287" s="16"/>
      <c r="H287" s="16"/>
      <c r="I287" s="16"/>
      <c r="J287" s="16"/>
      <c r="K287" s="16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spans="1:29" ht="12.75">
      <c r="A288" s="19"/>
      <c r="B288" s="19"/>
      <c r="C288" s="16"/>
      <c r="D288" s="16"/>
      <c r="E288" s="16"/>
      <c r="F288" s="16"/>
      <c r="G288" s="16"/>
      <c r="H288" s="16"/>
      <c r="I288" s="16"/>
      <c r="J288" s="16"/>
      <c r="K288" s="16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spans="1:29" ht="12.75">
      <c r="A289" s="19"/>
      <c r="B289" s="19"/>
      <c r="C289" s="16"/>
      <c r="D289" s="16"/>
      <c r="E289" s="16"/>
      <c r="F289" s="16"/>
      <c r="G289" s="16"/>
      <c r="H289" s="16"/>
      <c r="I289" s="16"/>
      <c r="J289" s="16"/>
      <c r="K289" s="16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spans="1:29" ht="12.75">
      <c r="A290" s="19"/>
      <c r="B290" s="19"/>
      <c r="C290" s="16"/>
      <c r="D290" s="16"/>
      <c r="E290" s="16"/>
      <c r="F290" s="16"/>
      <c r="G290" s="16"/>
      <c r="H290" s="16"/>
      <c r="I290" s="16"/>
      <c r="J290" s="16"/>
      <c r="K290" s="16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2.75">
      <c r="A291" s="19"/>
      <c r="B291" s="19"/>
      <c r="C291" s="16"/>
      <c r="D291" s="16"/>
      <c r="E291" s="16"/>
      <c r="F291" s="16"/>
      <c r="G291" s="16"/>
      <c r="H291" s="16"/>
      <c r="I291" s="16"/>
      <c r="J291" s="16"/>
      <c r="K291" s="16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2.75">
      <c r="A292" s="19"/>
      <c r="B292" s="19"/>
      <c r="C292" s="16"/>
      <c r="D292" s="16"/>
      <c r="E292" s="16"/>
      <c r="F292" s="16"/>
      <c r="G292" s="16"/>
      <c r="H292" s="16"/>
      <c r="I292" s="16"/>
      <c r="J292" s="16"/>
      <c r="K292" s="16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2.75">
      <c r="A293" s="19"/>
      <c r="B293" s="19"/>
      <c r="C293" s="16"/>
      <c r="D293" s="16"/>
      <c r="E293" s="16"/>
      <c r="F293" s="16"/>
      <c r="G293" s="16"/>
      <c r="H293" s="16"/>
      <c r="I293" s="16"/>
      <c r="J293" s="16"/>
      <c r="K293" s="16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2.75">
      <c r="A294" s="19"/>
      <c r="B294" s="19"/>
      <c r="C294" s="16"/>
      <c r="D294" s="16"/>
      <c r="E294" s="16"/>
      <c r="F294" s="16"/>
      <c r="G294" s="16"/>
      <c r="H294" s="16"/>
      <c r="I294" s="16"/>
      <c r="J294" s="16"/>
      <c r="K294" s="16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2.75">
      <c r="A295" s="19"/>
      <c r="B295" s="19"/>
      <c r="C295" s="16"/>
      <c r="D295" s="16"/>
      <c r="E295" s="16"/>
      <c r="F295" s="16"/>
      <c r="G295" s="16"/>
      <c r="H295" s="16"/>
      <c r="I295" s="16"/>
      <c r="J295" s="16"/>
      <c r="K295" s="16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2.75">
      <c r="A296" s="19"/>
      <c r="B296" s="19"/>
      <c r="C296" s="16"/>
      <c r="D296" s="16"/>
      <c r="E296" s="16"/>
      <c r="F296" s="16"/>
      <c r="G296" s="16"/>
      <c r="H296" s="16"/>
      <c r="I296" s="16"/>
      <c r="J296" s="16"/>
      <c r="K296" s="16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2.75">
      <c r="A297" s="19"/>
      <c r="B297" s="19"/>
      <c r="C297" s="16"/>
      <c r="D297" s="16"/>
      <c r="E297" s="16"/>
      <c r="F297" s="16"/>
      <c r="G297" s="16"/>
      <c r="H297" s="16"/>
      <c r="I297" s="16"/>
      <c r="J297" s="16"/>
      <c r="K297" s="16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2.75">
      <c r="A298" s="19"/>
      <c r="B298" s="19"/>
      <c r="C298" s="16"/>
      <c r="D298" s="16"/>
      <c r="E298" s="16"/>
      <c r="F298" s="16"/>
      <c r="G298" s="16"/>
      <c r="H298" s="16"/>
      <c r="I298" s="16"/>
      <c r="J298" s="16"/>
      <c r="K298" s="16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2.75">
      <c r="A299" s="19"/>
      <c r="B299" s="19"/>
      <c r="C299" s="16"/>
      <c r="D299" s="16"/>
      <c r="E299" s="16"/>
      <c r="F299" s="16"/>
      <c r="G299" s="16"/>
      <c r="H299" s="16"/>
      <c r="I299" s="16"/>
      <c r="J299" s="16"/>
      <c r="K299" s="16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2.75">
      <c r="A300" s="19"/>
      <c r="B300" s="19"/>
      <c r="C300" s="16"/>
      <c r="D300" s="16"/>
      <c r="E300" s="16"/>
      <c r="F300" s="16"/>
      <c r="G300" s="16"/>
      <c r="H300" s="16"/>
      <c r="I300" s="16"/>
      <c r="J300" s="16"/>
      <c r="K300" s="16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2.75">
      <c r="A301" s="19"/>
      <c r="B301" s="19"/>
      <c r="C301" s="16"/>
      <c r="D301" s="16"/>
      <c r="E301" s="16"/>
      <c r="F301" s="16"/>
      <c r="G301" s="16"/>
      <c r="H301" s="16"/>
      <c r="I301" s="16"/>
      <c r="J301" s="16"/>
      <c r="K301" s="16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2.75">
      <c r="A302" s="19"/>
      <c r="B302" s="19"/>
      <c r="C302" s="16"/>
      <c r="D302" s="16"/>
      <c r="E302" s="16"/>
      <c r="F302" s="16"/>
      <c r="G302" s="16"/>
      <c r="H302" s="16"/>
      <c r="I302" s="16"/>
      <c r="J302" s="16"/>
      <c r="K302" s="16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2.75">
      <c r="A303" s="19"/>
      <c r="B303" s="19"/>
      <c r="C303" s="16"/>
      <c r="D303" s="16"/>
      <c r="E303" s="16"/>
      <c r="F303" s="16"/>
      <c r="G303" s="16"/>
      <c r="H303" s="16"/>
      <c r="I303" s="16"/>
      <c r="J303" s="16"/>
      <c r="K303" s="16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spans="1:29" ht="12.75">
      <c r="A304" s="19"/>
      <c r="B304" s="19"/>
      <c r="C304" s="16"/>
      <c r="D304" s="16"/>
      <c r="E304" s="16"/>
      <c r="F304" s="16"/>
      <c r="G304" s="16"/>
      <c r="H304" s="16"/>
      <c r="I304" s="16"/>
      <c r="J304" s="16"/>
      <c r="K304" s="16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spans="1:29" ht="12.75">
      <c r="A305" s="19"/>
      <c r="B305" s="19"/>
      <c r="C305" s="16"/>
      <c r="D305" s="16"/>
      <c r="E305" s="16"/>
      <c r="F305" s="16"/>
      <c r="G305" s="16"/>
      <c r="H305" s="16"/>
      <c r="I305" s="16"/>
      <c r="J305" s="16"/>
      <c r="K305" s="16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12.75">
      <c r="A306" s="19"/>
      <c r="B306" s="19"/>
      <c r="C306" s="16"/>
      <c r="D306" s="16"/>
      <c r="E306" s="16"/>
      <c r="F306" s="16"/>
      <c r="G306" s="16"/>
      <c r="H306" s="16"/>
      <c r="I306" s="16"/>
      <c r="J306" s="16"/>
      <c r="K306" s="16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2.75">
      <c r="A307" s="19"/>
      <c r="B307" s="19"/>
      <c r="C307" s="16"/>
      <c r="D307" s="16"/>
      <c r="E307" s="16"/>
      <c r="F307" s="16"/>
      <c r="G307" s="16"/>
      <c r="H307" s="16"/>
      <c r="I307" s="16"/>
      <c r="J307" s="16"/>
      <c r="K307" s="16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12.75">
      <c r="A308" s="19"/>
      <c r="B308" s="19"/>
      <c r="C308" s="16"/>
      <c r="D308" s="16"/>
      <c r="E308" s="16"/>
      <c r="F308" s="16"/>
      <c r="G308" s="16"/>
      <c r="H308" s="16"/>
      <c r="I308" s="16"/>
      <c r="J308" s="16"/>
      <c r="K308" s="16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2.75">
      <c r="A309" s="19"/>
      <c r="B309" s="19"/>
      <c r="C309" s="16"/>
      <c r="D309" s="16"/>
      <c r="E309" s="16"/>
      <c r="F309" s="16"/>
      <c r="G309" s="16"/>
      <c r="H309" s="16"/>
      <c r="I309" s="16"/>
      <c r="J309" s="16"/>
      <c r="K309" s="16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2.75">
      <c r="A310" s="19"/>
      <c r="B310" s="19"/>
      <c r="C310" s="16"/>
      <c r="D310" s="16"/>
      <c r="E310" s="16"/>
      <c r="F310" s="16"/>
      <c r="G310" s="16"/>
      <c r="H310" s="16"/>
      <c r="I310" s="16"/>
      <c r="J310" s="16"/>
      <c r="K310" s="16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2.75">
      <c r="A311" s="19"/>
      <c r="B311" s="19"/>
      <c r="C311" s="16"/>
      <c r="D311" s="16"/>
      <c r="E311" s="16"/>
      <c r="F311" s="16"/>
      <c r="G311" s="16"/>
      <c r="H311" s="16"/>
      <c r="I311" s="16"/>
      <c r="J311" s="16"/>
      <c r="K311" s="16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2.75">
      <c r="A312" s="19"/>
      <c r="B312" s="19"/>
      <c r="C312" s="16"/>
      <c r="D312" s="16"/>
      <c r="E312" s="16"/>
      <c r="F312" s="16"/>
      <c r="G312" s="16"/>
      <c r="H312" s="16"/>
      <c r="I312" s="16"/>
      <c r="J312" s="16"/>
      <c r="K312" s="16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2.75">
      <c r="A313" s="19"/>
      <c r="B313" s="19"/>
      <c r="C313" s="16"/>
      <c r="D313" s="16"/>
      <c r="E313" s="16"/>
      <c r="F313" s="16"/>
      <c r="G313" s="16"/>
      <c r="H313" s="16"/>
      <c r="I313" s="16"/>
      <c r="J313" s="16"/>
      <c r="K313" s="16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2.75">
      <c r="A314" s="19"/>
      <c r="B314" s="19"/>
      <c r="C314" s="16"/>
      <c r="D314" s="16"/>
      <c r="E314" s="16"/>
      <c r="F314" s="16"/>
      <c r="G314" s="16"/>
      <c r="H314" s="16"/>
      <c r="I314" s="16"/>
      <c r="J314" s="16"/>
      <c r="K314" s="16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2.75">
      <c r="A315" s="19"/>
      <c r="B315" s="19"/>
      <c r="C315" s="16"/>
      <c r="D315" s="16"/>
      <c r="E315" s="16"/>
      <c r="F315" s="16"/>
      <c r="G315" s="16"/>
      <c r="H315" s="16"/>
      <c r="I315" s="16"/>
      <c r="J315" s="16"/>
      <c r="K315" s="16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2.75">
      <c r="A316" s="19"/>
      <c r="B316" s="19"/>
      <c r="C316" s="16"/>
      <c r="D316" s="16"/>
      <c r="E316" s="16"/>
      <c r="F316" s="16"/>
      <c r="G316" s="16"/>
      <c r="H316" s="16"/>
      <c r="I316" s="16"/>
      <c r="J316" s="16"/>
      <c r="K316" s="16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2.75">
      <c r="A317" s="19"/>
      <c r="B317" s="19"/>
      <c r="C317" s="16"/>
      <c r="D317" s="16"/>
      <c r="E317" s="16"/>
      <c r="F317" s="16"/>
      <c r="G317" s="16"/>
      <c r="H317" s="16"/>
      <c r="I317" s="16"/>
      <c r="J317" s="16"/>
      <c r="K317" s="16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2.75">
      <c r="A318" s="19"/>
      <c r="B318" s="19"/>
      <c r="C318" s="16"/>
      <c r="D318" s="16"/>
      <c r="E318" s="16"/>
      <c r="F318" s="16"/>
      <c r="G318" s="16"/>
      <c r="H318" s="16"/>
      <c r="I318" s="16"/>
      <c r="J318" s="16"/>
      <c r="K318" s="16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2.75">
      <c r="A319" s="19"/>
      <c r="B319" s="19"/>
      <c r="C319" s="16"/>
      <c r="D319" s="16"/>
      <c r="E319" s="16"/>
      <c r="F319" s="16"/>
      <c r="G319" s="16"/>
      <c r="H319" s="16"/>
      <c r="I319" s="16"/>
      <c r="J319" s="16"/>
      <c r="K319" s="16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2.75">
      <c r="A320" s="19"/>
      <c r="B320" s="19"/>
      <c r="C320" s="16"/>
      <c r="D320" s="16"/>
      <c r="E320" s="16"/>
      <c r="F320" s="16"/>
      <c r="G320" s="16"/>
      <c r="H320" s="16"/>
      <c r="I320" s="16"/>
      <c r="J320" s="16"/>
      <c r="K320" s="16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2.75">
      <c r="A321" s="19"/>
      <c r="B321" s="19"/>
      <c r="C321" s="16"/>
      <c r="D321" s="16"/>
      <c r="E321" s="16"/>
      <c r="F321" s="16"/>
      <c r="G321" s="16"/>
      <c r="H321" s="16"/>
      <c r="I321" s="16"/>
      <c r="J321" s="16"/>
      <c r="K321" s="16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2.75">
      <c r="A322" s="19"/>
      <c r="B322" s="19"/>
      <c r="C322" s="16"/>
      <c r="D322" s="16"/>
      <c r="E322" s="16"/>
      <c r="F322" s="16"/>
      <c r="G322" s="16"/>
      <c r="H322" s="16"/>
      <c r="I322" s="16"/>
      <c r="J322" s="16"/>
      <c r="K322" s="16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2.75">
      <c r="A323" s="19"/>
      <c r="B323" s="19"/>
      <c r="C323" s="16"/>
      <c r="D323" s="16"/>
      <c r="E323" s="16"/>
      <c r="F323" s="16"/>
      <c r="G323" s="16"/>
      <c r="H323" s="16"/>
      <c r="I323" s="16"/>
      <c r="J323" s="16"/>
      <c r="K323" s="16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2.75">
      <c r="A324" s="19"/>
      <c r="B324" s="19"/>
      <c r="C324" s="16"/>
      <c r="D324" s="16"/>
      <c r="E324" s="16"/>
      <c r="F324" s="16"/>
      <c r="G324" s="16"/>
      <c r="H324" s="16"/>
      <c r="I324" s="16"/>
      <c r="J324" s="16"/>
      <c r="K324" s="16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2.75">
      <c r="A325" s="19"/>
      <c r="B325" s="19"/>
      <c r="C325" s="16"/>
      <c r="D325" s="16"/>
      <c r="E325" s="16"/>
      <c r="F325" s="16"/>
      <c r="G325" s="16"/>
      <c r="H325" s="16"/>
      <c r="I325" s="16"/>
      <c r="J325" s="16"/>
      <c r="K325" s="16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2.75">
      <c r="A326" s="19"/>
      <c r="B326" s="19"/>
      <c r="C326" s="16"/>
      <c r="D326" s="16"/>
      <c r="E326" s="16"/>
      <c r="F326" s="16"/>
      <c r="G326" s="16"/>
      <c r="H326" s="16"/>
      <c r="I326" s="16"/>
      <c r="J326" s="16"/>
      <c r="K326" s="16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2.75">
      <c r="A327" s="19"/>
      <c r="B327" s="19"/>
      <c r="C327" s="16"/>
      <c r="D327" s="16"/>
      <c r="E327" s="16"/>
      <c r="F327" s="16"/>
      <c r="G327" s="16"/>
      <c r="H327" s="16"/>
      <c r="I327" s="16"/>
      <c r="J327" s="16"/>
      <c r="K327" s="16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2.75">
      <c r="A328" s="19"/>
      <c r="B328" s="19"/>
      <c r="C328" s="16"/>
      <c r="D328" s="16"/>
      <c r="E328" s="16"/>
      <c r="F328" s="16"/>
      <c r="G328" s="16"/>
      <c r="H328" s="16"/>
      <c r="I328" s="16"/>
      <c r="J328" s="16"/>
      <c r="K328" s="16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2.75">
      <c r="A329" s="19"/>
      <c r="B329" s="19"/>
      <c r="C329" s="16"/>
      <c r="D329" s="16"/>
      <c r="E329" s="16"/>
      <c r="F329" s="16"/>
      <c r="G329" s="16"/>
      <c r="H329" s="16"/>
      <c r="I329" s="16"/>
      <c r="J329" s="16"/>
      <c r="K329" s="16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2.75">
      <c r="A330" s="19"/>
      <c r="B330" s="19"/>
      <c r="C330" s="16"/>
      <c r="D330" s="16"/>
      <c r="E330" s="16"/>
      <c r="F330" s="16"/>
      <c r="G330" s="16"/>
      <c r="H330" s="16"/>
      <c r="I330" s="16"/>
      <c r="J330" s="16"/>
      <c r="K330" s="16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2.75">
      <c r="A331" s="19"/>
      <c r="B331" s="19"/>
      <c r="C331" s="16"/>
      <c r="D331" s="16"/>
      <c r="E331" s="16"/>
      <c r="F331" s="16"/>
      <c r="G331" s="16"/>
      <c r="H331" s="16"/>
      <c r="I331" s="16"/>
      <c r="J331" s="16"/>
      <c r="K331" s="16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2.75">
      <c r="A332" s="19"/>
      <c r="B332" s="19"/>
      <c r="C332" s="16"/>
      <c r="D332" s="16"/>
      <c r="E332" s="16"/>
      <c r="F332" s="16"/>
      <c r="G332" s="16"/>
      <c r="H332" s="16"/>
      <c r="I332" s="16"/>
      <c r="J332" s="16"/>
      <c r="K332" s="16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2.75">
      <c r="A333" s="19"/>
      <c r="B333" s="19"/>
      <c r="C333" s="16"/>
      <c r="D333" s="16"/>
      <c r="E333" s="16"/>
      <c r="F333" s="16"/>
      <c r="G333" s="16"/>
      <c r="H333" s="16"/>
      <c r="I333" s="16"/>
      <c r="J333" s="16"/>
      <c r="K333" s="16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2.75">
      <c r="A334" s="19"/>
      <c r="B334" s="19"/>
      <c r="C334" s="16"/>
      <c r="D334" s="16"/>
      <c r="E334" s="16"/>
      <c r="F334" s="16"/>
      <c r="G334" s="16"/>
      <c r="H334" s="16"/>
      <c r="I334" s="16"/>
      <c r="J334" s="16"/>
      <c r="K334" s="16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2.75">
      <c r="A335" s="19"/>
      <c r="B335" s="19"/>
      <c r="C335" s="16"/>
      <c r="D335" s="16"/>
      <c r="E335" s="16"/>
      <c r="F335" s="16"/>
      <c r="G335" s="16"/>
      <c r="H335" s="16"/>
      <c r="I335" s="16"/>
      <c r="J335" s="16"/>
      <c r="K335" s="16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2.75">
      <c r="A336" s="19"/>
      <c r="B336" s="19"/>
      <c r="C336" s="16"/>
      <c r="D336" s="16"/>
      <c r="E336" s="16"/>
      <c r="F336" s="16"/>
      <c r="G336" s="16"/>
      <c r="H336" s="16"/>
      <c r="I336" s="16"/>
      <c r="J336" s="16"/>
      <c r="K336" s="16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2.75">
      <c r="A337" s="19"/>
      <c r="B337" s="19"/>
      <c r="C337" s="16"/>
      <c r="D337" s="16"/>
      <c r="E337" s="16"/>
      <c r="F337" s="16"/>
      <c r="G337" s="16"/>
      <c r="H337" s="16"/>
      <c r="I337" s="16"/>
      <c r="J337" s="16"/>
      <c r="K337" s="16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2.75">
      <c r="A338" s="19"/>
      <c r="B338" s="19"/>
      <c r="C338" s="16"/>
      <c r="D338" s="16"/>
      <c r="E338" s="16"/>
      <c r="F338" s="16"/>
      <c r="G338" s="16"/>
      <c r="H338" s="16"/>
      <c r="I338" s="16"/>
      <c r="J338" s="16"/>
      <c r="K338" s="16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2.75">
      <c r="A339" s="19"/>
      <c r="B339" s="19"/>
      <c r="C339" s="16"/>
      <c r="D339" s="16"/>
      <c r="E339" s="16"/>
      <c r="F339" s="16"/>
      <c r="G339" s="16"/>
      <c r="H339" s="16"/>
      <c r="I339" s="16"/>
      <c r="J339" s="16"/>
      <c r="K339" s="16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2.75">
      <c r="A340" s="19"/>
      <c r="B340" s="19"/>
      <c r="C340" s="16"/>
      <c r="D340" s="16"/>
      <c r="E340" s="16"/>
      <c r="F340" s="16"/>
      <c r="G340" s="16"/>
      <c r="H340" s="16"/>
      <c r="I340" s="16"/>
      <c r="J340" s="16"/>
      <c r="K340" s="16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2.75">
      <c r="A341" s="19"/>
      <c r="B341" s="19"/>
      <c r="C341" s="16"/>
      <c r="D341" s="16"/>
      <c r="E341" s="16"/>
      <c r="F341" s="16"/>
      <c r="G341" s="16"/>
      <c r="H341" s="16"/>
      <c r="I341" s="16"/>
      <c r="J341" s="16"/>
      <c r="K341" s="16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2.75">
      <c r="A342" s="19"/>
      <c r="B342" s="19"/>
      <c r="C342" s="16"/>
      <c r="D342" s="16"/>
      <c r="E342" s="16"/>
      <c r="F342" s="16"/>
      <c r="G342" s="16"/>
      <c r="H342" s="16"/>
      <c r="I342" s="16"/>
      <c r="J342" s="16"/>
      <c r="K342" s="16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2.75">
      <c r="A343" s="19"/>
      <c r="B343" s="19"/>
      <c r="C343" s="16"/>
      <c r="D343" s="16"/>
      <c r="E343" s="16"/>
      <c r="F343" s="16"/>
      <c r="G343" s="16"/>
      <c r="H343" s="16"/>
      <c r="I343" s="16"/>
      <c r="J343" s="16"/>
      <c r="K343" s="16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2.75">
      <c r="A344" s="19"/>
      <c r="B344" s="19"/>
      <c r="C344" s="16"/>
      <c r="D344" s="16"/>
      <c r="E344" s="16"/>
      <c r="F344" s="16"/>
      <c r="G344" s="16"/>
      <c r="H344" s="16"/>
      <c r="I344" s="16"/>
      <c r="J344" s="16"/>
      <c r="K344" s="16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2.75">
      <c r="A345" s="19"/>
      <c r="B345" s="19"/>
      <c r="C345" s="16"/>
      <c r="D345" s="16"/>
      <c r="E345" s="16"/>
      <c r="F345" s="16"/>
      <c r="G345" s="16"/>
      <c r="H345" s="16"/>
      <c r="I345" s="16"/>
      <c r="J345" s="16"/>
      <c r="K345" s="16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2.75">
      <c r="A346" s="19"/>
      <c r="B346" s="19"/>
      <c r="C346" s="16"/>
      <c r="D346" s="16"/>
      <c r="E346" s="16"/>
      <c r="F346" s="16"/>
      <c r="G346" s="16"/>
      <c r="H346" s="16"/>
      <c r="I346" s="16"/>
      <c r="J346" s="16"/>
      <c r="K346" s="16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2.75">
      <c r="A347" s="19"/>
      <c r="B347" s="19"/>
      <c r="C347" s="16"/>
      <c r="D347" s="16"/>
      <c r="E347" s="16"/>
      <c r="F347" s="16"/>
      <c r="G347" s="16"/>
      <c r="H347" s="16"/>
      <c r="I347" s="16"/>
      <c r="J347" s="16"/>
      <c r="K347" s="16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2.75">
      <c r="A348" s="19"/>
      <c r="B348" s="19"/>
      <c r="C348" s="16"/>
      <c r="D348" s="16"/>
      <c r="E348" s="16"/>
      <c r="F348" s="16"/>
      <c r="G348" s="16"/>
      <c r="H348" s="16"/>
      <c r="I348" s="16"/>
      <c r="J348" s="16"/>
      <c r="K348" s="16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2.75">
      <c r="A349" s="19"/>
      <c r="B349" s="19"/>
      <c r="C349" s="16"/>
      <c r="D349" s="16"/>
      <c r="E349" s="16"/>
      <c r="F349" s="16"/>
      <c r="G349" s="16"/>
      <c r="H349" s="16"/>
      <c r="I349" s="16"/>
      <c r="J349" s="16"/>
      <c r="K349" s="16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2.75">
      <c r="A350" s="19"/>
      <c r="B350" s="19"/>
      <c r="C350" s="16"/>
      <c r="D350" s="16"/>
      <c r="E350" s="16"/>
      <c r="F350" s="16"/>
      <c r="G350" s="16"/>
      <c r="H350" s="16"/>
      <c r="I350" s="16"/>
      <c r="J350" s="16"/>
      <c r="K350" s="16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2.75">
      <c r="A351" s="19"/>
      <c r="B351" s="19"/>
      <c r="C351" s="16"/>
      <c r="D351" s="16"/>
      <c r="E351" s="16"/>
      <c r="F351" s="16"/>
      <c r="G351" s="16"/>
      <c r="H351" s="16"/>
      <c r="I351" s="16"/>
      <c r="J351" s="16"/>
      <c r="K351" s="16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2.75">
      <c r="A352" s="19"/>
      <c r="B352" s="19"/>
      <c r="C352" s="16"/>
      <c r="D352" s="16"/>
      <c r="E352" s="16"/>
      <c r="F352" s="16"/>
      <c r="G352" s="16"/>
      <c r="H352" s="16"/>
      <c r="I352" s="16"/>
      <c r="J352" s="16"/>
      <c r="K352" s="16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2.75">
      <c r="A353" s="19"/>
      <c r="B353" s="19"/>
      <c r="C353" s="16"/>
      <c r="D353" s="16"/>
      <c r="E353" s="16"/>
      <c r="F353" s="16"/>
      <c r="G353" s="16"/>
      <c r="H353" s="16"/>
      <c r="I353" s="16"/>
      <c r="J353" s="16"/>
      <c r="K353" s="16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2.75">
      <c r="A354" s="19"/>
      <c r="B354" s="19"/>
      <c r="C354" s="16"/>
      <c r="D354" s="16"/>
      <c r="E354" s="16"/>
      <c r="F354" s="16"/>
      <c r="G354" s="16"/>
      <c r="H354" s="16"/>
      <c r="I354" s="16"/>
      <c r="J354" s="16"/>
      <c r="K354" s="16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2.75">
      <c r="A355" s="19"/>
      <c r="B355" s="19"/>
      <c r="C355" s="16"/>
      <c r="D355" s="16"/>
      <c r="E355" s="16"/>
      <c r="F355" s="16"/>
      <c r="G355" s="16"/>
      <c r="H355" s="16"/>
      <c r="I355" s="16"/>
      <c r="J355" s="16"/>
      <c r="K355" s="16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2.75">
      <c r="A356" s="19"/>
      <c r="B356" s="19"/>
      <c r="C356" s="16"/>
      <c r="D356" s="16"/>
      <c r="E356" s="16"/>
      <c r="F356" s="16"/>
      <c r="G356" s="16"/>
      <c r="H356" s="16"/>
      <c r="I356" s="16"/>
      <c r="J356" s="16"/>
      <c r="K356" s="16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spans="1:29" ht="12.75">
      <c r="A357" s="19"/>
      <c r="B357" s="19"/>
      <c r="C357" s="16"/>
      <c r="D357" s="16"/>
      <c r="E357" s="16"/>
      <c r="F357" s="16"/>
      <c r="G357" s="16"/>
      <c r="H357" s="16"/>
      <c r="I357" s="16"/>
      <c r="J357" s="16"/>
      <c r="K357" s="16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spans="1:29" ht="12.75">
      <c r="A358" s="19"/>
      <c r="B358" s="19"/>
      <c r="C358" s="16"/>
      <c r="D358" s="16"/>
      <c r="E358" s="16"/>
      <c r="F358" s="16"/>
      <c r="G358" s="16"/>
      <c r="H358" s="16"/>
      <c r="I358" s="16"/>
      <c r="J358" s="16"/>
      <c r="K358" s="16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2.75">
      <c r="A359" s="19"/>
      <c r="B359" s="19"/>
      <c r="C359" s="16"/>
      <c r="D359" s="16"/>
      <c r="E359" s="16"/>
      <c r="F359" s="16"/>
      <c r="G359" s="16"/>
      <c r="H359" s="16"/>
      <c r="I359" s="16"/>
      <c r="J359" s="16"/>
      <c r="K359" s="16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2.75">
      <c r="A360" s="19"/>
      <c r="B360" s="19"/>
      <c r="C360" s="16"/>
      <c r="D360" s="16"/>
      <c r="E360" s="16"/>
      <c r="F360" s="16"/>
      <c r="G360" s="16"/>
      <c r="H360" s="16"/>
      <c r="I360" s="16"/>
      <c r="J360" s="16"/>
      <c r="K360" s="16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2.75">
      <c r="A361" s="19"/>
      <c r="B361" s="19"/>
      <c r="C361" s="16"/>
      <c r="D361" s="16"/>
      <c r="E361" s="16"/>
      <c r="F361" s="16"/>
      <c r="G361" s="16"/>
      <c r="H361" s="16"/>
      <c r="I361" s="16"/>
      <c r="J361" s="16"/>
      <c r="K361" s="16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2.75">
      <c r="A362" s="19"/>
      <c r="B362" s="19"/>
      <c r="C362" s="16"/>
      <c r="D362" s="16"/>
      <c r="E362" s="16"/>
      <c r="F362" s="16"/>
      <c r="G362" s="16"/>
      <c r="H362" s="16"/>
      <c r="I362" s="16"/>
      <c r="J362" s="16"/>
      <c r="K362" s="16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2.75">
      <c r="A363" s="19"/>
      <c r="B363" s="19"/>
      <c r="C363" s="16"/>
      <c r="D363" s="16"/>
      <c r="E363" s="16"/>
      <c r="F363" s="16"/>
      <c r="G363" s="16"/>
      <c r="H363" s="16"/>
      <c r="I363" s="16"/>
      <c r="J363" s="16"/>
      <c r="K363" s="16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2.75">
      <c r="A364" s="19"/>
      <c r="B364" s="19"/>
      <c r="C364" s="16"/>
      <c r="D364" s="16"/>
      <c r="E364" s="16"/>
      <c r="F364" s="16"/>
      <c r="G364" s="16"/>
      <c r="H364" s="16"/>
      <c r="I364" s="16"/>
      <c r="J364" s="16"/>
      <c r="K364" s="16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2.75">
      <c r="A365" s="19"/>
      <c r="B365" s="19"/>
      <c r="C365" s="16"/>
      <c r="D365" s="16"/>
      <c r="E365" s="16"/>
      <c r="F365" s="16"/>
      <c r="G365" s="16"/>
      <c r="H365" s="16"/>
      <c r="I365" s="16"/>
      <c r="J365" s="16"/>
      <c r="K365" s="16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2.75">
      <c r="A366" s="19"/>
      <c r="B366" s="19"/>
      <c r="C366" s="16"/>
      <c r="D366" s="16"/>
      <c r="E366" s="16"/>
      <c r="F366" s="16"/>
      <c r="G366" s="16"/>
      <c r="H366" s="16"/>
      <c r="I366" s="16"/>
      <c r="J366" s="16"/>
      <c r="K366" s="16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2.75">
      <c r="A367" s="19"/>
      <c r="B367" s="19"/>
      <c r="C367" s="16"/>
      <c r="D367" s="16"/>
      <c r="E367" s="16"/>
      <c r="F367" s="16"/>
      <c r="G367" s="16"/>
      <c r="H367" s="16"/>
      <c r="I367" s="16"/>
      <c r="J367" s="16"/>
      <c r="K367" s="16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2.75">
      <c r="A368" s="19"/>
      <c r="B368" s="19"/>
      <c r="C368" s="16"/>
      <c r="D368" s="16"/>
      <c r="E368" s="16"/>
      <c r="F368" s="16"/>
      <c r="G368" s="16"/>
      <c r="H368" s="16"/>
      <c r="I368" s="16"/>
      <c r="J368" s="16"/>
      <c r="K368" s="16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2.75">
      <c r="A369" s="19"/>
      <c r="B369" s="19"/>
      <c r="C369" s="16"/>
      <c r="D369" s="16"/>
      <c r="E369" s="16"/>
      <c r="F369" s="16"/>
      <c r="G369" s="16"/>
      <c r="H369" s="16"/>
      <c r="I369" s="16"/>
      <c r="J369" s="16"/>
      <c r="K369" s="16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2.75">
      <c r="A370" s="19"/>
      <c r="B370" s="19"/>
      <c r="C370" s="16"/>
      <c r="D370" s="16"/>
      <c r="E370" s="16"/>
      <c r="F370" s="16"/>
      <c r="G370" s="16"/>
      <c r="H370" s="16"/>
      <c r="I370" s="16"/>
      <c r="J370" s="16"/>
      <c r="K370" s="16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2.75">
      <c r="A371" s="19"/>
      <c r="B371" s="19"/>
      <c r="C371" s="16"/>
      <c r="D371" s="16"/>
      <c r="E371" s="16"/>
      <c r="F371" s="16"/>
      <c r="G371" s="16"/>
      <c r="H371" s="16"/>
      <c r="I371" s="16"/>
      <c r="J371" s="16"/>
      <c r="K371" s="16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2.75">
      <c r="A372" s="19"/>
      <c r="B372" s="19"/>
      <c r="C372" s="16"/>
      <c r="D372" s="16"/>
      <c r="E372" s="16"/>
      <c r="F372" s="16"/>
      <c r="G372" s="16"/>
      <c r="H372" s="16"/>
      <c r="I372" s="16"/>
      <c r="J372" s="16"/>
      <c r="K372" s="16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2.75">
      <c r="A373" s="19"/>
      <c r="B373" s="19"/>
      <c r="C373" s="16"/>
      <c r="D373" s="16"/>
      <c r="E373" s="16"/>
      <c r="F373" s="16"/>
      <c r="G373" s="16"/>
      <c r="H373" s="16"/>
      <c r="I373" s="16"/>
      <c r="J373" s="16"/>
      <c r="K373" s="16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2.75">
      <c r="A374" s="19"/>
      <c r="B374" s="19"/>
      <c r="C374" s="16"/>
      <c r="D374" s="16"/>
      <c r="E374" s="16"/>
      <c r="F374" s="16"/>
      <c r="G374" s="16"/>
      <c r="H374" s="16"/>
      <c r="I374" s="16"/>
      <c r="J374" s="16"/>
      <c r="K374" s="16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2.75">
      <c r="A375" s="19"/>
      <c r="B375" s="19"/>
      <c r="C375" s="16"/>
      <c r="D375" s="16"/>
      <c r="E375" s="16"/>
      <c r="F375" s="16"/>
      <c r="G375" s="16"/>
      <c r="H375" s="16"/>
      <c r="I375" s="16"/>
      <c r="J375" s="16"/>
      <c r="K375" s="16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2.75">
      <c r="A376" s="19"/>
      <c r="B376" s="19"/>
      <c r="C376" s="16"/>
      <c r="D376" s="16"/>
      <c r="E376" s="16"/>
      <c r="F376" s="16"/>
      <c r="G376" s="16"/>
      <c r="H376" s="16"/>
      <c r="I376" s="16"/>
      <c r="J376" s="16"/>
      <c r="K376" s="16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2.75">
      <c r="A377" s="19"/>
      <c r="B377" s="19"/>
      <c r="C377" s="16"/>
      <c r="D377" s="16"/>
      <c r="E377" s="16"/>
      <c r="F377" s="16"/>
      <c r="G377" s="16"/>
      <c r="H377" s="16"/>
      <c r="I377" s="16"/>
      <c r="J377" s="16"/>
      <c r="K377" s="16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2.75">
      <c r="A378" s="19"/>
      <c r="B378" s="19"/>
      <c r="C378" s="16"/>
      <c r="D378" s="16"/>
      <c r="E378" s="16"/>
      <c r="F378" s="16"/>
      <c r="G378" s="16"/>
      <c r="H378" s="16"/>
      <c r="I378" s="16"/>
      <c r="J378" s="16"/>
      <c r="K378" s="16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2.75">
      <c r="A379" s="19"/>
      <c r="B379" s="19"/>
      <c r="C379" s="16"/>
      <c r="D379" s="16"/>
      <c r="E379" s="16"/>
      <c r="F379" s="16"/>
      <c r="G379" s="16"/>
      <c r="H379" s="16"/>
      <c r="I379" s="16"/>
      <c r="J379" s="16"/>
      <c r="K379" s="16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2.75">
      <c r="A380" s="19"/>
      <c r="B380" s="19"/>
      <c r="C380" s="16"/>
      <c r="D380" s="16"/>
      <c r="E380" s="16"/>
      <c r="F380" s="16"/>
      <c r="G380" s="16"/>
      <c r="H380" s="16"/>
      <c r="I380" s="16"/>
      <c r="J380" s="16"/>
      <c r="K380" s="16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2.75">
      <c r="A381" s="19"/>
      <c r="B381" s="19"/>
      <c r="C381" s="16"/>
      <c r="D381" s="16"/>
      <c r="E381" s="16"/>
      <c r="F381" s="16"/>
      <c r="G381" s="16"/>
      <c r="H381" s="16"/>
      <c r="I381" s="16"/>
      <c r="J381" s="16"/>
      <c r="K381" s="16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2.75">
      <c r="A382" s="19"/>
      <c r="B382" s="19"/>
      <c r="C382" s="16"/>
      <c r="D382" s="16"/>
      <c r="E382" s="16"/>
      <c r="F382" s="16"/>
      <c r="G382" s="16"/>
      <c r="H382" s="16"/>
      <c r="I382" s="16"/>
      <c r="J382" s="16"/>
      <c r="K382" s="16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2.75">
      <c r="A383" s="19"/>
      <c r="B383" s="19"/>
      <c r="C383" s="16"/>
      <c r="D383" s="16"/>
      <c r="E383" s="16"/>
      <c r="F383" s="16"/>
      <c r="G383" s="16"/>
      <c r="H383" s="16"/>
      <c r="I383" s="16"/>
      <c r="J383" s="16"/>
      <c r="K383" s="16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2.75">
      <c r="A384" s="19"/>
      <c r="B384" s="19"/>
      <c r="C384" s="16"/>
      <c r="D384" s="16"/>
      <c r="E384" s="16"/>
      <c r="F384" s="16"/>
      <c r="G384" s="16"/>
      <c r="H384" s="16"/>
      <c r="I384" s="16"/>
      <c r="J384" s="16"/>
      <c r="K384" s="16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2.75">
      <c r="A385" s="19"/>
      <c r="B385" s="19"/>
      <c r="C385" s="16"/>
      <c r="D385" s="16"/>
      <c r="E385" s="16"/>
      <c r="F385" s="16"/>
      <c r="G385" s="16"/>
      <c r="H385" s="16"/>
      <c r="I385" s="16"/>
      <c r="J385" s="16"/>
      <c r="K385" s="16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2.75">
      <c r="A386" s="19"/>
      <c r="B386" s="19"/>
      <c r="C386" s="16"/>
      <c r="D386" s="16"/>
      <c r="E386" s="16"/>
      <c r="F386" s="16"/>
      <c r="G386" s="16"/>
      <c r="H386" s="16"/>
      <c r="I386" s="16"/>
      <c r="J386" s="16"/>
      <c r="K386" s="16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2.75">
      <c r="A387" s="19"/>
      <c r="B387" s="19"/>
      <c r="C387" s="16"/>
      <c r="D387" s="16"/>
      <c r="E387" s="16"/>
      <c r="F387" s="16"/>
      <c r="G387" s="16"/>
      <c r="H387" s="16"/>
      <c r="I387" s="16"/>
      <c r="J387" s="16"/>
      <c r="K387" s="16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2.75">
      <c r="A388" s="19"/>
      <c r="B388" s="19"/>
      <c r="C388" s="16"/>
      <c r="D388" s="16"/>
      <c r="E388" s="16"/>
      <c r="F388" s="16"/>
      <c r="G388" s="16"/>
      <c r="H388" s="16"/>
      <c r="I388" s="16"/>
      <c r="J388" s="16"/>
      <c r="K388" s="16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2.75">
      <c r="A389" s="19"/>
      <c r="B389" s="19"/>
      <c r="C389" s="16"/>
      <c r="D389" s="16"/>
      <c r="E389" s="16"/>
      <c r="F389" s="16"/>
      <c r="G389" s="16"/>
      <c r="H389" s="16"/>
      <c r="I389" s="16"/>
      <c r="J389" s="16"/>
      <c r="K389" s="16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2.75">
      <c r="A390" s="19"/>
      <c r="B390" s="19"/>
      <c r="C390" s="16"/>
      <c r="D390" s="16"/>
      <c r="E390" s="16"/>
      <c r="F390" s="16"/>
      <c r="G390" s="16"/>
      <c r="H390" s="16"/>
      <c r="I390" s="16"/>
      <c r="J390" s="16"/>
      <c r="K390" s="16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2.75">
      <c r="A391" s="19"/>
      <c r="B391" s="19"/>
      <c r="C391" s="16"/>
      <c r="D391" s="16"/>
      <c r="E391" s="16"/>
      <c r="F391" s="16"/>
      <c r="G391" s="16"/>
      <c r="H391" s="16"/>
      <c r="I391" s="16"/>
      <c r="J391" s="16"/>
      <c r="K391" s="16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2.75">
      <c r="A392" s="19"/>
      <c r="B392" s="19"/>
      <c r="C392" s="16"/>
      <c r="D392" s="16"/>
      <c r="E392" s="16"/>
      <c r="F392" s="16"/>
      <c r="G392" s="16"/>
      <c r="H392" s="16"/>
      <c r="I392" s="16"/>
      <c r="J392" s="16"/>
      <c r="K392" s="16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spans="1:29" ht="12.75">
      <c r="A393" s="19"/>
      <c r="B393" s="19"/>
      <c r="C393" s="16"/>
      <c r="D393" s="16"/>
      <c r="E393" s="16"/>
      <c r="F393" s="16"/>
      <c r="G393" s="16"/>
      <c r="H393" s="16"/>
      <c r="I393" s="16"/>
      <c r="J393" s="16"/>
      <c r="K393" s="16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2.75">
      <c r="A394" s="19"/>
      <c r="B394" s="19"/>
      <c r="C394" s="16"/>
      <c r="D394" s="16"/>
      <c r="E394" s="16"/>
      <c r="F394" s="16"/>
      <c r="G394" s="16"/>
      <c r="H394" s="16"/>
      <c r="I394" s="16"/>
      <c r="J394" s="16"/>
      <c r="K394" s="16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2.75">
      <c r="A395" s="19"/>
      <c r="B395" s="19"/>
      <c r="C395" s="16"/>
      <c r="D395" s="16"/>
      <c r="E395" s="16"/>
      <c r="F395" s="16"/>
      <c r="G395" s="16"/>
      <c r="H395" s="16"/>
      <c r="I395" s="16"/>
      <c r="J395" s="16"/>
      <c r="K395" s="16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2.75">
      <c r="A396" s="19"/>
      <c r="B396" s="19"/>
      <c r="C396" s="16"/>
      <c r="D396" s="16"/>
      <c r="E396" s="16"/>
      <c r="F396" s="16"/>
      <c r="G396" s="16"/>
      <c r="H396" s="16"/>
      <c r="I396" s="16"/>
      <c r="J396" s="16"/>
      <c r="K396" s="16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2.75">
      <c r="A397" s="19"/>
      <c r="B397" s="19"/>
      <c r="C397" s="16"/>
      <c r="D397" s="16"/>
      <c r="E397" s="16"/>
      <c r="F397" s="16"/>
      <c r="G397" s="16"/>
      <c r="H397" s="16"/>
      <c r="I397" s="16"/>
      <c r="J397" s="16"/>
      <c r="K397" s="16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2.75">
      <c r="A398" s="19"/>
      <c r="B398" s="19"/>
      <c r="C398" s="16"/>
      <c r="D398" s="16"/>
      <c r="E398" s="16"/>
      <c r="F398" s="16"/>
      <c r="G398" s="16"/>
      <c r="H398" s="16"/>
      <c r="I398" s="16"/>
      <c r="J398" s="16"/>
      <c r="K398" s="16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2.75">
      <c r="A399" s="19"/>
      <c r="B399" s="19"/>
      <c r="C399" s="16"/>
      <c r="D399" s="16"/>
      <c r="E399" s="16"/>
      <c r="F399" s="16"/>
      <c r="G399" s="16"/>
      <c r="H399" s="16"/>
      <c r="I399" s="16"/>
      <c r="J399" s="16"/>
      <c r="K399" s="16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2.75">
      <c r="A400" s="19"/>
      <c r="B400" s="19"/>
      <c r="C400" s="16"/>
      <c r="D400" s="16"/>
      <c r="E400" s="16"/>
      <c r="F400" s="16"/>
      <c r="G400" s="16"/>
      <c r="H400" s="16"/>
      <c r="I400" s="16"/>
      <c r="J400" s="16"/>
      <c r="K400" s="16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2.75">
      <c r="A401" s="19"/>
      <c r="B401" s="19"/>
      <c r="C401" s="16"/>
      <c r="D401" s="16"/>
      <c r="E401" s="16"/>
      <c r="F401" s="16"/>
      <c r="G401" s="16"/>
      <c r="H401" s="16"/>
      <c r="I401" s="16"/>
      <c r="J401" s="16"/>
      <c r="K401" s="16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2.75">
      <c r="A402" s="19"/>
      <c r="B402" s="19"/>
      <c r="C402" s="16"/>
      <c r="D402" s="16"/>
      <c r="E402" s="16"/>
      <c r="F402" s="16"/>
      <c r="G402" s="16"/>
      <c r="H402" s="16"/>
      <c r="I402" s="16"/>
      <c r="J402" s="16"/>
      <c r="K402" s="16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2.75">
      <c r="A403" s="19"/>
      <c r="B403" s="19"/>
      <c r="C403" s="16"/>
      <c r="D403" s="16"/>
      <c r="E403" s="16"/>
      <c r="F403" s="16"/>
      <c r="G403" s="16"/>
      <c r="H403" s="16"/>
      <c r="I403" s="16"/>
      <c r="J403" s="16"/>
      <c r="K403" s="16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2.75">
      <c r="A404" s="19"/>
      <c r="B404" s="19"/>
      <c r="C404" s="16"/>
      <c r="D404" s="16"/>
      <c r="E404" s="16"/>
      <c r="F404" s="16"/>
      <c r="G404" s="16"/>
      <c r="H404" s="16"/>
      <c r="I404" s="16"/>
      <c r="J404" s="16"/>
      <c r="K404" s="16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2.75">
      <c r="A405" s="19"/>
      <c r="B405" s="19"/>
      <c r="C405" s="16"/>
      <c r="D405" s="16"/>
      <c r="E405" s="16"/>
      <c r="F405" s="16"/>
      <c r="G405" s="16"/>
      <c r="H405" s="16"/>
      <c r="I405" s="16"/>
      <c r="J405" s="16"/>
      <c r="K405" s="16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2.75">
      <c r="A406" s="19"/>
      <c r="B406" s="19"/>
      <c r="C406" s="16"/>
      <c r="D406" s="16"/>
      <c r="E406" s="16"/>
      <c r="F406" s="16"/>
      <c r="G406" s="16"/>
      <c r="H406" s="16"/>
      <c r="I406" s="16"/>
      <c r="J406" s="16"/>
      <c r="K406" s="16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2.75">
      <c r="A407" s="19"/>
      <c r="B407" s="19"/>
      <c r="C407" s="16"/>
      <c r="D407" s="16"/>
      <c r="E407" s="16"/>
      <c r="F407" s="16"/>
      <c r="G407" s="16"/>
      <c r="H407" s="16"/>
      <c r="I407" s="16"/>
      <c r="J407" s="16"/>
      <c r="K407" s="16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2.75">
      <c r="A408" s="19"/>
      <c r="B408" s="19"/>
      <c r="C408" s="16"/>
      <c r="D408" s="16"/>
      <c r="E408" s="16"/>
      <c r="F408" s="16"/>
      <c r="G408" s="16"/>
      <c r="H408" s="16"/>
      <c r="I408" s="16"/>
      <c r="J408" s="16"/>
      <c r="K408" s="16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2.75">
      <c r="A409" s="19"/>
      <c r="B409" s="19"/>
      <c r="C409" s="16"/>
      <c r="D409" s="16"/>
      <c r="E409" s="16"/>
      <c r="F409" s="16"/>
      <c r="G409" s="16"/>
      <c r="H409" s="16"/>
      <c r="I409" s="16"/>
      <c r="J409" s="16"/>
      <c r="K409" s="16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2.75">
      <c r="A410" s="19"/>
      <c r="B410" s="19"/>
      <c r="C410" s="16"/>
      <c r="D410" s="16"/>
      <c r="E410" s="16"/>
      <c r="F410" s="16"/>
      <c r="G410" s="16"/>
      <c r="H410" s="16"/>
      <c r="I410" s="16"/>
      <c r="J410" s="16"/>
      <c r="K410" s="16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2.75">
      <c r="A411" s="19"/>
      <c r="B411" s="19"/>
      <c r="C411" s="16"/>
      <c r="D411" s="16"/>
      <c r="E411" s="16"/>
      <c r="F411" s="16"/>
      <c r="G411" s="16"/>
      <c r="H411" s="16"/>
      <c r="I411" s="16"/>
      <c r="J411" s="16"/>
      <c r="K411" s="16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2.75">
      <c r="A412" s="19"/>
      <c r="B412" s="19"/>
      <c r="C412" s="16"/>
      <c r="D412" s="16"/>
      <c r="E412" s="16"/>
      <c r="F412" s="16"/>
      <c r="G412" s="16"/>
      <c r="H412" s="16"/>
      <c r="I412" s="16"/>
      <c r="J412" s="16"/>
      <c r="K412" s="16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2.75">
      <c r="A413" s="19"/>
      <c r="B413" s="19"/>
      <c r="C413" s="16"/>
      <c r="D413" s="16"/>
      <c r="E413" s="16"/>
      <c r="F413" s="16"/>
      <c r="G413" s="16"/>
      <c r="H413" s="16"/>
      <c r="I413" s="16"/>
      <c r="J413" s="16"/>
      <c r="K413" s="16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2.75">
      <c r="A414" s="19"/>
      <c r="B414" s="19"/>
      <c r="C414" s="16"/>
      <c r="D414" s="16"/>
      <c r="E414" s="16"/>
      <c r="F414" s="16"/>
      <c r="G414" s="16"/>
      <c r="H414" s="16"/>
      <c r="I414" s="16"/>
      <c r="J414" s="16"/>
      <c r="K414" s="16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2.75">
      <c r="A415" s="19"/>
      <c r="B415" s="19"/>
      <c r="C415" s="16"/>
      <c r="D415" s="16"/>
      <c r="E415" s="16"/>
      <c r="F415" s="16"/>
      <c r="G415" s="16"/>
      <c r="H415" s="16"/>
      <c r="I415" s="16"/>
      <c r="J415" s="16"/>
      <c r="K415" s="16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2.75">
      <c r="A416" s="19"/>
      <c r="B416" s="19"/>
      <c r="C416" s="16"/>
      <c r="D416" s="16"/>
      <c r="E416" s="16"/>
      <c r="F416" s="16"/>
      <c r="G416" s="16"/>
      <c r="H416" s="16"/>
      <c r="I416" s="16"/>
      <c r="J416" s="16"/>
      <c r="K416" s="16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2.75">
      <c r="A417" s="19"/>
      <c r="B417" s="19"/>
      <c r="C417" s="16"/>
      <c r="D417" s="16"/>
      <c r="E417" s="16"/>
      <c r="F417" s="16"/>
      <c r="G417" s="16"/>
      <c r="H417" s="16"/>
      <c r="I417" s="16"/>
      <c r="J417" s="16"/>
      <c r="K417" s="16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2.75">
      <c r="A418" s="19"/>
      <c r="B418" s="19"/>
      <c r="C418" s="16"/>
      <c r="D418" s="16"/>
      <c r="E418" s="16"/>
      <c r="F418" s="16"/>
      <c r="G418" s="16"/>
      <c r="H418" s="16"/>
      <c r="I418" s="16"/>
      <c r="J418" s="16"/>
      <c r="K418" s="16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2.75">
      <c r="A419" s="19"/>
      <c r="B419" s="19"/>
      <c r="C419" s="16"/>
      <c r="D419" s="16"/>
      <c r="E419" s="16"/>
      <c r="F419" s="16"/>
      <c r="G419" s="16"/>
      <c r="H419" s="16"/>
      <c r="I419" s="16"/>
      <c r="J419" s="16"/>
      <c r="K419" s="16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2.75">
      <c r="A420" s="19"/>
      <c r="B420" s="19"/>
      <c r="C420" s="16"/>
      <c r="D420" s="16"/>
      <c r="E420" s="16"/>
      <c r="F420" s="16"/>
      <c r="G420" s="16"/>
      <c r="H420" s="16"/>
      <c r="I420" s="16"/>
      <c r="J420" s="16"/>
      <c r="K420" s="16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2.75">
      <c r="A421" s="19"/>
      <c r="B421" s="19"/>
      <c r="C421" s="16"/>
      <c r="D421" s="16"/>
      <c r="E421" s="16"/>
      <c r="F421" s="16"/>
      <c r="G421" s="16"/>
      <c r="H421" s="16"/>
      <c r="I421" s="16"/>
      <c r="J421" s="16"/>
      <c r="K421" s="16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2.75">
      <c r="A422" s="19"/>
      <c r="B422" s="19"/>
      <c r="C422" s="16"/>
      <c r="D422" s="16"/>
      <c r="E422" s="16"/>
      <c r="F422" s="16"/>
      <c r="G422" s="16"/>
      <c r="H422" s="16"/>
      <c r="I422" s="16"/>
      <c r="J422" s="16"/>
      <c r="K422" s="16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2.75">
      <c r="A423" s="19"/>
      <c r="B423" s="19"/>
      <c r="C423" s="16"/>
      <c r="D423" s="16"/>
      <c r="E423" s="16"/>
      <c r="F423" s="16"/>
      <c r="G423" s="16"/>
      <c r="H423" s="16"/>
      <c r="I423" s="16"/>
      <c r="J423" s="16"/>
      <c r="K423" s="16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2.75">
      <c r="A424" s="19"/>
      <c r="B424" s="19"/>
      <c r="C424" s="16"/>
      <c r="D424" s="16"/>
      <c r="E424" s="16"/>
      <c r="F424" s="16"/>
      <c r="G424" s="16"/>
      <c r="H424" s="16"/>
      <c r="I424" s="16"/>
      <c r="J424" s="16"/>
      <c r="K424" s="16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2.75">
      <c r="A425" s="19"/>
      <c r="B425" s="19"/>
      <c r="C425" s="16"/>
      <c r="D425" s="16"/>
      <c r="E425" s="16"/>
      <c r="F425" s="16"/>
      <c r="G425" s="16"/>
      <c r="H425" s="16"/>
      <c r="I425" s="16"/>
      <c r="J425" s="16"/>
      <c r="K425" s="16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2.75">
      <c r="A426" s="19"/>
      <c r="B426" s="19"/>
      <c r="C426" s="16"/>
      <c r="D426" s="16"/>
      <c r="E426" s="16"/>
      <c r="F426" s="16"/>
      <c r="G426" s="16"/>
      <c r="H426" s="16"/>
      <c r="I426" s="16"/>
      <c r="J426" s="16"/>
      <c r="K426" s="16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2.75">
      <c r="A427" s="19"/>
      <c r="B427" s="19"/>
      <c r="C427" s="16"/>
      <c r="D427" s="16"/>
      <c r="E427" s="16"/>
      <c r="F427" s="16"/>
      <c r="G427" s="16"/>
      <c r="H427" s="16"/>
      <c r="I427" s="16"/>
      <c r="J427" s="16"/>
      <c r="K427" s="16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2.75">
      <c r="A428" s="19"/>
      <c r="B428" s="19"/>
      <c r="C428" s="16"/>
      <c r="D428" s="16"/>
      <c r="E428" s="16"/>
      <c r="F428" s="16"/>
      <c r="G428" s="16"/>
      <c r="H428" s="16"/>
      <c r="I428" s="16"/>
      <c r="J428" s="16"/>
      <c r="K428" s="16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2.75">
      <c r="A429" s="19"/>
      <c r="B429" s="19"/>
      <c r="C429" s="16"/>
      <c r="D429" s="16"/>
      <c r="E429" s="16"/>
      <c r="F429" s="16"/>
      <c r="G429" s="16"/>
      <c r="H429" s="16"/>
      <c r="I429" s="16"/>
      <c r="J429" s="16"/>
      <c r="K429" s="16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2.75">
      <c r="A430" s="19"/>
      <c r="B430" s="19"/>
      <c r="C430" s="16"/>
      <c r="D430" s="16"/>
      <c r="E430" s="16"/>
      <c r="F430" s="16"/>
      <c r="G430" s="16"/>
      <c r="H430" s="16"/>
      <c r="I430" s="16"/>
      <c r="J430" s="16"/>
      <c r="K430" s="16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2.75">
      <c r="A431" s="19"/>
      <c r="B431" s="19"/>
      <c r="C431" s="16"/>
      <c r="D431" s="16"/>
      <c r="E431" s="16"/>
      <c r="F431" s="16"/>
      <c r="G431" s="16"/>
      <c r="H431" s="16"/>
      <c r="I431" s="16"/>
      <c r="J431" s="16"/>
      <c r="K431" s="16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2.75">
      <c r="A432" s="19"/>
      <c r="B432" s="19"/>
      <c r="C432" s="16"/>
      <c r="D432" s="16"/>
      <c r="E432" s="16"/>
      <c r="F432" s="16"/>
      <c r="G432" s="16"/>
      <c r="H432" s="16"/>
      <c r="I432" s="16"/>
      <c r="J432" s="16"/>
      <c r="K432" s="16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2.75">
      <c r="A433" s="19"/>
      <c r="B433" s="19"/>
      <c r="C433" s="16"/>
      <c r="D433" s="16"/>
      <c r="E433" s="16"/>
      <c r="F433" s="16"/>
      <c r="G433" s="16"/>
      <c r="H433" s="16"/>
      <c r="I433" s="16"/>
      <c r="J433" s="16"/>
      <c r="K433" s="16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2.75">
      <c r="A434" s="19"/>
      <c r="B434" s="19"/>
      <c r="C434" s="16"/>
      <c r="D434" s="16"/>
      <c r="E434" s="16"/>
      <c r="F434" s="16"/>
      <c r="G434" s="16"/>
      <c r="H434" s="16"/>
      <c r="I434" s="16"/>
      <c r="J434" s="16"/>
      <c r="K434" s="16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2.75">
      <c r="A435" s="19"/>
      <c r="B435" s="19"/>
      <c r="C435" s="16"/>
      <c r="D435" s="16"/>
      <c r="E435" s="16"/>
      <c r="F435" s="16"/>
      <c r="G435" s="16"/>
      <c r="H435" s="16"/>
      <c r="I435" s="16"/>
      <c r="J435" s="16"/>
      <c r="K435" s="16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2.75">
      <c r="A436" s="19"/>
      <c r="B436" s="19"/>
      <c r="C436" s="16"/>
      <c r="D436" s="16"/>
      <c r="E436" s="16"/>
      <c r="F436" s="16"/>
      <c r="G436" s="16"/>
      <c r="H436" s="16"/>
      <c r="I436" s="16"/>
      <c r="J436" s="16"/>
      <c r="K436" s="16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2.75">
      <c r="A437" s="19"/>
      <c r="B437" s="19"/>
      <c r="C437" s="16"/>
      <c r="D437" s="16"/>
      <c r="E437" s="16"/>
      <c r="F437" s="16"/>
      <c r="G437" s="16"/>
      <c r="H437" s="16"/>
      <c r="I437" s="16"/>
      <c r="J437" s="16"/>
      <c r="K437" s="16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2.75">
      <c r="A438" s="19"/>
      <c r="B438" s="19"/>
      <c r="C438" s="16"/>
      <c r="D438" s="16"/>
      <c r="E438" s="16"/>
      <c r="F438" s="16"/>
      <c r="G438" s="16"/>
      <c r="H438" s="16"/>
      <c r="I438" s="16"/>
      <c r="J438" s="16"/>
      <c r="K438" s="16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2.75">
      <c r="A439" s="19"/>
      <c r="B439" s="19"/>
      <c r="C439" s="16"/>
      <c r="D439" s="16"/>
      <c r="E439" s="16"/>
      <c r="F439" s="16"/>
      <c r="G439" s="16"/>
      <c r="H439" s="16"/>
      <c r="I439" s="16"/>
      <c r="J439" s="16"/>
      <c r="K439" s="16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2.75">
      <c r="A440" s="19"/>
      <c r="B440" s="19"/>
      <c r="C440" s="16"/>
      <c r="D440" s="16"/>
      <c r="E440" s="16"/>
      <c r="F440" s="16"/>
      <c r="G440" s="16"/>
      <c r="H440" s="16"/>
      <c r="I440" s="16"/>
      <c r="J440" s="16"/>
      <c r="K440" s="16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12.75">
      <c r="A441" s="19"/>
      <c r="B441" s="19"/>
      <c r="C441" s="16"/>
      <c r="D441" s="16"/>
      <c r="E441" s="16"/>
      <c r="F441" s="16"/>
      <c r="G441" s="16"/>
      <c r="H441" s="16"/>
      <c r="I441" s="16"/>
      <c r="J441" s="16"/>
      <c r="K441" s="16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2.75">
      <c r="A442" s="19"/>
      <c r="B442" s="19"/>
      <c r="C442" s="16"/>
      <c r="D442" s="16"/>
      <c r="E442" s="16"/>
      <c r="F442" s="16"/>
      <c r="G442" s="16"/>
      <c r="H442" s="16"/>
      <c r="I442" s="16"/>
      <c r="J442" s="16"/>
      <c r="K442" s="16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2.75">
      <c r="A443" s="19"/>
      <c r="B443" s="19"/>
      <c r="C443" s="16"/>
      <c r="D443" s="16"/>
      <c r="E443" s="16"/>
      <c r="F443" s="16"/>
      <c r="G443" s="16"/>
      <c r="H443" s="16"/>
      <c r="I443" s="16"/>
      <c r="J443" s="16"/>
      <c r="K443" s="16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2.75">
      <c r="A444" s="19"/>
      <c r="B444" s="19"/>
      <c r="C444" s="16"/>
      <c r="D444" s="16"/>
      <c r="E444" s="16"/>
      <c r="F444" s="16"/>
      <c r="G444" s="16"/>
      <c r="H444" s="16"/>
      <c r="I444" s="16"/>
      <c r="J444" s="16"/>
      <c r="K444" s="16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2.75">
      <c r="A445" s="19"/>
      <c r="B445" s="19"/>
      <c r="C445" s="16"/>
      <c r="D445" s="16"/>
      <c r="E445" s="16"/>
      <c r="F445" s="16"/>
      <c r="G445" s="16"/>
      <c r="H445" s="16"/>
      <c r="I445" s="16"/>
      <c r="J445" s="16"/>
      <c r="K445" s="16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2.75">
      <c r="A446" s="19"/>
      <c r="B446" s="19"/>
      <c r="C446" s="16"/>
      <c r="D446" s="16"/>
      <c r="E446" s="16"/>
      <c r="F446" s="16"/>
      <c r="G446" s="16"/>
      <c r="H446" s="16"/>
      <c r="I446" s="16"/>
      <c r="J446" s="16"/>
      <c r="K446" s="16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2.75">
      <c r="A447" s="19"/>
      <c r="B447" s="19"/>
      <c r="C447" s="16"/>
      <c r="D447" s="16"/>
      <c r="E447" s="16"/>
      <c r="F447" s="16"/>
      <c r="G447" s="16"/>
      <c r="H447" s="16"/>
      <c r="I447" s="16"/>
      <c r="J447" s="16"/>
      <c r="K447" s="16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2.75">
      <c r="A448" s="19"/>
      <c r="B448" s="19"/>
      <c r="C448" s="16"/>
      <c r="D448" s="16"/>
      <c r="E448" s="16"/>
      <c r="F448" s="16"/>
      <c r="G448" s="16"/>
      <c r="H448" s="16"/>
      <c r="I448" s="16"/>
      <c r="J448" s="16"/>
      <c r="K448" s="16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2.75">
      <c r="A449" s="19"/>
      <c r="B449" s="19"/>
      <c r="C449" s="16"/>
      <c r="D449" s="16"/>
      <c r="E449" s="16"/>
      <c r="F449" s="16"/>
      <c r="G449" s="16"/>
      <c r="H449" s="16"/>
      <c r="I449" s="16"/>
      <c r="J449" s="16"/>
      <c r="K449" s="16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2.75">
      <c r="A450" s="19"/>
      <c r="B450" s="19"/>
      <c r="C450" s="16"/>
      <c r="D450" s="16"/>
      <c r="E450" s="16"/>
      <c r="F450" s="16"/>
      <c r="G450" s="16"/>
      <c r="H450" s="16"/>
      <c r="I450" s="16"/>
      <c r="J450" s="16"/>
      <c r="K450" s="16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2.75">
      <c r="A451" s="19"/>
      <c r="B451" s="19"/>
      <c r="C451" s="16"/>
      <c r="D451" s="16"/>
      <c r="E451" s="16"/>
      <c r="F451" s="16"/>
      <c r="G451" s="16"/>
      <c r="H451" s="16"/>
      <c r="I451" s="16"/>
      <c r="J451" s="16"/>
      <c r="K451" s="16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12.75">
      <c r="A452" s="19"/>
      <c r="B452" s="19"/>
      <c r="C452" s="16"/>
      <c r="D452" s="16"/>
      <c r="E452" s="16"/>
      <c r="F452" s="16"/>
      <c r="G452" s="16"/>
      <c r="H452" s="16"/>
      <c r="I452" s="16"/>
      <c r="J452" s="16"/>
      <c r="K452" s="16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2.75">
      <c r="A453" s="19"/>
      <c r="B453" s="19"/>
      <c r="C453" s="16"/>
      <c r="D453" s="16"/>
      <c r="E453" s="16"/>
      <c r="F453" s="16"/>
      <c r="G453" s="16"/>
      <c r="H453" s="16"/>
      <c r="I453" s="16"/>
      <c r="J453" s="16"/>
      <c r="K453" s="16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2.75">
      <c r="A454" s="19"/>
      <c r="B454" s="19"/>
      <c r="C454" s="16"/>
      <c r="D454" s="16"/>
      <c r="E454" s="16"/>
      <c r="F454" s="16"/>
      <c r="G454" s="16"/>
      <c r="H454" s="16"/>
      <c r="I454" s="16"/>
      <c r="J454" s="16"/>
      <c r="K454" s="16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2.75">
      <c r="A455" s="19"/>
      <c r="B455" s="19"/>
      <c r="C455" s="16"/>
      <c r="D455" s="16"/>
      <c r="E455" s="16"/>
      <c r="F455" s="16"/>
      <c r="G455" s="16"/>
      <c r="H455" s="16"/>
      <c r="I455" s="16"/>
      <c r="J455" s="16"/>
      <c r="K455" s="16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2.75">
      <c r="A456" s="19"/>
      <c r="B456" s="19"/>
      <c r="C456" s="16"/>
      <c r="D456" s="16"/>
      <c r="E456" s="16"/>
      <c r="F456" s="16"/>
      <c r="G456" s="16"/>
      <c r="H456" s="16"/>
      <c r="I456" s="16"/>
      <c r="J456" s="16"/>
      <c r="K456" s="16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2.75">
      <c r="A457" s="19"/>
      <c r="B457" s="19"/>
      <c r="C457" s="16"/>
      <c r="D457" s="16"/>
      <c r="E457" s="16"/>
      <c r="F457" s="16"/>
      <c r="G457" s="16"/>
      <c r="H457" s="16"/>
      <c r="I457" s="16"/>
      <c r="J457" s="16"/>
      <c r="K457" s="16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2.75">
      <c r="A458" s="19"/>
      <c r="B458" s="19"/>
      <c r="C458" s="16"/>
      <c r="D458" s="16"/>
      <c r="E458" s="16"/>
      <c r="F458" s="16"/>
      <c r="G458" s="16"/>
      <c r="H458" s="16"/>
      <c r="I458" s="16"/>
      <c r="J458" s="16"/>
      <c r="K458" s="16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2.75">
      <c r="A459" s="19"/>
      <c r="B459" s="19"/>
      <c r="C459" s="16"/>
      <c r="D459" s="16"/>
      <c r="E459" s="16"/>
      <c r="F459" s="16"/>
      <c r="G459" s="16"/>
      <c r="H459" s="16"/>
      <c r="I459" s="16"/>
      <c r="J459" s="16"/>
      <c r="K459" s="16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2.75">
      <c r="A460" s="19"/>
      <c r="B460" s="19"/>
      <c r="C460" s="16"/>
      <c r="D460" s="16"/>
      <c r="E460" s="16"/>
      <c r="F460" s="16"/>
      <c r="G460" s="16"/>
      <c r="H460" s="16"/>
      <c r="I460" s="16"/>
      <c r="J460" s="16"/>
      <c r="K460" s="16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2.75">
      <c r="A461" s="19"/>
      <c r="B461" s="19"/>
      <c r="C461" s="16"/>
      <c r="D461" s="16"/>
      <c r="E461" s="16"/>
      <c r="F461" s="16"/>
      <c r="G461" s="16"/>
      <c r="H461" s="16"/>
      <c r="I461" s="16"/>
      <c r="J461" s="16"/>
      <c r="K461" s="16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2.75">
      <c r="A462" s="19"/>
      <c r="B462" s="19"/>
      <c r="C462" s="16"/>
      <c r="D462" s="16"/>
      <c r="E462" s="16"/>
      <c r="F462" s="16"/>
      <c r="G462" s="16"/>
      <c r="H462" s="16"/>
      <c r="I462" s="16"/>
      <c r="J462" s="16"/>
      <c r="K462" s="16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2.75">
      <c r="A463" s="19"/>
      <c r="B463" s="19"/>
      <c r="C463" s="16"/>
      <c r="D463" s="16"/>
      <c r="E463" s="16"/>
      <c r="F463" s="16"/>
      <c r="G463" s="16"/>
      <c r="H463" s="16"/>
      <c r="I463" s="16"/>
      <c r="J463" s="16"/>
      <c r="K463" s="16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2.75">
      <c r="A464" s="19"/>
      <c r="B464" s="19"/>
      <c r="C464" s="16"/>
      <c r="D464" s="16"/>
      <c r="E464" s="16"/>
      <c r="F464" s="16"/>
      <c r="G464" s="16"/>
      <c r="H464" s="16"/>
      <c r="I464" s="16"/>
      <c r="J464" s="16"/>
      <c r="K464" s="16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2.75">
      <c r="A465" s="19"/>
      <c r="B465" s="19"/>
      <c r="C465" s="16"/>
      <c r="D465" s="16"/>
      <c r="E465" s="16"/>
      <c r="F465" s="16"/>
      <c r="G465" s="16"/>
      <c r="H465" s="16"/>
      <c r="I465" s="16"/>
      <c r="J465" s="16"/>
      <c r="K465" s="16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2.75">
      <c r="A466" s="19"/>
      <c r="B466" s="19"/>
      <c r="C466" s="16"/>
      <c r="D466" s="16"/>
      <c r="E466" s="16"/>
      <c r="F466" s="16"/>
      <c r="G466" s="16"/>
      <c r="H466" s="16"/>
      <c r="I466" s="16"/>
      <c r="J466" s="16"/>
      <c r="K466" s="16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2.75">
      <c r="A467" s="19"/>
      <c r="B467" s="19"/>
      <c r="C467" s="16"/>
      <c r="D467" s="16"/>
      <c r="E467" s="16"/>
      <c r="F467" s="16"/>
      <c r="G467" s="16"/>
      <c r="H467" s="16"/>
      <c r="I467" s="16"/>
      <c r="J467" s="16"/>
      <c r="K467" s="16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2.75">
      <c r="A468" s="19"/>
      <c r="B468" s="19"/>
      <c r="C468" s="16"/>
      <c r="D468" s="16"/>
      <c r="E468" s="16"/>
      <c r="F468" s="16"/>
      <c r="G468" s="16"/>
      <c r="H468" s="16"/>
      <c r="I468" s="16"/>
      <c r="J468" s="16"/>
      <c r="K468" s="16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2.75">
      <c r="A469" s="19"/>
      <c r="B469" s="19"/>
      <c r="C469" s="16"/>
      <c r="D469" s="16"/>
      <c r="E469" s="16"/>
      <c r="F469" s="16"/>
      <c r="G469" s="16"/>
      <c r="H469" s="16"/>
      <c r="I469" s="16"/>
      <c r="J469" s="16"/>
      <c r="K469" s="16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2.75">
      <c r="A470" s="19"/>
      <c r="B470" s="19"/>
      <c r="C470" s="16"/>
      <c r="D470" s="16"/>
      <c r="E470" s="16"/>
      <c r="F470" s="16"/>
      <c r="G470" s="16"/>
      <c r="H470" s="16"/>
      <c r="I470" s="16"/>
      <c r="J470" s="16"/>
      <c r="K470" s="16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2.75">
      <c r="A471" s="19"/>
      <c r="B471" s="19"/>
      <c r="C471" s="16"/>
      <c r="D471" s="16"/>
      <c r="E471" s="16"/>
      <c r="F471" s="16"/>
      <c r="G471" s="16"/>
      <c r="H471" s="16"/>
      <c r="I471" s="16"/>
      <c r="J471" s="16"/>
      <c r="K471" s="16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2.75">
      <c r="A472" s="19"/>
      <c r="B472" s="19"/>
      <c r="C472" s="16"/>
      <c r="D472" s="16"/>
      <c r="E472" s="16"/>
      <c r="F472" s="16"/>
      <c r="G472" s="16"/>
      <c r="H472" s="16"/>
      <c r="I472" s="16"/>
      <c r="J472" s="16"/>
      <c r="K472" s="16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2.75">
      <c r="A473" s="19"/>
      <c r="B473" s="19"/>
      <c r="C473" s="16"/>
      <c r="D473" s="16"/>
      <c r="E473" s="16"/>
      <c r="F473" s="16"/>
      <c r="G473" s="16"/>
      <c r="H473" s="16"/>
      <c r="I473" s="16"/>
      <c r="J473" s="16"/>
      <c r="K473" s="16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2.75">
      <c r="A474" s="19"/>
      <c r="B474" s="19"/>
      <c r="C474" s="16"/>
      <c r="D474" s="16"/>
      <c r="E474" s="16"/>
      <c r="F474" s="16"/>
      <c r="G474" s="16"/>
      <c r="H474" s="16"/>
      <c r="I474" s="16"/>
      <c r="J474" s="16"/>
      <c r="K474" s="16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2.75">
      <c r="A475" s="19"/>
      <c r="B475" s="19"/>
      <c r="C475" s="16"/>
      <c r="D475" s="16"/>
      <c r="E475" s="16"/>
      <c r="F475" s="16"/>
      <c r="G475" s="16"/>
      <c r="H475" s="16"/>
      <c r="I475" s="16"/>
      <c r="J475" s="16"/>
      <c r="K475" s="16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2.75">
      <c r="A476" s="19"/>
      <c r="B476" s="19"/>
      <c r="C476" s="16"/>
      <c r="D476" s="16"/>
      <c r="E476" s="16"/>
      <c r="F476" s="16"/>
      <c r="G476" s="16"/>
      <c r="H476" s="16"/>
      <c r="I476" s="16"/>
      <c r="J476" s="16"/>
      <c r="K476" s="16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2.75">
      <c r="A477" s="19"/>
      <c r="B477" s="19"/>
      <c r="C477" s="16"/>
      <c r="D477" s="16"/>
      <c r="E477" s="16"/>
      <c r="F477" s="16"/>
      <c r="G477" s="16"/>
      <c r="H477" s="16"/>
      <c r="I477" s="16"/>
      <c r="J477" s="16"/>
      <c r="K477" s="16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2.75">
      <c r="A478" s="19"/>
      <c r="B478" s="19"/>
      <c r="C478" s="16"/>
      <c r="D478" s="16"/>
      <c r="E478" s="16"/>
      <c r="F478" s="16"/>
      <c r="G478" s="16"/>
      <c r="H478" s="16"/>
      <c r="I478" s="16"/>
      <c r="J478" s="16"/>
      <c r="K478" s="16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2.75">
      <c r="A479" s="19"/>
      <c r="B479" s="19"/>
      <c r="C479" s="16"/>
      <c r="D479" s="16"/>
      <c r="E479" s="16"/>
      <c r="F479" s="16"/>
      <c r="G479" s="16"/>
      <c r="H479" s="16"/>
      <c r="I479" s="16"/>
      <c r="J479" s="16"/>
      <c r="K479" s="16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2.75">
      <c r="A480" s="19"/>
      <c r="B480" s="19"/>
      <c r="C480" s="16"/>
      <c r="D480" s="16"/>
      <c r="E480" s="16"/>
      <c r="F480" s="16"/>
      <c r="G480" s="16"/>
      <c r="H480" s="16"/>
      <c r="I480" s="16"/>
      <c r="J480" s="16"/>
      <c r="K480" s="16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2.75">
      <c r="A481" s="19"/>
      <c r="B481" s="19"/>
      <c r="C481" s="16"/>
      <c r="D481" s="16"/>
      <c r="E481" s="16"/>
      <c r="F481" s="16"/>
      <c r="G481" s="16"/>
      <c r="H481" s="16"/>
      <c r="I481" s="16"/>
      <c r="J481" s="16"/>
      <c r="K481" s="16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2.75">
      <c r="A482" s="19"/>
      <c r="B482" s="19"/>
      <c r="C482" s="16"/>
      <c r="D482" s="16"/>
      <c r="E482" s="16"/>
      <c r="F482" s="16"/>
      <c r="G482" s="16"/>
      <c r="H482" s="16"/>
      <c r="I482" s="16"/>
      <c r="J482" s="16"/>
      <c r="K482" s="16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2.75">
      <c r="A483" s="19"/>
      <c r="B483" s="19"/>
      <c r="C483" s="16"/>
      <c r="D483" s="16"/>
      <c r="E483" s="16"/>
      <c r="F483" s="16"/>
      <c r="G483" s="16"/>
      <c r="H483" s="16"/>
      <c r="I483" s="16"/>
      <c r="J483" s="16"/>
      <c r="K483" s="16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2.75">
      <c r="A484" s="19"/>
      <c r="B484" s="19"/>
      <c r="C484" s="16"/>
      <c r="D484" s="16"/>
      <c r="E484" s="16"/>
      <c r="F484" s="16"/>
      <c r="G484" s="16"/>
      <c r="H484" s="16"/>
      <c r="I484" s="16"/>
      <c r="J484" s="16"/>
      <c r="K484" s="16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2.75">
      <c r="A485" s="19"/>
      <c r="B485" s="19"/>
      <c r="C485" s="16"/>
      <c r="D485" s="16"/>
      <c r="E485" s="16"/>
      <c r="F485" s="16"/>
      <c r="G485" s="16"/>
      <c r="H485" s="16"/>
      <c r="I485" s="16"/>
      <c r="J485" s="16"/>
      <c r="K485" s="16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2.75">
      <c r="A486" s="19"/>
      <c r="B486" s="19"/>
      <c r="C486" s="16"/>
      <c r="D486" s="16"/>
      <c r="E486" s="16"/>
      <c r="F486" s="16"/>
      <c r="G486" s="16"/>
      <c r="H486" s="16"/>
      <c r="I486" s="16"/>
      <c r="J486" s="16"/>
      <c r="K486" s="16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2.75">
      <c r="A487" s="19"/>
      <c r="B487" s="19"/>
      <c r="C487" s="16"/>
      <c r="D487" s="16"/>
      <c r="E487" s="16"/>
      <c r="F487" s="16"/>
      <c r="G487" s="16"/>
      <c r="H487" s="16"/>
      <c r="I487" s="16"/>
      <c r="J487" s="16"/>
      <c r="K487" s="16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2.75">
      <c r="A488" s="19"/>
      <c r="B488" s="19"/>
      <c r="C488" s="16"/>
      <c r="D488" s="16"/>
      <c r="E488" s="16"/>
      <c r="F488" s="16"/>
      <c r="G488" s="16"/>
      <c r="H488" s="16"/>
      <c r="I488" s="16"/>
      <c r="J488" s="16"/>
      <c r="K488" s="16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2.75">
      <c r="A489" s="19"/>
      <c r="B489" s="19"/>
      <c r="C489" s="16"/>
      <c r="D489" s="16"/>
      <c r="E489" s="16"/>
      <c r="F489" s="16"/>
      <c r="G489" s="16"/>
      <c r="H489" s="16"/>
      <c r="I489" s="16"/>
      <c r="J489" s="16"/>
      <c r="K489" s="16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2.75">
      <c r="A490" s="19"/>
      <c r="B490" s="19"/>
      <c r="C490" s="16"/>
      <c r="D490" s="16"/>
      <c r="E490" s="16"/>
      <c r="F490" s="16"/>
      <c r="G490" s="16"/>
      <c r="H490" s="16"/>
      <c r="I490" s="16"/>
      <c r="J490" s="16"/>
      <c r="K490" s="16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2.75">
      <c r="A491" s="19"/>
      <c r="B491" s="19"/>
      <c r="C491" s="16"/>
      <c r="D491" s="16"/>
      <c r="E491" s="16"/>
      <c r="F491" s="16"/>
      <c r="G491" s="16"/>
      <c r="H491" s="16"/>
      <c r="I491" s="16"/>
      <c r="J491" s="16"/>
      <c r="K491" s="16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2.75">
      <c r="A492" s="19"/>
      <c r="B492" s="19"/>
      <c r="C492" s="16"/>
      <c r="D492" s="16"/>
      <c r="E492" s="16"/>
      <c r="F492" s="16"/>
      <c r="G492" s="16"/>
      <c r="H492" s="16"/>
      <c r="I492" s="16"/>
      <c r="J492" s="16"/>
      <c r="K492" s="16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2.75">
      <c r="A493" s="19"/>
      <c r="B493" s="19"/>
      <c r="C493" s="16"/>
      <c r="D493" s="16"/>
      <c r="E493" s="16"/>
      <c r="F493" s="16"/>
      <c r="G493" s="16"/>
      <c r="H493" s="16"/>
      <c r="I493" s="16"/>
      <c r="J493" s="16"/>
      <c r="K493" s="16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2.75">
      <c r="A494" s="19"/>
      <c r="B494" s="19"/>
      <c r="C494" s="16"/>
      <c r="D494" s="16"/>
      <c r="E494" s="16"/>
      <c r="F494" s="16"/>
      <c r="G494" s="16"/>
      <c r="H494" s="16"/>
      <c r="I494" s="16"/>
      <c r="J494" s="16"/>
      <c r="K494" s="16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2.75">
      <c r="A495" s="19"/>
      <c r="B495" s="19"/>
      <c r="C495" s="16"/>
      <c r="D495" s="16"/>
      <c r="E495" s="16"/>
      <c r="F495" s="16"/>
      <c r="G495" s="16"/>
      <c r="H495" s="16"/>
      <c r="I495" s="16"/>
      <c r="J495" s="16"/>
      <c r="K495" s="16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2.75">
      <c r="A496" s="19"/>
      <c r="B496" s="19"/>
      <c r="C496" s="16"/>
      <c r="D496" s="16"/>
      <c r="E496" s="16"/>
      <c r="F496" s="16"/>
      <c r="G496" s="16"/>
      <c r="H496" s="16"/>
      <c r="I496" s="16"/>
      <c r="J496" s="16"/>
      <c r="K496" s="16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2.75">
      <c r="A497" s="19"/>
      <c r="B497" s="19"/>
      <c r="C497" s="16"/>
      <c r="D497" s="16"/>
      <c r="E497" s="16"/>
      <c r="F497" s="16"/>
      <c r="G497" s="16"/>
      <c r="H497" s="16"/>
      <c r="I497" s="16"/>
      <c r="J497" s="16"/>
      <c r="K497" s="16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2.75">
      <c r="A498" s="19"/>
      <c r="B498" s="19"/>
      <c r="C498" s="16"/>
      <c r="D498" s="16"/>
      <c r="E498" s="16"/>
      <c r="F498" s="16"/>
      <c r="G498" s="16"/>
      <c r="H498" s="16"/>
      <c r="I498" s="16"/>
      <c r="J498" s="16"/>
      <c r="K498" s="16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2.75">
      <c r="A499" s="19"/>
      <c r="B499" s="19"/>
      <c r="C499" s="16"/>
      <c r="D499" s="16"/>
      <c r="E499" s="16"/>
      <c r="F499" s="16"/>
      <c r="G499" s="16"/>
      <c r="H499" s="16"/>
      <c r="I499" s="16"/>
      <c r="J499" s="16"/>
      <c r="K499" s="16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2.75">
      <c r="A500" s="19"/>
      <c r="B500" s="19"/>
      <c r="C500" s="16"/>
      <c r="D500" s="16"/>
      <c r="E500" s="16"/>
      <c r="F500" s="16"/>
      <c r="G500" s="16"/>
      <c r="H500" s="16"/>
      <c r="I500" s="16"/>
      <c r="J500" s="16"/>
      <c r="K500" s="16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2.75">
      <c r="A501" s="19"/>
      <c r="B501" s="19"/>
      <c r="C501" s="16"/>
      <c r="D501" s="16"/>
      <c r="E501" s="16"/>
      <c r="F501" s="16"/>
      <c r="G501" s="16"/>
      <c r="H501" s="16"/>
      <c r="I501" s="16"/>
      <c r="J501" s="16"/>
      <c r="K501" s="16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2.75">
      <c r="A502" s="19"/>
      <c r="B502" s="19"/>
      <c r="C502" s="16"/>
      <c r="D502" s="16"/>
      <c r="E502" s="16"/>
      <c r="F502" s="16"/>
      <c r="G502" s="16"/>
      <c r="H502" s="16"/>
      <c r="I502" s="16"/>
      <c r="J502" s="16"/>
      <c r="K502" s="16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2.75">
      <c r="A503" s="19"/>
      <c r="B503" s="19"/>
      <c r="C503" s="16"/>
      <c r="D503" s="16"/>
      <c r="E503" s="16"/>
      <c r="F503" s="16"/>
      <c r="G503" s="16"/>
      <c r="H503" s="16"/>
      <c r="I503" s="16"/>
      <c r="J503" s="16"/>
      <c r="K503" s="16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2.75">
      <c r="A504" s="19"/>
      <c r="B504" s="19"/>
      <c r="C504" s="16"/>
      <c r="D504" s="16"/>
      <c r="E504" s="16"/>
      <c r="F504" s="16"/>
      <c r="G504" s="16"/>
      <c r="H504" s="16"/>
      <c r="I504" s="16"/>
      <c r="J504" s="16"/>
      <c r="K504" s="16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2.75">
      <c r="A505" s="19"/>
      <c r="B505" s="19"/>
      <c r="C505" s="16"/>
      <c r="D505" s="16"/>
      <c r="E505" s="16"/>
      <c r="F505" s="16"/>
      <c r="G505" s="16"/>
      <c r="H505" s="16"/>
      <c r="I505" s="16"/>
      <c r="J505" s="16"/>
      <c r="K505" s="16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2.75">
      <c r="A506" s="19"/>
      <c r="B506" s="19"/>
      <c r="C506" s="16"/>
      <c r="D506" s="16"/>
      <c r="E506" s="16"/>
      <c r="F506" s="16"/>
      <c r="G506" s="16"/>
      <c r="H506" s="16"/>
      <c r="I506" s="16"/>
      <c r="J506" s="16"/>
      <c r="K506" s="16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2.75">
      <c r="A507" s="19"/>
      <c r="B507" s="19"/>
      <c r="C507" s="16"/>
      <c r="D507" s="16"/>
      <c r="E507" s="16"/>
      <c r="F507" s="16"/>
      <c r="G507" s="16"/>
      <c r="H507" s="16"/>
      <c r="I507" s="16"/>
      <c r="J507" s="16"/>
      <c r="K507" s="16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2.75">
      <c r="A508" s="19"/>
      <c r="B508" s="19"/>
      <c r="C508" s="16"/>
      <c r="D508" s="16"/>
      <c r="E508" s="16"/>
      <c r="F508" s="16"/>
      <c r="G508" s="16"/>
      <c r="H508" s="16"/>
      <c r="I508" s="16"/>
      <c r="J508" s="16"/>
      <c r="K508" s="16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2.75">
      <c r="A509" s="19"/>
      <c r="B509" s="19"/>
      <c r="C509" s="16"/>
      <c r="D509" s="16"/>
      <c r="E509" s="16"/>
      <c r="F509" s="16"/>
      <c r="G509" s="16"/>
      <c r="H509" s="16"/>
      <c r="I509" s="16"/>
      <c r="J509" s="16"/>
      <c r="K509" s="16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2.75">
      <c r="A510" s="19"/>
      <c r="B510" s="19"/>
      <c r="C510" s="16"/>
      <c r="D510" s="16"/>
      <c r="E510" s="16"/>
      <c r="F510" s="16"/>
      <c r="G510" s="16"/>
      <c r="H510" s="16"/>
      <c r="I510" s="16"/>
      <c r="J510" s="16"/>
      <c r="K510" s="16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2.75">
      <c r="A511" s="19"/>
      <c r="B511" s="19"/>
      <c r="C511" s="16"/>
      <c r="D511" s="16"/>
      <c r="E511" s="16"/>
      <c r="F511" s="16"/>
      <c r="G511" s="16"/>
      <c r="H511" s="16"/>
      <c r="I511" s="16"/>
      <c r="J511" s="16"/>
      <c r="K511" s="16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2.75">
      <c r="A512" s="19"/>
      <c r="B512" s="19"/>
      <c r="C512" s="16"/>
      <c r="D512" s="16"/>
      <c r="E512" s="16"/>
      <c r="F512" s="16"/>
      <c r="G512" s="16"/>
      <c r="H512" s="16"/>
      <c r="I512" s="16"/>
      <c r="J512" s="16"/>
      <c r="K512" s="16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2.75">
      <c r="A513" s="19"/>
      <c r="B513" s="19"/>
      <c r="C513" s="16"/>
      <c r="D513" s="16"/>
      <c r="E513" s="16"/>
      <c r="F513" s="16"/>
      <c r="G513" s="16"/>
      <c r="H513" s="16"/>
      <c r="I513" s="16"/>
      <c r="J513" s="16"/>
      <c r="K513" s="16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2.75">
      <c r="A514" s="19"/>
      <c r="B514" s="19"/>
      <c r="C514" s="16"/>
      <c r="D514" s="16"/>
      <c r="E514" s="16"/>
      <c r="F514" s="16"/>
      <c r="G514" s="16"/>
      <c r="H514" s="16"/>
      <c r="I514" s="16"/>
      <c r="J514" s="16"/>
      <c r="K514" s="16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2.75">
      <c r="A515" s="19"/>
      <c r="B515" s="19"/>
      <c r="C515" s="16"/>
      <c r="D515" s="16"/>
      <c r="E515" s="16"/>
      <c r="F515" s="16"/>
      <c r="G515" s="16"/>
      <c r="H515" s="16"/>
      <c r="I515" s="16"/>
      <c r="J515" s="16"/>
      <c r="K515" s="16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2.75">
      <c r="A516" s="19"/>
      <c r="B516" s="19"/>
      <c r="C516" s="16"/>
      <c r="D516" s="16"/>
      <c r="E516" s="16"/>
      <c r="F516" s="16"/>
      <c r="G516" s="16"/>
      <c r="H516" s="16"/>
      <c r="I516" s="16"/>
      <c r="J516" s="16"/>
      <c r="K516" s="16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2.75">
      <c r="A517" s="19"/>
      <c r="B517" s="19"/>
      <c r="C517" s="16"/>
      <c r="D517" s="16"/>
      <c r="E517" s="16"/>
      <c r="F517" s="16"/>
      <c r="G517" s="16"/>
      <c r="H517" s="16"/>
      <c r="I517" s="16"/>
      <c r="J517" s="16"/>
      <c r="K517" s="16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2.75">
      <c r="A518" s="19"/>
      <c r="B518" s="19"/>
      <c r="C518" s="16"/>
      <c r="D518" s="16"/>
      <c r="E518" s="16"/>
      <c r="F518" s="16"/>
      <c r="G518" s="16"/>
      <c r="H518" s="16"/>
      <c r="I518" s="16"/>
      <c r="J518" s="16"/>
      <c r="K518" s="16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2.75">
      <c r="A519" s="19"/>
      <c r="B519" s="19"/>
      <c r="C519" s="16"/>
      <c r="D519" s="16"/>
      <c r="E519" s="16"/>
      <c r="F519" s="16"/>
      <c r="G519" s="16"/>
      <c r="H519" s="16"/>
      <c r="I519" s="16"/>
      <c r="J519" s="16"/>
      <c r="K519" s="16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2.75">
      <c r="A520" s="19"/>
      <c r="B520" s="19"/>
      <c r="C520" s="16"/>
      <c r="D520" s="16"/>
      <c r="E520" s="16"/>
      <c r="F520" s="16"/>
      <c r="G520" s="16"/>
      <c r="H520" s="16"/>
      <c r="I520" s="16"/>
      <c r="J520" s="16"/>
      <c r="K520" s="16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2.75">
      <c r="A521" s="19"/>
      <c r="B521" s="19"/>
      <c r="C521" s="16"/>
      <c r="D521" s="16"/>
      <c r="E521" s="16"/>
      <c r="F521" s="16"/>
      <c r="G521" s="16"/>
      <c r="H521" s="16"/>
      <c r="I521" s="16"/>
      <c r="J521" s="16"/>
      <c r="K521" s="16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2.75">
      <c r="A522" s="19"/>
      <c r="B522" s="19"/>
      <c r="C522" s="16"/>
      <c r="D522" s="16"/>
      <c r="E522" s="16"/>
      <c r="F522" s="16"/>
      <c r="G522" s="16"/>
      <c r="H522" s="16"/>
      <c r="I522" s="16"/>
      <c r="J522" s="16"/>
      <c r="K522" s="16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2.75">
      <c r="A523" s="19"/>
      <c r="B523" s="19"/>
      <c r="C523" s="16"/>
      <c r="D523" s="16"/>
      <c r="E523" s="16"/>
      <c r="F523" s="16"/>
      <c r="G523" s="16"/>
      <c r="H523" s="16"/>
      <c r="I523" s="16"/>
      <c r="J523" s="16"/>
      <c r="K523" s="16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2.75">
      <c r="A524" s="19"/>
      <c r="B524" s="19"/>
      <c r="C524" s="16"/>
      <c r="D524" s="16"/>
      <c r="E524" s="16"/>
      <c r="F524" s="16"/>
      <c r="G524" s="16"/>
      <c r="H524" s="16"/>
      <c r="I524" s="16"/>
      <c r="J524" s="16"/>
      <c r="K524" s="16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2.75">
      <c r="A525" s="19"/>
      <c r="B525" s="19"/>
      <c r="C525" s="16"/>
      <c r="D525" s="16"/>
      <c r="E525" s="16"/>
      <c r="F525" s="16"/>
      <c r="G525" s="16"/>
      <c r="H525" s="16"/>
      <c r="I525" s="16"/>
      <c r="J525" s="16"/>
      <c r="K525" s="16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2.75">
      <c r="A526" s="19"/>
      <c r="B526" s="19"/>
      <c r="C526" s="16"/>
      <c r="D526" s="16"/>
      <c r="E526" s="16"/>
      <c r="F526" s="16"/>
      <c r="G526" s="16"/>
      <c r="H526" s="16"/>
      <c r="I526" s="16"/>
      <c r="J526" s="16"/>
      <c r="K526" s="16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2.75">
      <c r="A527" s="19"/>
      <c r="B527" s="19"/>
      <c r="C527" s="16"/>
      <c r="D527" s="16"/>
      <c r="E527" s="16"/>
      <c r="F527" s="16"/>
      <c r="G527" s="16"/>
      <c r="H527" s="16"/>
      <c r="I527" s="16"/>
      <c r="J527" s="16"/>
      <c r="K527" s="16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2.75">
      <c r="A528" s="19"/>
      <c r="B528" s="19"/>
      <c r="C528" s="16"/>
      <c r="D528" s="16"/>
      <c r="E528" s="16"/>
      <c r="F528" s="16"/>
      <c r="G528" s="16"/>
      <c r="H528" s="16"/>
      <c r="I528" s="16"/>
      <c r="J528" s="16"/>
      <c r="K528" s="16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2.75">
      <c r="A529" s="19"/>
      <c r="B529" s="19"/>
      <c r="C529" s="16"/>
      <c r="D529" s="16"/>
      <c r="E529" s="16"/>
      <c r="F529" s="16"/>
      <c r="G529" s="16"/>
      <c r="H529" s="16"/>
      <c r="I529" s="16"/>
      <c r="J529" s="16"/>
      <c r="K529" s="16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2.75">
      <c r="A530" s="19"/>
      <c r="B530" s="19"/>
      <c r="C530" s="16"/>
      <c r="D530" s="16"/>
      <c r="E530" s="16"/>
      <c r="F530" s="16"/>
      <c r="G530" s="16"/>
      <c r="H530" s="16"/>
      <c r="I530" s="16"/>
      <c r="J530" s="16"/>
      <c r="K530" s="16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2.75">
      <c r="A531" s="19"/>
      <c r="B531" s="19"/>
      <c r="C531" s="16"/>
      <c r="D531" s="16"/>
      <c r="E531" s="16"/>
      <c r="F531" s="16"/>
      <c r="G531" s="16"/>
      <c r="H531" s="16"/>
      <c r="I531" s="16"/>
      <c r="J531" s="16"/>
      <c r="K531" s="16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2.75">
      <c r="A532" s="19"/>
      <c r="B532" s="19"/>
      <c r="C532" s="16"/>
      <c r="D532" s="16"/>
      <c r="E532" s="16"/>
      <c r="F532" s="16"/>
      <c r="G532" s="16"/>
      <c r="H532" s="16"/>
      <c r="I532" s="16"/>
      <c r="J532" s="16"/>
      <c r="K532" s="16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2.75">
      <c r="A533" s="19"/>
      <c r="B533" s="19"/>
      <c r="C533" s="16"/>
      <c r="D533" s="16"/>
      <c r="E533" s="16"/>
      <c r="F533" s="16"/>
      <c r="G533" s="16"/>
      <c r="H533" s="16"/>
      <c r="I533" s="16"/>
      <c r="J533" s="16"/>
      <c r="K533" s="16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2.75">
      <c r="A534" s="19"/>
      <c r="B534" s="19"/>
      <c r="C534" s="16"/>
      <c r="D534" s="16"/>
      <c r="E534" s="16"/>
      <c r="F534" s="16"/>
      <c r="G534" s="16"/>
      <c r="H534" s="16"/>
      <c r="I534" s="16"/>
      <c r="J534" s="16"/>
      <c r="K534" s="16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2.75">
      <c r="A535" s="19"/>
      <c r="B535" s="19"/>
      <c r="C535" s="16"/>
      <c r="D535" s="16"/>
      <c r="E535" s="16"/>
      <c r="F535" s="16"/>
      <c r="G535" s="16"/>
      <c r="H535" s="16"/>
      <c r="I535" s="16"/>
      <c r="J535" s="16"/>
      <c r="K535" s="16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2.75">
      <c r="A536" s="19"/>
      <c r="B536" s="19"/>
      <c r="C536" s="16"/>
      <c r="D536" s="16"/>
      <c r="E536" s="16"/>
      <c r="F536" s="16"/>
      <c r="G536" s="16"/>
      <c r="H536" s="16"/>
      <c r="I536" s="16"/>
      <c r="J536" s="16"/>
      <c r="K536" s="16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2.75">
      <c r="A537" s="19"/>
      <c r="B537" s="19"/>
      <c r="C537" s="16"/>
      <c r="D537" s="16"/>
      <c r="E537" s="16"/>
      <c r="F537" s="16"/>
      <c r="G537" s="16"/>
      <c r="H537" s="16"/>
      <c r="I537" s="16"/>
      <c r="J537" s="16"/>
      <c r="K537" s="16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2.75">
      <c r="A538" s="19"/>
      <c r="B538" s="19"/>
      <c r="C538" s="16"/>
      <c r="D538" s="16"/>
      <c r="E538" s="16"/>
      <c r="F538" s="16"/>
      <c r="G538" s="16"/>
      <c r="H538" s="16"/>
      <c r="I538" s="16"/>
      <c r="J538" s="16"/>
      <c r="K538" s="16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2.75">
      <c r="A539" s="19"/>
      <c r="B539" s="19"/>
      <c r="C539" s="16"/>
      <c r="D539" s="16"/>
      <c r="E539" s="16"/>
      <c r="F539" s="16"/>
      <c r="G539" s="16"/>
      <c r="H539" s="16"/>
      <c r="I539" s="16"/>
      <c r="J539" s="16"/>
      <c r="K539" s="16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2.75">
      <c r="A540" s="19"/>
      <c r="B540" s="19"/>
      <c r="C540" s="16"/>
      <c r="D540" s="16"/>
      <c r="E540" s="16"/>
      <c r="F540" s="16"/>
      <c r="G540" s="16"/>
      <c r="H540" s="16"/>
      <c r="I540" s="16"/>
      <c r="J540" s="16"/>
      <c r="K540" s="16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2.75">
      <c r="A541" s="19"/>
      <c r="B541" s="19"/>
      <c r="C541" s="16"/>
      <c r="D541" s="16"/>
      <c r="E541" s="16"/>
      <c r="F541" s="16"/>
      <c r="G541" s="16"/>
      <c r="H541" s="16"/>
      <c r="I541" s="16"/>
      <c r="J541" s="16"/>
      <c r="K541" s="16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2.75">
      <c r="A542" s="19"/>
      <c r="B542" s="19"/>
      <c r="C542" s="16"/>
      <c r="D542" s="16"/>
      <c r="E542" s="16"/>
      <c r="F542" s="16"/>
      <c r="G542" s="16"/>
      <c r="H542" s="16"/>
      <c r="I542" s="16"/>
      <c r="J542" s="16"/>
      <c r="K542" s="16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2.75">
      <c r="A543" s="19"/>
      <c r="B543" s="19"/>
      <c r="C543" s="16"/>
      <c r="D543" s="16"/>
      <c r="E543" s="16"/>
      <c r="F543" s="16"/>
      <c r="G543" s="16"/>
      <c r="H543" s="16"/>
      <c r="I543" s="16"/>
      <c r="J543" s="16"/>
      <c r="K543" s="16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2.75">
      <c r="A544" s="19"/>
      <c r="B544" s="19"/>
      <c r="C544" s="16"/>
      <c r="D544" s="16"/>
      <c r="E544" s="16"/>
      <c r="F544" s="16"/>
      <c r="G544" s="16"/>
      <c r="H544" s="16"/>
      <c r="I544" s="16"/>
      <c r="J544" s="16"/>
      <c r="K544" s="16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2.75">
      <c r="A545" s="19"/>
      <c r="B545" s="19"/>
      <c r="C545" s="16"/>
      <c r="D545" s="16"/>
      <c r="E545" s="16"/>
      <c r="F545" s="16"/>
      <c r="G545" s="16"/>
      <c r="H545" s="16"/>
      <c r="I545" s="16"/>
      <c r="J545" s="16"/>
      <c r="K545" s="16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2.75">
      <c r="A546" s="19"/>
      <c r="B546" s="19"/>
      <c r="C546" s="16"/>
      <c r="D546" s="16"/>
      <c r="E546" s="16"/>
      <c r="F546" s="16"/>
      <c r="G546" s="16"/>
      <c r="H546" s="16"/>
      <c r="I546" s="16"/>
      <c r="J546" s="16"/>
      <c r="K546" s="16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2.75">
      <c r="A547" s="19"/>
      <c r="B547" s="19"/>
      <c r="C547" s="16"/>
      <c r="D547" s="16"/>
      <c r="E547" s="16"/>
      <c r="F547" s="16"/>
      <c r="G547" s="16"/>
      <c r="H547" s="16"/>
      <c r="I547" s="16"/>
      <c r="J547" s="16"/>
      <c r="K547" s="16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2.75">
      <c r="A548" s="19"/>
      <c r="B548" s="19"/>
      <c r="C548" s="16"/>
      <c r="D548" s="16"/>
      <c r="E548" s="16"/>
      <c r="F548" s="16"/>
      <c r="G548" s="16"/>
      <c r="H548" s="16"/>
      <c r="I548" s="16"/>
      <c r="J548" s="16"/>
      <c r="K548" s="16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2.75">
      <c r="A549" s="19"/>
      <c r="B549" s="19"/>
      <c r="C549" s="16"/>
      <c r="D549" s="16"/>
      <c r="E549" s="16"/>
      <c r="F549" s="16"/>
      <c r="G549" s="16"/>
      <c r="H549" s="16"/>
      <c r="I549" s="16"/>
      <c r="J549" s="16"/>
      <c r="K549" s="16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2.75">
      <c r="A550" s="19"/>
      <c r="B550" s="19"/>
      <c r="C550" s="16"/>
      <c r="D550" s="16"/>
      <c r="E550" s="16"/>
      <c r="F550" s="16"/>
      <c r="G550" s="16"/>
      <c r="H550" s="16"/>
      <c r="I550" s="16"/>
      <c r="J550" s="16"/>
      <c r="K550" s="16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2.75">
      <c r="A551" s="19"/>
      <c r="B551" s="19"/>
      <c r="C551" s="16"/>
      <c r="D551" s="16"/>
      <c r="E551" s="16"/>
      <c r="F551" s="16"/>
      <c r="G551" s="16"/>
      <c r="H551" s="16"/>
      <c r="I551" s="16"/>
      <c r="J551" s="16"/>
      <c r="K551" s="16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2.75">
      <c r="A552" s="19"/>
      <c r="B552" s="19"/>
      <c r="C552" s="16"/>
      <c r="D552" s="16"/>
      <c r="E552" s="16"/>
      <c r="F552" s="16"/>
      <c r="G552" s="16"/>
      <c r="H552" s="16"/>
      <c r="I552" s="16"/>
      <c r="J552" s="16"/>
      <c r="K552" s="16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2.75">
      <c r="A553" s="19"/>
      <c r="B553" s="19"/>
      <c r="C553" s="16"/>
      <c r="D553" s="16"/>
      <c r="E553" s="16"/>
      <c r="F553" s="16"/>
      <c r="G553" s="16"/>
      <c r="H553" s="16"/>
      <c r="I553" s="16"/>
      <c r="J553" s="16"/>
      <c r="K553" s="16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2.75">
      <c r="A554" s="19"/>
      <c r="B554" s="19"/>
      <c r="C554" s="16"/>
      <c r="D554" s="16"/>
      <c r="E554" s="16"/>
      <c r="F554" s="16"/>
      <c r="G554" s="16"/>
      <c r="H554" s="16"/>
      <c r="I554" s="16"/>
      <c r="J554" s="16"/>
      <c r="K554" s="16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2.75">
      <c r="A555" s="19"/>
      <c r="B555" s="19"/>
      <c r="C555" s="16"/>
      <c r="D555" s="16"/>
      <c r="E555" s="16"/>
      <c r="F555" s="16"/>
      <c r="G555" s="16"/>
      <c r="H555" s="16"/>
      <c r="I555" s="16"/>
      <c r="J555" s="16"/>
      <c r="K555" s="16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2.75">
      <c r="A556" s="19"/>
      <c r="B556" s="19"/>
      <c r="C556" s="16"/>
      <c r="D556" s="16"/>
      <c r="E556" s="16"/>
      <c r="F556" s="16"/>
      <c r="G556" s="16"/>
      <c r="H556" s="16"/>
      <c r="I556" s="16"/>
      <c r="J556" s="16"/>
      <c r="K556" s="16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2.75">
      <c r="A557" s="19"/>
      <c r="B557" s="19"/>
      <c r="C557" s="16"/>
      <c r="D557" s="16"/>
      <c r="E557" s="16"/>
      <c r="F557" s="16"/>
      <c r="G557" s="16"/>
      <c r="H557" s="16"/>
      <c r="I557" s="16"/>
      <c r="J557" s="16"/>
      <c r="K557" s="16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2.75">
      <c r="A558" s="19"/>
      <c r="B558" s="19"/>
      <c r="C558" s="16"/>
      <c r="D558" s="16"/>
      <c r="E558" s="16"/>
      <c r="F558" s="16"/>
      <c r="G558" s="16"/>
      <c r="H558" s="16"/>
      <c r="I558" s="16"/>
      <c r="J558" s="16"/>
      <c r="K558" s="16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2.75">
      <c r="A559" s="19"/>
      <c r="B559" s="19"/>
      <c r="C559" s="16"/>
      <c r="D559" s="16"/>
      <c r="E559" s="16"/>
      <c r="F559" s="16"/>
      <c r="G559" s="16"/>
      <c r="H559" s="16"/>
      <c r="I559" s="16"/>
      <c r="J559" s="16"/>
      <c r="K559" s="16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2.75">
      <c r="A560" s="19"/>
      <c r="B560" s="19"/>
      <c r="C560" s="16"/>
      <c r="D560" s="16"/>
      <c r="E560" s="16"/>
      <c r="F560" s="16"/>
      <c r="G560" s="16"/>
      <c r="H560" s="16"/>
      <c r="I560" s="16"/>
      <c r="J560" s="16"/>
      <c r="K560" s="16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2.75">
      <c r="A561" s="19"/>
      <c r="B561" s="19"/>
      <c r="C561" s="16"/>
      <c r="D561" s="16"/>
      <c r="E561" s="16"/>
      <c r="F561" s="16"/>
      <c r="G561" s="16"/>
      <c r="H561" s="16"/>
      <c r="I561" s="16"/>
      <c r="J561" s="16"/>
      <c r="K561" s="16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12.75">
      <c r="A562" s="19"/>
      <c r="B562" s="19"/>
      <c r="C562" s="16"/>
      <c r="D562" s="16"/>
      <c r="E562" s="16"/>
      <c r="F562" s="16"/>
      <c r="G562" s="16"/>
      <c r="H562" s="16"/>
      <c r="I562" s="16"/>
      <c r="J562" s="16"/>
      <c r="K562" s="16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2.75">
      <c r="A563" s="19"/>
      <c r="B563" s="19"/>
      <c r="C563" s="16"/>
      <c r="D563" s="16"/>
      <c r="E563" s="16"/>
      <c r="F563" s="16"/>
      <c r="G563" s="16"/>
      <c r="H563" s="16"/>
      <c r="I563" s="16"/>
      <c r="J563" s="16"/>
      <c r="K563" s="16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2.75">
      <c r="A564" s="19"/>
      <c r="B564" s="19"/>
      <c r="C564" s="16"/>
      <c r="D564" s="16"/>
      <c r="E564" s="16"/>
      <c r="F564" s="16"/>
      <c r="G564" s="16"/>
      <c r="H564" s="16"/>
      <c r="I564" s="16"/>
      <c r="J564" s="16"/>
      <c r="K564" s="16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2.75">
      <c r="A565" s="19"/>
      <c r="B565" s="19"/>
      <c r="C565" s="16"/>
      <c r="D565" s="16"/>
      <c r="E565" s="16"/>
      <c r="F565" s="16"/>
      <c r="G565" s="16"/>
      <c r="H565" s="16"/>
      <c r="I565" s="16"/>
      <c r="J565" s="16"/>
      <c r="K565" s="16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2.75">
      <c r="A566" s="19"/>
      <c r="B566" s="19"/>
      <c r="C566" s="16"/>
      <c r="D566" s="16"/>
      <c r="E566" s="16"/>
      <c r="F566" s="16"/>
      <c r="G566" s="16"/>
      <c r="H566" s="16"/>
      <c r="I566" s="16"/>
      <c r="J566" s="16"/>
      <c r="K566" s="16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2.75">
      <c r="A567" s="19"/>
      <c r="B567" s="19"/>
      <c r="C567" s="16"/>
      <c r="D567" s="16"/>
      <c r="E567" s="16"/>
      <c r="F567" s="16"/>
      <c r="G567" s="16"/>
      <c r="H567" s="16"/>
      <c r="I567" s="16"/>
      <c r="J567" s="16"/>
      <c r="K567" s="16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2.75">
      <c r="A568" s="19"/>
      <c r="B568" s="19"/>
      <c r="C568" s="16"/>
      <c r="D568" s="16"/>
      <c r="E568" s="16"/>
      <c r="F568" s="16"/>
      <c r="G568" s="16"/>
      <c r="H568" s="16"/>
      <c r="I568" s="16"/>
      <c r="J568" s="16"/>
      <c r="K568" s="16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2.75">
      <c r="A569" s="19"/>
      <c r="B569" s="19"/>
      <c r="C569" s="16"/>
      <c r="D569" s="16"/>
      <c r="E569" s="16"/>
      <c r="F569" s="16"/>
      <c r="G569" s="16"/>
      <c r="H569" s="16"/>
      <c r="I569" s="16"/>
      <c r="J569" s="16"/>
      <c r="K569" s="16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2.75">
      <c r="A570" s="19"/>
      <c r="B570" s="19"/>
      <c r="C570" s="16"/>
      <c r="D570" s="16"/>
      <c r="E570" s="16"/>
      <c r="F570" s="16"/>
      <c r="G570" s="16"/>
      <c r="H570" s="16"/>
      <c r="I570" s="16"/>
      <c r="J570" s="16"/>
      <c r="K570" s="16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2.75">
      <c r="A571" s="19"/>
      <c r="B571" s="19"/>
      <c r="C571" s="16"/>
      <c r="D571" s="16"/>
      <c r="E571" s="16"/>
      <c r="F571" s="16"/>
      <c r="G571" s="16"/>
      <c r="H571" s="16"/>
      <c r="I571" s="16"/>
      <c r="J571" s="16"/>
      <c r="K571" s="16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2.75">
      <c r="A572" s="19"/>
      <c r="B572" s="19"/>
      <c r="C572" s="16"/>
      <c r="D572" s="16"/>
      <c r="E572" s="16"/>
      <c r="F572" s="16"/>
      <c r="G572" s="16"/>
      <c r="H572" s="16"/>
      <c r="I572" s="16"/>
      <c r="J572" s="16"/>
      <c r="K572" s="16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2.75">
      <c r="A573" s="19"/>
      <c r="B573" s="19"/>
      <c r="C573" s="16"/>
      <c r="D573" s="16"/>
      <c r="E573" s="16"/>
      <c r="F573" s="16"/>
      <c r="G573" s="16"/>
      <c r="H573" s="16"/>
      <c r="I573" s="16"/>
      <c r="J573" s="16"/>
      <c r="K573" s="16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2.75">
      <c r="A574" s="19"/>
      <c r="B574" s="19"/>
      <c r="C574" s="16"/>
      <c r="D574" s="16"/>
      <c r="E574" s="16"/>
      <c r="F574" s="16"/>
      <c r="G574" s="16"/>
      <c r="H574" s="16"/>
      <c r="I574" s="16"/>
      <c r="J574" s="16"/>
      <c r="K574" s="16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2.75">
      <c r="A575" s="19"/>
      <c r="B575" s="19"/>
      <c r="C575" s="16"/>
      <c r="D575" s="16"/>
      <c r="E575" s="16"/>
      <c r="F575" s="16"/>
      <c r="G575" s="16"/>
      <c r="H575" s="16"/>
      <c r="I575" s="16"/>
      <c r="J575" s="16"/>
      <c r="K575" s="16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2.75">
      <c r="A576" s="19"/>
      <c r="B576" s="19"/>
      <c r="C576" s="16"/>
      <c r="D576" s="16"/>
      <c r="E576" s="16"/>
      <c r="F576" s="16"/>
      <c r="G576" s="16"/>
      <c r="H576" s="16"/>
      <c r="I576" s="16"/>
      <c r="J576" s="16"/>
      <c r="K576" s="16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2.75">
      <c r="A577" s="19"/>
      <c r="B577" s="19"/>
      <c r="C577" s="16"/>
      <c r="D577" s="16"/>
      <c r="E577" s="16"/>
      <c r="F577" s="16"/>
      <c r="G577" s="16"/>
      <c r="H577" s="16"/>
      <c r="I577" s="16"/>
      <c r="J577" s="16"/>
      <c r="K577" s="16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2.75">
      <c r="A578" s="19"/>
      <c r="B578" s="19"/>
      <c r="C578" s="16"/>
      <c r="D578" s="16"/>
      <c r="E578" s="16"/>
      <c r="F578" s="16"/>
      <c r="G578" s="16"/>
      <c r="H578" s="16"/>
      <c r="I578" s="16"/>
      <c r="J578" s="16"/>
      <c r="K578" s="16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2.75">
      <c r="A579" s="19"/>
      <c r="B579" s="19"/>
      <c r="C579" s="16"/>
      <c r="D579" s="16"/>
      <c r="E579" s="16"/>
      <c r="F579" s="16"/>
      <c r="G579" s="16"/>
      <c r="H579" s="16"/>
      <c r="I579" s="16"/>
      <c r="J579" s="16"/>
      <c r="K579" s="16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2.75">
      <c r="A580" s="19"/>
      <c r="B580" s="19"/>
      <c r="C580" s="16"/>
      <c r="D580" s="16"/>
      <c r="E580" s="16"/>
      <c r="F580" s="16"/>
      <c r="G580" s="16"/>
      <c r="H580" s="16"/>
      <c r="I580" s="16"/>
      <c r="J580" s="16"/>
      <c r="K580" s="16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2.75">
      <c r="A581" s="19"/>
      <c r="B581" s="19"/>
      <c r="C581" s="16"/>
      <c r="D581" s="16"/>
      <c r="E581" s="16"/>
      <c r="F581" s="16"/>
      <c r="G581" s="16"/>
      <c r="H581" s="16"/>
      <c r="I581" s="16"/>
      <c r="J581" s="16"/>
      <c r="K581" s="16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2.75">
      <c r="A582" s="19"/>
      <c r="B582" s="19"/>
      <c r="C582" s="16"/>
      <c r="D582" s="16"/>
      <c r="E582" s="16"/>
      <c r="F582" s="16"/>
      <c r="G582" s="16"/>
      <c r="H582" s="16"/>
      <c r="I582" s="16"/>
      <c r="J582" s="16"/>
      <c r="K582" s="16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2.75">
      <c r="A583" s="19"/>
      <c r="B583" s="19"/>
      <c r="C583" s="16"/>
      <c r="D583" s="16"/>
      <c r="E583" s="16"/>
      <c r="F583" s="16"/>
      <c r="G583" s="16"/>
      <c r="H583" s="16"/>
      <c r="I583" s="16"/>
      <c r="J583" s="16"/>
      <c r="K583" s="16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2.75">
      <c r="A584" s="19"/>
      <c r="B584" s="19"/>
      <c r="C584" s="16"/>
      <c r="D584" s="16"/>
      <c r="E584" s="16"/>
      <c r="F584" s="16"/>
      <c r="G584" s="16"/>
      <c r="H584" s="16"/>
      <c r="I584" s="16"/>
      <c r="J584" s="16"/>
      <c r="K584" s="16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2.75">
      <c r="A585" s="19"/>
      <c r="B585" s="19"/>
      <c r="C585" s="16"/>
      <c r="D585" s="16"/>
      <c r="E585" s="16"/>
      <c r="F585" s="16"/>
      <c r="G585" s="16"/>
      <c r="H585" s="16"/>
      <c r="I585" s="16"/>
      <c r="J585" s="16"/>
      <c r="K585" s="16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2.75">
      <c r="A586" s="19"/>
      <c r="B586" s="19"/>
      <c r="C586" s="16"/>
      <c r="D586" s="16"/>
      <c r="E586" s="16"/>
      <c r="F586" s="16"/>
      <c r="G586" s="16"/>
      <c r="H586" s="16"/>
      <c r="I586" s="16"/>
      <c r="J586" s="16"/>
      <c r="K586" s="16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2.75">
      <c r="A587" s="19"/>
      <c r="B587" s="19"/>
      <c r="C587" s="16"/>
      <c r="D587" s="16"/>
      <c r="E587" s="16"/>
      <c r="F587" s="16"/>
      <c r="G587" s="16"/>
      <c r="H587" s="16"/>
      <c r="I587" s="16"/>
      <c r="J587" s="16"/>
      <c r="K587" s="16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2.75">
      <c r="A588" s="19"/>
      <c r="B588" s="19"/>
      <c r="C588" s="16"/>
      <c r="D588" s="16"/>
      <c r="E588" s="16"/>
      <c r="F588" s="16"/>
      <c r="G588" s="16"/>
      <c r="H588" s="16"/>
      <c r="I588" s="16"/>
      <c r="J588" s="16"/>
      <c r="K588" s="16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2.75">
      <c r="A589" s="19"/>
      <c r="B589" s="19"/>
      <c r="C589" s="16"/>
      <c r="D589" s="16"/>
      <c r="E589" s="16"/>
      <c r="F589" s="16"/>
      <c r="G589" s="16"/>
      <c r="H589" s="16"/>
      <c r="I589" s="16"/>
      <c r="J589" s="16"/>
      <c r="K589" s="16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2.75">
      <c r="A590" s="19"/>
      <c r="B590" s="19"/>
      <c r="C590" s="16"/>
      <c r="D590" s="16"/>
      <c r="E590" s="16"/>
      <c r="F590" s="16"/>
      <c r="G590" s="16"/>
      <c r="H590" s="16"/>
      <c r="I590" s="16"/>
      <c r="J590" s="16"/>
      <c r="K590" s="16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2.75">
      <c r="A591" s="19"/>
      <c r="B591" s="19"/>
      <c r="C591" s="16"/>
      <c r="D591" s="16"/>
      <c r="E591" s="16"/>
      <c r="F591" s="16"/>
      <c r="G591" s="16"/>
      <c r="H591" s="16"/>
      <c r="I591" s="16"/>
      <c r="J591" s="16"/>
      <c r="K591" s="16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2.75">
      <c r="A592" s="19"/>
      <c r="B592" s="19"/>
      <c r="C592" s="16"/>
      <c r="D592" s="16"/>
      <c r="E592" s="16"/>
      <c r="F592" s="16"/>
      <c r="G592" s="16"/>
      <c r="H592" s="16"/>
      <c r="I592" s="16"/>
      <c r="J592" s="16"/>
      <c r="K592" s="16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2.75">
      <c r="A593" s="19"/>
      <c r="B593" s="19"/>
      <c r="C593" s="16"/>
      <c r="D593" s="16"/>
      <c r="E593" s="16"/>
      <c r="F593" s="16"/>
      <c r="G593" s="16"/>
      <c r="H593" s="16"/>
      <c r="I593" s="16"/>
      <c r="J593" s="16"/>
      <c r="K593" s="16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2.75">
      <c r="A594" s="19"/>
      <c r="B594" s="19"/>
      <c r="C594" s="16"/>
      <c r="D594" s="16"/>
      <c r="E594" s="16"/>
      <c r="F594" s="16"/>
      <c r="G594" s="16"/>
      <c r="H594" s="16"/>
      <c r="I594" s="16"/>
      <c r="J594" s="16"/>
      <c r="K594" s="16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2.75">
      <c r="A595" s="19"/>
      <c r="B595" s="19"/>
      <c r="C595" s="16"/>
      <c r="D595" s="16"/>
      <c r="E595" s="16"/>
      <c r="F595" s="16"/>
      <c r="G595" s="16"/>
      <c r="H595" s="16"/>
      <c r="I595" s="16"/>
      <c r="J595" s="16"/>
      <c r="K595" s="16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2.75">
      <c r="A596" s="19"/>
      <c r="B596" s="19"/>
      <c r="C596" s="16"/>
      <c r="D596" s="16"/>
      <c r="E596" s="16"/>
      <c r="F596" s="16"/>
      <c r="G596" s="16"/>
      <c r="H596" s="16"/>
      <c r="I596" s="16"/>
      <c r="J596" s="16"/>
      <c r="K596" s="16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2.75">
      <c r="A597" s="19"/>
      <c r="B597" s="19"/>
      <c r="C597" s="16"/>
      <c r="D597" s="16"/>
      <c r="E597" s="16"/>
      <c r="F597" s="16"/>
      <c r="G597" s="16"/>
      <c r="H597" s="16"/>
      <c r="I597" s="16"/>
      <c r="J597" s="16"/>
      <c r="K597" s="16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2.75">
      <c r="A598" s="19"/>
      <c r="B598" s="19"/>
      <c r="C598" s="16"/>
      <c r="D598" s="16"/>
      <c r="E598" s="16"/>
      <c r="F598" s="16"/>
      <c r="G598" s="16"/>
      <c r="H598" s="16"/>
      <c r="I598" s="16"/>
      <c r="J598" s="16"/>
      <c r="K598" s="16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2.75">
      <c r="A599" s="19"/>
      <c r="B599" s="19"/>
      <c r="C599" s="16"/>
      <c r="D599" s="16"/>
      <c r="E599" s="16"/>
      <c r="F599" s="16"/>
      <c r="G599" s="16"/>
      <c r="H599" s="16"/>
      <c r="I599" s="16"/>
      <c r="J599" s="16"/>
      <c r="K599" s="16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2.75">
      <c r="A600" s="19"/>
      <c r="B600" s="19"/>
      <c r="C600" s="16"/>
      <c r="D600" s="16"/>
      <c r="E600" s="16"/>
      <c r="F600" s="16"/>
      <c r="G600" s="16"/>
      <c r="H600" s="16"/>
      <c r="I600" s="16"/>
      <c r="J600" s="16"/>
      <c r="K600" s="16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2.75">
      <c r="A601" s="19"/>
      <c r="B601" s="19"/>
      <c r="C601" s="16"/>
      <c r="D601" s="16"/>
      <c r="E601" s="16"/>
      <c r="F601" s="16"/>
      <c r="G601" s="16"/>
      <c r="H601" s="16"/>
      <c r="I601" s="16"/>
      <c r="J601" s="16"/>
      <c r="K601" s="16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2.75">
      <c r="A602" s="19"/>
      <c r="B602" s="19"/>
      <c r="C602" s="16"/>
      <c r="D602" s="16"/>
      <c r="E602" s="16"/>
      <c r="F602" s="16"/>
      <c r="G602" s="16"/>
      <c r="H602" s="16"/>
      <c r="I602" s="16"/>
      <c r="J602" s="16"/>
      <c r="K602" s="16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2.75">
      <c r="A603" s="19"/>
      <c r="B603" s="19"/>
      <c r="C603" s="16"/>
      <c r="D603" s="16"/>
      <c r="E603" s="16"/>
      <c r="F603" s="16"/>
      <c r="G603" s="16"/>
      <c r="H603" s="16"/>
      <c r="I603" s="16"/>
      <c r="J603" s="16"/>
      <c r="K603" s="16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2.75">
      <c r="A604" s="19"/>
      <c r="B604" s="19"/>
      <c r="C604" s="16"/>
      <c r="D604" s="16"/>
      <c r="E604" s="16"/>
      <c r="F604" s="16"/>
      <c r="G604" s="16"/>
      <c r="H604" s="16"/>
      <c r="I604" s="16"/>
      <c r="J604" s="16"/>
      <c r="K604" s="16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2.75">
      <c r="A605" s="19"/>
      <c r="B605" s="19"/>
      <c r="C605" s="16"/>
      <c r="D605" s="16"/>
      <c r="E605" s="16"/>
      <c r="F605" s="16"/>
      <c r="G605" s="16"/>
      <c r="H605" s="16"/>
      <c r="I605" s="16"/>
      <c r="J605" s="16"/>
      <c r="K605" s="16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2.75">
      <c r="A606" s="19"/>
      <c r="B606" s="19"/>
      <c r="C606" s="16"/>
      <c r="D606" s="16"/>
      <c r="E606" s="16"/>
      <c r="F606" s="16"/>
      <c r="G606" s="16"/>
      <c r="H606" s="16"/>
      <c r="I606" s="16"/>
      <c r="J606" s="16"/>
      <c r="K606" s="16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2.75">
      <c r="A607" s="19"/>
      <c r="B607" s="19"/>
      <c r="C607" s="16"/>
      <c r="D607" s="16"/>
      <c r="E607" s="16"/>
      <c r="F607" s="16"/>
      <c r="G607" s="16"/>
      <c r="H607" s="16"/>
      <c r="I607" s="16"/>
      <c r="J607" s="16"/>
      <c r="K607" s="16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2.75">
      <c r="A608" s="19"/>
      <c r="B608" s="19"/>
      <c r="C608" s="16"/>
      <c r="D608" s="16"/>
      <c r="E608" s="16"/>
      <c r="F608" s="16"/>
      <c r="G608" s="16"/>
      <c r="H608" s="16"/>
      <c r="I608" s="16"/>
      <c r="J608" s="16"/>
      <c r="K608" s="16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2.75">
      <c r="A609" s="19"/>
      <c r="B609" s="19"/>
      <c r="C609" s="16"/>
      <c r="D609" s="16"/>
      <c r="E609" s="16"/>
      <c r="F609" s="16"/>
      <c r="G609" s="16"/>
      <c r="H609" s="16"/>
      <c r="I609" s="16"/>
      <c r="J609" s="16"/>
      <c r="K609" s="16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2.75">
      <c r="A610" s="19"/>
      <c r="B610" s="19"/>
      <c r="C610" s="16"/>
      <c r="D610" s="16"/>
      <c r="E610" s="16"/>
      <c r="F610" s="16"/>
      <c r="G610" s="16"/>
      <c r="H610" s="16"/>
      <c r="I610" s="16"/>
      <c r="J610" s="16"/>
      <c r="K610" s="16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2.75">
      <c r="A611" s="19"/>
      <c r="B611" s="19"/>
      <c r="C611" s="16"/>
      <c r="D611" s="16"/>
      <c r="E611" s="16"/>
      <c r="F611" s="16"/>
      <c r="G611" s="16"/>
      <c r="H611" s="16"/>
      <c r="I611" s="16"/>
      <c r="J611" s="16"/>
      <c r="K611" s="16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2.75">
      <c r="A612" s="19"/>
      <c r="B612" s="19"/>
      <c r="C612" s="16"/>
      <c r="D612" s="16"/>
      <c r="E612" s="16"/>
      <c r="F612" s="16"/>
      <c r="G612" s="16"/>
      <c r="H612" s="16"/>
      <c r="I612" s="16"/>
      <c r="J612" s="16"/>
      <c r="K612" s="16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2.75">
      <c r="A613" s="19"/>
      <c r="B613" s="19"/>
      <c r="C613" s="16"/>
      <c r="D613" s="16"/>
      <c r="E613" s="16"/>
      <c r="F613" s="16"/>
      <c r="G613" s="16"/>
      <c r="H613" s="16"/>
      <c r="I613" s="16"/>
      <c r="J613" s="16"/>
      <c r="K613" s="16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2.75">
      <c r="A614" s="19"/>
      <c r="B614" s="19"/>
      <c r="C614" s="16"/>
      <c r="D614" s="16"/>
      <c r="E614" s="16"/>
      <c r="F614" s="16"/>
      <c r="G614" s="16"/>
      <c r="H614" s="16"/>
      <c r="I614" s="16"/>
      <c r="J614" s="16"/>
      <c r="K614" s="16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2.75">
      <c r="A615" s="19"/>
      <c r="B615" s="19"/>
      <c r="C615" s="16"/>
      <c r="D615" s="16"/>
      <c r="E615" s="16"/>
      <c r="F615" s="16"/>
      <c r="G615" s="16"/>
      <c r="H615" s="16"/>
      <c r="I615" s="16"/>
      <c r="J615" s="16"/>
      <c r="K615" s="16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2.75">
      <c r="A616" s="19"/>
      <c r="B616" s="19"/>
      <c r="C616" s="16"/>
      <c r="D616" s="16"/>
      <c r="E616" s="16"/>
      <c r="F616" s="16"/>
      <c r="G616" s="16"/>
      <c r="H616" s="16"/>
      <c r="I616" s="16"/>
      <c r="J616" s="16"/>
      <c r="K616" s="16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2.75">
      <c r="A617" s="19"/>
      <c r="B617" s="19"/>
      <c r="C617" s="16"/>
      <c r="D617" s="16"/>
      <c r="E617" s="16"/>
      <c r="F617" s="16"/>
      <c r="G617" s="16"/>
      <c r="H617" s="16"/>
      <c r="I617" s="16"/>
      <c r="J617" s="16"/>
      <c r="K617" s="16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2.75">
      <c r="A618" s="19"/>
      <c r="B618" s="19"/>
      <c r="C618" s="16"/>
      <c r="D618" s="16"/>
      <c r="E618" s="16"/>
      <c r="F618" s="16"/>
      <c r="G618" s="16"/>
      <c r="H618" s="16"/>
      <c r="I618" s="16"/>
      <c r="J618" s="16"/>
      <c r="K618" s="16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2.75">
      <c r="A619" s="19"/>
      <c r="B619" s="19"/>
      <c r="C619" s="16"/>
      <c r="D619" s="16"/>
      <c r="E619" s="16"/>
      <c r="F619" s="16"/>
      <c r="G619" s="16"/>
      <c r="H619" s="16"/>
      <c r="I619" s="16"/>
      <c r="J619" s="16"/>
      <c r="K619" s="16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2.75">
      <c r="A620" s="19"/>
      <c r="B620" s="19"/>
      <c r="C620" s="16"/>
      <c r="D620" s="16"/>
      <c r="E620" s="16"/>
      <c r="F620" s="16"/>
      <c r="G620" s="16"/>
      <c r="H620" s="16"/>
      <c r="I620" s="16"/>
      <c r="J620" s="16"/>
      <c r="K620" s="16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2.75">
      <c r="A621" s="19"/>
      <c r="B621" s="19"/>
      <c r="C621" s="16"/>
      <c r="D621" s="16"/>
      <c r="E621" s="16"/>
      <c r="F621" s="16"/>
      <c r="G621" s="16"/>
      <c r="H621" s="16"/>
      <c r="I621" s="16"/>
      <c r="J621" s="16"/>
      <c r="K621" s="16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2.75">
      <c r="A622" s="19"/>
      <c r="B622" s="19"/>
      <c r="C622" s="16"/>
      <c r="D622" s="16"/>
      <c r="E622" s="16"/>
      <c r="F622" s="16"/>
      <c r="G622" s="16"/>
      <c r="H622" s="16"/>
      <c r="I622" s="16"/>
      <c r="J622" s="16"/>
      <c r="K622" s="16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2.75">
      <c r="A623" s="19"/>
      <c r="B623" s="19"/>
      <c r="C623" s="16"/>
      <c r="D623" s="16"/>
      <c r="E623" s="16"/>
      <c r="F623" s="16"/>
      <c r="G623" s="16"/>
      <c r="H623" s="16"/>
      <c r="I623" s="16"/>
      <c r="J623" s="16"/>
      <c r="K623" s="16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2.75">
      <c r="A624" s="19"/>
      <c r="B624" s="19"/>
      <c r="C624" s="16"/>
      <c r="D624" s="16"/>
      <c r="E624" s="16"/>
      <c r="F624" s="16"/>
      <c r="G624" s="16"/>
      <c r="H624" s="16"/>
      <c r="I624" s="16"/>
      <c r="J624" s="16"/>
      <c r="K624" s="16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12.75">
      <c r="A625" s="19"/>
      <c r="B625" s="19"/>
      <c r="C625" s="16"/>
      <c r="D625" s="16"/>
      <c r="E625" s="16"/>
      <c r="F625" s="16"/>
      <c r="G625" s="16"/>
      <c r="H625" s="16"/>
      <c r="I625" s="16"/>
      <c r="J625" s="16"/>
      <c r="K625" s="16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2.75">
      <c r="A626" s="19"/>
      <c r="B626" s="19"/>
      <c r="C626" s="16"/>
      <c r="D626" s="16"/>
      <c r="E626" s="16"/>
      <c r="F626" s="16"/>
      <c r="G626" s="16"/>
      <c r="H626" s="16"/>
      <c r="I626" s="16"/>
      <c r="J626" s="16"/>
      <c r="K626" s="16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2.75">
      <c r="A627" s="19"/>
      <c r="B627" s="19"/>
      <c r="C627" s="16"/>
      <c r="D627" s="16"/>
      <c r="E627" s="16"/>
      <c r="F627" s="16"/>
      <c r="G627" s="16"/>
      <c r="H627" s="16"/>
      <c r="I627" s="16"/>
      <c r="J627" s="16"/>
      <c r="K627" s="16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2.75">
      <c r="A628" s="19"/>
      <c r="B628" s="19"/>
      <c r="C628" s="16"/>
      <c r="D628" s="16"/>
      <c r="E628" s="16"/>
      <c r="F628" s="16"/>
      <c r="G628" s="16"/>
      <c r="H628" s="16"/>
      <c r="I628" s="16"/>
      <c r="J628" s="16"/>
      <c r="K628" s="16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2.75">
      <c r="A629" s="19"/>
      <c r="B629" s="19"/>
      <c r="C629" s="16"/>
      <c r="D629" s="16"/>
      <c r="E629" s="16"/>
      <c r="F629" s="16"/>
      <c r="G629" s="16"/>
      <c r="H629" s="16"/>
      <c r="I629" s="16"/>
      <c r="J629" s="16"/>
      <c r="K629" s="16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2.75">
      <c r="A630" s="19"/>
      <c r="B630" s="19"/>
      <c r="C630" s="16"/>
      <c r="D630" s="16"/>
      <c r="E630" s="16"/>
      <c r="F630" s="16"/>
      <c r="G630" s="16"/>
      <c r="H630" s="16"/>
      <c r="I630" s="16"/>
      <c r="J630" s="16"/>
      <c r="K630" s="16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2.75">
      <c r="A631" s="19"/>
      <c r="B631" s="19"/>
      <c r="C631" s="16"/>
      <c r="D631" s="16"/>
      <c r="E631" s="16"/>
      <c r="F631" s="16"/>
      <c r="G631" s="16"/>
      <c r="H631" s="16"/>
      <c r="I631" s="16"/>
      <c r="J631" s="16"/>
      <c r="K631" s="16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2.75">
      <c r="A632" s="19"/>
      <c r="B632" s="19"/>
      <c r="C632" s="16"/>
      <c r="D632" s="16"/>
      <c r="E632" s="16"/>
      <c r="F632" s="16"/>
      <c r="G632" s="16"/>
      <c r="H632" s="16"/>
      <c r="I632" s="16"/>
      <c r="J632" s="16"/>
      <c r="K632" s="16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2.75">
      <c r="A633" s="19"/>
      <c r="B633" s="19"/>
      <c r="C633" s="16"/>
      <c r="D633" s="16"/>
      <c r="E633" s="16"/>
      <c r="F633" s="16"/>
      <c r="G633" s="16"/>
      <c r="H633" s="16"/>
      <c r="I633" s="16"/>
      <c r="J633" s="16"/>
      <c r="K633" s="16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2.75">
      <c r="A634" s="19"/>
      <c r="B634" s="19"/>
      <c r="C634" s="16"/>
      <c r="D634" s="16"/>
      <c r="E634" s="16"/>
      <c r="F634" s="16"/>
      <c r="G634" s="16"/>
      <c r="H634" s="16"/>
      <c r="I634" s="16"/>
      <c r="J634" s="16"/>
      <c r="K634" s="16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2.75">
      <c r="A635" s="19"/>
      <c r="B635" s="19"/>
      <c r="C635" s="16"/>
      <c r="D635" s="16"/>
      <c r="E635" s="16"/>
      <c r="F635" s="16"/>
      <c r="G635" s="16"/>
      <c r="H635" s="16"/>
      <c r="I635" s="16"/>
      <c r="J635" s="16"/>
      <c r="K635" s="16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2.75">
      <c r="A636" s="19"/>
      <c r="B636" s="19"/>
      <c r="C636" s="16"/>
      <c r="D636" s="16"/>
      <c r="E636" s="16"/>
      <c r="F636" s="16"/>
      <c r="G636" s="16"/>
      <c r="H636" s="16"/>
      <c r="I636" s="16"/>
      <c r="J636" s="16"/>
      <c r="K636" s="16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2.75">
      <c r="A637" s="19"/>
      <c r="B637" s="19"/>
      <c r="C637" s="16"/>
      <c r="D637" s="16"/>
      <c r="E637" s="16"/>
      <c r="F637" s="16"/>
      <c r="G637" s="16"/>
      <c r="H637" s="16"/>
      <c r="I637" s="16"/>
      <c r="J637" s="16"/>
      <c r="K637" s="16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2.75">
      <c r="A638" s="19"/>
      <c r="B638" s="19"/>
      <c r="C638" s="16"/>
      <c r="D638" s="16"/>
      <c r="E638" s="16"/>
      <c r="F638" s="16"/>
      <c r="G638" s="16"/>
      <c r="H638" s="16"/>
      <c r="I638" s="16"/>
      <c r="J638" s="16"/>
      <c r="K638" s="16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2.75">
      <c r="A639" s="19"/>
      <c r="B639" s="19"/>
      <c r="C639" s="16"/>
      <c r="D639" s="16"/>
      <c r="E639" s="16"/>
      <c r="F639" s="16"/>
      <c r="G639" s="16"/>
      <c r="H639" s="16"/>
      <c r="I639" s="16"/>
      <c r="J639" s="16"/>
      <c r="K639" s="16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2.75">
      <c r="A640" s="19"/>
      <c r="B640" s="19"/>
      <c r="C640" s="16"/>
      <c r="D640" s="16"/>
      <c r="E640" s="16"/>
      <c r="F640" s="16"/>
      <c r="G640" s="16"/>
      <c r="H640" s="16"/>
      <c r="I640" s="16"/>
      <c r="J640" s="16"/>
      <c r="K640" s="16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2.75">
      <c r="A641" s="19"/>
      <c r="B641" s="19"/>
      <c r="C641" s="16"/>
      <c r="D641" s="16"/>
      <c r="E641" s="16"/>
      <c r="F641" s="16"/>
      <c r="G641" s="16"/>
      <c r="H641" s="16"/>
      <c r="I641" s="16"/>
      <c r="J641" s="16"/>
      <c r="K641" s="16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2.75">
      <c r="A642" s="19"/>
      <c r="B642" s="19"/>
      <c r="C642" s="16"/>
      <c r="D642" s="16"/>
      <c r="E642" s="16"/>
      <c r="F642" s="16"/>
      <c r="G642" s="16"/>
      <c r="H642" s="16"/>
      <c r="I642" s="16"/>
      <c r="J642" s="16"/>
      <c r="K642" s="16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2.75">
      <c r="A643" s="19"/>
      <c r="B643" s="19"/>
      <c r="C643" s="16"/>
      <c r="D643" s="16"/>
      <c r="E643" s="16"/>
      <c r="F643" s="16"/>
      <c r="G643" s="16"/>
      <c r="H643" s="16"/>
      <c r="I643" s="16"/>
      <c r="J643" s="16"/>
      <c r="K643" s="16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2.75">
      <c r="A644" s="19"/>
      <c r="B644" s="19"/>
      <c r="C644" s="16"/>
      <c r="D644" s="16"/>
      <c r="E644" s="16"/>
      <c r="F644" s="16"/>
      <c r="G644" s="16"/>
      <c r="H644" s="16"/>
      <c r="I644" s="16"/>
      <c r="J644" s="16"/>
      <c r="K644" s="16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2.75">
      <c r="A645" s="19"/>
      <c r="B645" s="19"/>
      <c r="C645" s="16"/>
      <c r="D645" s="16"/>
      <c r="E645" s="16"/>
      <c r="F645" s="16"/>
      <c r="G645" s="16"/>
      <c r="H645" s="16"/>
      <c r="I645" s="16"/>
      <c r="J645" s="16"/>
      <c r="K645" s="16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2.75">
      <c r="A646" s="19"/>
      <c r="B646" s="19"/>
      <c r="C646" s="16"/>
      <c r="D646" s="16"/>
      <c r="E646" s="16"/>
      <c r="F646" s="16"/>
      <c r="G646" s="16"/>
      <c r="H646" s="16"/>
      <c r="I646" s="16"/>
      <c r="J646" s="16"/>
      <c r="K646" s="16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2.75">
      <c r="A647" s="19"/>
      <c r="B647" s="19"/>
      <c r="C647" s="16"/>
      <c r="D647" s="16"/>
      <c r="E647" s="16"/>
      <c r="F647" s="16"/>
      <c r="G647" s="16"/>
      <c r="H647" s="16"/>
      <c r="I647" s="16"/>
      <c r="J647" s="16"/>
      <c r="K647" s="16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2.75">
      <c r="A648" s="19"/>
      <c r="B648" s="19"/>
      <c r="C648" s="16"/>
      <c r="D648" s="16"/>
      <c r="E648" s="16"/>
      <c r="F648" s="16"/>
      <c r="G648" s="16"/>
      <c r="H648" s="16"/>
      <c r="I648" s="16"/>
      <c r="J648" s="16"/>
      <c r="K648" s="16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2.75">
      <c r="A649" s="19"/>
      <c r="B649" s="19"/>
      <c r="C649" s="16"/>
      <c r="D649" s="16"/>
      <c r="E649" s="16"/>
      <c r="F649" s="16"/>
      <c r="G649" s="16"/>
      <c r="H649" s="16"/>
      <c r="I649" s="16"/>
      <c r="J649" s="16"/>
      <c r="K649" s="16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2.75">
      <c r="A650" s="19"/>
      <c r="B650" s="19"/>
      <c r="C650" s="16"/>
      <c r="D650" s="16"/>
      <c r="E650" s="16"/>
      <c r="F650" s="16"/>
      <c r="G650" s="16"/>
      <c r="H650" s="16"/>
      <c r="I650" s="16"/>
      <c r="J650" s="16"/>
      <c r="K650" s="16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2.75">
      <c r="A651" s="19"/>
      <c r="B651" s="19"/>
      <c r="C651" s="16"/>
      <c r="D651" s="16"/>
      <c r="E651" s="16"/>
      <c r="F651" s="16"/>
      <c r="G651" s="16"/>
      <c r="H651" s="16"/>
      <c r="I651" s="16"/>
      <c r="J651" s="16"/>
      <c r="K651" s="16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2.75">
      <c r="A652" s="19"/>
      <c r="B652" s="19"/>
      <c r="C652" s="16"/>
      <c r="D652" s="16"/>
      <c r="E652" s="16"/>
      <c r="F652" s="16"/>
      <c r="G652" s="16"/>
      <c r="H652" s="16"/>
      <c r="I652" s="16"/>
      <c r="J652" s="16"/>
      <c r="K652" s="16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12.75">
      <c r="A653" s="19"/>
      <c r="B653" s="19"/>
      <c r="C653" s="16"/>
      <c r="D653" s="16"/>
      <c r="E653" s="16"/>
      <c r="F653" s="16"/>
      <c r="G653" s="16"/>
      <c r="H653" s="16"/>
      <c r="I653" s="16"/>
      <c r="J653" s="16"/>
      <c r="K653" s="16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2.75">
      <c r="A654" s="19"/>
      <c r="B654" s="19"/>
      <c r="C654" s="16"/>
      <c r="D654" s="16"/>
      <c r="E654" s="16"/>
      <c r="F654" s="16"/>
      <c r="G654" s="16"/>
      <c r="H654" s="16"/>
      <c r="I654" s="16"/>
      <c r="J654" s="16"/>
      <c r="K654" s="16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2.75">
      <c r="A655" s="19"/>
      <c r="B655" s="19"/>
      <c r="C655" s="16"/>
      <c r="D655" s="16"/>
      <c r="E655" s="16"/>
      <c r="F655" s="16"/>
      <c r="G655" s="16"/>
      <c r="H655" s="16"/>
      <c r="I655" s="16"/>
      <c r="J655" s="16"/>
      <c r="K655" s="16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2.75">
      <c r="A656" s="19"/>
      <c r="B656" s="19"/>
      <c r="C656" s="16"/>
      <c r="D656" s="16"/>
      <c r="E656" s="16"/>
      <c r="F656" s="16"/>
      <c r="G656" s="16"/>
      <c r="H656" s="16"/>
      <c r="I656" s="16"/>
      <c r="J656" s="16"/>
      <c r="K656" s="16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2.75">
      <c r="A657" s="19"/>
      <c r="B657" s="19"/>
      <c r="C657" s="16"/>
      <c r="D657" s="16"/>
      <c r="E657" s="16"/>
      <c r="F657" s="16"/>
      <c r="G657" s="16"/>
      <c r="H657" s="16"/>
      <c r="I657" s="16"/>
      <c r="J657" s="16"/>
      <c r="K657" s="16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2.75">
      <c r="A658" s="19"/>
      <c r="B658" s="19"/>
      <c r="C658" s="16"/>
      <c r="D658" s="16"/>
      <c r="E658" s="16"/>
      <c r="F658" s="16"/>
      <c r="G658" s="16"/>
      <c r="H658" s="16"/>
      <c r="I658" s="16"/>
      <c r="J658" s="16"/>
      <c r="K658" s="16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2.75">
      <c r="A659" s="19"/>
      <c r="B659" s="19"/>
      <c r="C659" s="16"/>
      <c r="D659" s="16"/>
      <c r="E659" s="16"/>
      <c r="F659" s="16"/>
      <c r="G659" s="16"/>
      <c r="H659" s="16"/>
      <c r="I659" s="16"/>
      <c r="J659" s="16"/>
      <c r="K659" s="16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2.75">
      <c r="A660" s="19"/>
      <c r="B660" s="19"/>
      <c r="C660" s="16"/>
      <c r="D660" s="16"/>
      <c r="E660" s="16"/>
      <c r="F660" s="16"/>
      <c r="G660" s="16"/>
      <c r="H660" s="16"/>
      <c r="I660" s="16"/>
      <c r="J660" s="16"/>
      <c r="K660" s="16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2.75">
      <c r="A661" s="19"/>
      <c r="B661" s="19"/>
      <c r="C661" s="16"/>
      <c r="D661" s="16"/>
      <c r="E661" s="16"/>
      <c r="F661" s="16"/>
      <c r="G661" s="16"/>
      <c r="H661" s="16"/>
      <c r="I661" s="16"/>
      <c r="J661" s="16"/>
      <c r="K661" s="16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2.75">
      <c r="A662" s="19"/>
      <c r="B662" s="19"/>
      <c r="C662" s="16"/>
      <c r="D662" s="16"/>
      <c r="E662" s="16"/>
      <c r="F662" s="16"/>
      <c r="G662" s="16"/>
      <c r="H662" s="16"/>
      <c r="I662" s="16"/>
      <c r="J662" s="16"/>
      <c r="K662" s="16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2.75">
      <c r="A663" s="19"/>
      <c r="B663" s="19"/>
      <c r="C663" s="16"/>
      <c r="D663" s="16"/>
      <c r="E663" s="16"/>
      <c r="F663" s="16"/>
      <c r="G663" s="16"/>
      <c r="H663" s="16"/>
      <c r="I663" s="16"/>
      <c r="J663" s="16"/>
      <c r="K663" s="16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2.75">
      <c r="A664" s="19"/>
      <c r="B664" s="19"/>
      <c r="C664" s="16"/>
      <c r="D664" s="16"/>
      <c r="E664" s="16"/>
      <c r="F664" s="16"/>
      <c r="G664" s="16"/>
      <c r="H664" s="16"/>
      <c r="I664" s="16"/>
      <c r="J664" s="16"/>
      <c r="K664" s="16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2.75">
      <c r="A665" s="19"/>
      <c r="B665" s="19"/>
      <c r="C665" s="16"/>
      <c r="D665" s="16"/>
      <c r="E665" s="16"/>
      <c r="F665" s="16"/>
      <c r="G665" s="16"/>
      <c r="H665" s="16"/>
      <c r="I665" s="16"/>
      <c r="J665" s="16"/>
      <c r="K665" s="16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2.75">
      <c r="A666" s="19"/>
      <c r="B666" s="19"/>
      <c r="C666" s="16"/>
      <c r="D666" s="16"/>
      <c r="E666" s="16"/>
      <c r="F666" s="16"/>
      <c r="G666" s="16"/>
      <c r="H666" s="16"/>
      <c r="I666" s="16"/>
      <c r="J666" s="16"/>
      <c r="K666" s="16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2.75">
      <c r="A667" s="19"/>
      <c r="B667" s="19"/>
      <c r="C667" s="16"/>
      <c r="D667" s="16"/>
      <c r="E667" s="16"/>
      <c r="F667" s="16"/>
      <c r="G667" s="16"/>
      <c r="H667" s="16"/>
      <c r="I667" s="16"/>
      <c r="J667" s="16"/>
      <c r="K667" s="16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2.75">
      <c r="A668" s="19"/>
      <c r="B668" s="19"/>
      <c r="C668" s="16"/>
      <c r="D668" s="16"/>
      <c r="E668" s="16"/>
      <c r="F668" s="16"/>
      <c r="G668" s="16"/>
      <c r="H668" s="16"/>
      <c r="I668" s="16"/>
      <c r="J668" s="16"/>
      <c r="K668" s="16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2.75">
      <c r="A669" s="19"/>
      <c r="B669" s="19"/>
      <c r="C669" s="16"/>
      <c r="D669" s="16"/>
      <c r="E669" s="16"/>
      <c r="F669" s="16"/>
      <c r="G669" s="16"/>
      <c r="H669" s="16"/>
      <c r="I669" s="16"/>
      <c r="J669" s="16"/>
      <c r="K669" s="16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2.75">
      <c r="A670" s="19"/>
      <c r="B670" s="19"/>
      <c r="C670" s="16"/>
      <c r="D670" s="16"/>
      <c r="E670" s="16"/>
      <c r="F670" s="16"/>
      <c r="G670" s="16"/>
      <c r="H670" s="16"/>
      <c r="I670" s="16"/>
      <c r="J670" s="16"/>
      <c r="K670" s="16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2.75">
      <c r="A671" s="19"/>
      <c r="B671" s="19"/>
      <c r="C671" s="16"/>
      <c r="D671" s="16"/>
      <c r="E671" s="16"/>
      <c r="F671" s="16"/>
      <c r="G671" s="16"/>
      <c r="H671" s="16"/>
      <c r="I671" s="16"/>
      <c r="J671" s="16"/>
      <c r="K671" s="16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2.75">
      <c r="A672" s="19"/>
      <c r="B672" s="19"/>
      <c r="C672" s="16"/>
      <c r="D672" s="16"/>
      <c r="E672" s="16"/>
      <c r="F672" s="16"/>
      <c r="G672" s="16"/>
      <c r="H672" s="16"/>
      <c r="I672" s="16"/>
      <c r="J672" s="16"/>
      <c r="K672" s="16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2.75">
      <c r="A673" s="19"/>
      <c r="B673" s="19"/>
      <c r="C673" s="16"/>
      <c r="D673" s="16"/>
      <c r="E673" s="16"/>
      <c r="F673" s="16"/>
      <c r="G673" s="16"/>
      <c r="H673" s="16"/>
      <c r="I673" s="16"/>
      <c r="J673" s="16"/>
      <c r="K673" s="16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2.75">
      <c r="A674" s="19"/>
      <c r="B674" s="19"/>
      <c r="C674" s="16"/>
      <c r="D674" s="16"/>
      <c r="E674" s="16"/>
      <c r="F674" s="16"/>
      <c r="G674" s="16"/>
      <c r="H674" s="16"/>
      <c r="I674" s="16"/>
      <c r="J674" s="16"/>
      <c r="K674" s="16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2.75">
      <c r="A675" s="19"/>
      <c r="B675" s="19"/>
      <c r="C675" s="16"/>
      <c r="D675" s="16"/>
      <c r="E675" s="16"/>
      <c r="F675" s="16"/>
      <c r="G675" s="16"/>
      <c r="H675" s="16"/>
      <c r="I675" s="16"/>
      <c r="J675" s="16"/>
      <c r="K675" s="16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2.75">
      <c r="A676" s="19"/>
      <c r="B676" s="19"/>
      <c r="C676" s="16"/>
      <c r="D676" s="16"/>
      <c r="E676" s="16"/>
      <c r="F676" s="16"/>
      <c r="G676" s="16"/>
      <c r="H676" s="16"/>
      <c r="I676" s="16"/>
      <c r="J676" s="16"/>
      <c r="K676" s="16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2.75">
      <c r="A677" s="19"/>
      <c r="B677" s="19"/>
      <c r="C677" s="16"/>
      <c r="D677" s="16"/>
      <c r="E677" s="16"/>
      <c r="F677" s="16"/>
      <c r="G677" s="16"/>
      <c r="H677" s="16"/>
      <c r="I677" s="16"/>
      <c r="J677" s="16"/>
      <c r="K677" s="16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2.75">
      <c r="A678" s="19"/>
      <c r="B678" s="19"/>
      <c r="C678" s="16"/>
      <c r="D678" s="16"/>
      <c r="E678" s="16"/>
      <c r="F678" s="16"/>
      <c r="G678" s="16"/>
      <c r="H678" s="16"/>
      <c r="I678" s="16"/>
      <c r="J678" s="16"/>
      <c r="K678" s="16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2.75">
      <c r="A679" s="19"/>
      <c r="B679" s="19"/>
      <c r="C679" s="16"/>
      <c r="D679" s="16"/>
      <c r="E679" s="16"/>
      <c r="F679" s="16"/>
      <c r="G679" s="16"/>
      <c r="H679" s="16"/>
      <c r="I679" s="16"/>
      <c r="J679" s="16"/>
      <c r="K679" s="16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2.75">
      <c r="A680" s="19"/>
      <c r="B680" s="19"/>
      <c r="C680" s="16"/>
      <c r="D680" s="16"/>
      <c r="E680" s="16"/>
      <c r="F680" s="16"/>
      <c r="G680" s="16"/>
      <c r="H680" s="16"/>
      <c r="I680" s="16"/>
      <c r="J680" s="16"/>
      <c r="K680" s="16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2.75">
      <c r="A681" s="19"/>
      <c r="B681" s="19"/>
      <c r="C681" s="16"/>
      <c r="D681" s="16"/>
      <c r="E681" s="16"/>
      <c r="F681" s="16"/>
      <c r="G681" s="16"/>
      <c r="H681" s="16"/>
      <c r="I681" s="16"/>
      <c r="J681" s="16"/>
      <c r="K681" s="16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2.75">
      <c r="A682" s="19"/>
      <c r="B682" s="19"/>
      <c r="C682" s="16"/>
      <c r="D682" s="16"/>
      <c r="E682" s="16"/>
      <c r="F682" s="16"/>
      <c r="G682" s="16"/>
      <c r="H682" s="16"/>
      <c r="I682" s="16"/>
      <c r="J682" s="16"/>
      <c r="K682" s="16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2.75">
      <c r="A683" s="19"/>
      <c r="B683" s="19"/>
      <c r="C683" s="16"/>
      <c r="D683" s="16"/>
      <c r="E683" s="16"/>
      <c r="F683" s="16"/>
      <c r="G683" s="16"/>
      <c r="H683" s="16"/>
      <c r="I683" s="16"/>
      <c r="J683" s="16"/>
      <c r="K683" s="16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2.75">
      <c r="A684" s="19"/>
      <c r="B684" s="19"/>
      <c r="C684" s="16"/>
      <c r="D684" s="16"/>
      <c r="E684" s="16"/>
      <c r="F684" s="16"/>
      <c r="G684" s="16"/>
      <c r="H684" s="16"/>
      <c r="I684" s="16"/>
      <c r="J684" s="16"/>
      <c r="K684" s="16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2.75">
      <c r="A685" s="19"/>
      <c r="B685" s="19"/>
      <c r="C685" s="16"/>
      <c r="D685" s="16"/>
      <c r="E685" s="16"/>
      <c r="F685" s="16"/>
      <c r="G685" s="16"/>
      <c r="H685" s="16"/>
      <c r="I685" s="16"/>
      <c r="J685" s="16"/>
      <c r="K685" s="16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2.75">
      <c r="A686" s="19"/>
      <c r="B686" s="19"/>
      <c r="C686" s="16"/>
      <c r="D686" s="16"/>
      <c r="E686" s="16"/>
      <c r="F686" s="16"/>
      <c r="G686" s="16"/>
      <c r="H686" s="16"/>
      <c r="I686" s="16"/>
      <c r="J686" s="16"/>
      <c r="K686" s="16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2.75">
      <c r="A687" s="19"/>
      <c r="B687" s="19"/>
      <c r="C687" s="16"/>
      <c r="D687" s="16"/>
      <c r="E687" s="16"/>
      <c r="F687" s="16"/>
      <c r="G687" s="16"/>
      <c r="H687" s="16"/>
      <c r="I687" s="16"/>
      <c r="J687" s="16"/>
      <c r="K687" s="16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2.75">
      <c r="A688" s="19"/>
      <c r="B688" s="19"/>
      <c r="C688" s="16"/>
      <c r="D688" s="16"/>
      <c r="E688" s="16"/>
      <c r="F688" s="16"/>
      <c r="G688" s="16"/>
      <c r="H688" s="16"/>
      <c r="I688" s="16"/>
      <c r="J688" s="16"/>
      <c r="K688" s="16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2.75">
      <c r="A689" s="19"/>
      <c r="B689" s="19"/>
      <c r="C689" s="16"/>
      <c r="D689" s="16"/>
      <c r="E689" s="16"/>
      <c r="F689" s="16"/>
      <c r="G689" s="16"/>
      <c r="H689" s="16"/>
      <c r="I689" s="16"/>
      <c r="J689" s="16"/>
      <c r="K689" s="16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2.75">
      <c r="A690" s="19"/>
      <c r="B690" s="19"/>
      <c r="C690" s="16"/>
      <c r="D690" s="16"/>
      <c r="E690" s="16"/>
      <c r="F690" s="16"/>
      <c r="G690" s="16"/>
      <c r="H690" s="16"/>
      <c r="I690" s="16"/>
      <c r="J690" s="16"/>
      <c r="K690" s="16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2.75">
      <c r="A691" s="19"/>
      <c r="B691" s="19"/>
      <c r="C691" s="16"/>
      <c r="D691" s="16"/>
      <c r="E691" s="16"/>
      <c r="F691" s="16"/>
      <c r="G691" s="16"/>
      <c r="H691" s="16"/>
      <c r="I691" s="16"/>
      <c r="J691" s="16"/>
      <c r="K691" s="16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2.75">
      <c r="A692" s="19"/>
      <c r="B692" s="19"/>
      <c r="C692" s="16"/>
      <c r="D692" s="16"/>
      <c r="E692" s="16"/>
      <c r="F692" s="16"/>
      <c r="G692" s="16"/>
      <c r="H692" s="16"/>
      <c r="I692" s="16"/>
      <c r="J692" s="16"/>
      <c r="K692" s="16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2.75">
      <c r="A693" s="19"/>
      <c r="B693" s="19"/>
      <c r="C693" s="16"/>
      <c r="D693" s="16"/>
      <c r="E693" s="16"/>
      <c r="F693" s="16"/>
      <c r="G693" s="16"/>
      <c r="H693" s="16"/>
      <c r="I693" s="16"/>
      <c r="J693" s="16"/>
      <c r="K693" s="16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2.75">
      <c r="A694" s="19"/>
      <c r="B694" s="19"/>
      <c r="C694" s="16"/>
      <c r="D694" s="16"/>
      <c r="E694" s="16"/>
      <c r="F694" s="16"/>
      <c r="G694" s="16"/>
      <c r="H694" s="16"/>
      <c r="I694" s="16"/>
      <c r="J694" s="16"/>
      <c r="K694" s="16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2.75">
      <c r="A695" s="19"/>
      <c r="B695" s="19"/>
      <c r="C695" s="16"/>
      <c r="D695" s="16"/>
      <c r="E695" s="16"/>
      <c r="F695" s="16"/>
      <c r="G695" s="16"/>
      <c r="H695" s="16"/>
      <c r="I695" s="16"/>
      <c r="J695" s="16"/>
      <c r="K695" s="16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2.75">
      <c r="A696" s="19"/>
      <c r="B696" s="19"/>
      <c r="C696" s="16"/>
      <c r="D696" s="16"/>
      <c r="E696" s="16"/>
      <c r="F696" s="16"/>
      <c r="G696" s="16"/>
      <c r="H696" s="16"/>
      <c r="I696" s="16"/>
      <c r="J696" s="16"/>
      <c r="K696" s="16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2.75">
      <c r="A697" s="19"/>
      <c r="B697" s="19"/>
      <c r="C697" s="16"/>
      <c r="D697" s="16"/>
      <c r="E697" s="16"/>
      <c r="F697" s="16"/>
      <c r="G697" s="16"/>
      <c r="H697" s="16"/>
      <c r="I697" s="16"/>
      <c r="J697" s="16"/>
      <c r="K697" s="16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2.75">
      <c r="A698" s="19"/>
      <c r="B698" s="19"/>
      <c r="C698" s="16"/>
      <c r="D698" s="16"/>
      <c r="E698" s="16"/>
      <c r="F698" s="16"/>
      <c r="G698" s="16"/>
      <c r="H698" s="16"/>
      <c r="I698" s="16"/>
      <c r="J698" s="16"/>
      <c r="K698" s="16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2.75">
      <c r="A699" s="19"/>
      <c r="B699" s="19"/>
      <c r="C699" s="16"/>
      <c r="D699" s="16"/>
      <c r="E699" s="16"/>
      <c r="F699" s="16"/>
      <c r="G699" s="16"/>
      <c r="H699" s="16"/>
      <c r="I699" s="16"/>
      <c r="J699" s="16"/>
      <c r="K699" s="16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2.75">
      <c r="A700" s="19"/>
      <c r="B700" s="19"/>
      <c r="C700" s="16"/>
      <c r="D700" s="16"/>
      <c r="E700" s="16"/>
      <c r="F700" s="16"/>
      <c r="G700" s="16"/>
      <c r="H700" s="16"/>
      <c r="I700" s="16"/>
      <c r="J700" s="16"/>
      <c r="K700" s="16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2.75">
      <c r="A701" s="19"/>
      <c r="B701" s="19"/>
      <c r="C701" s="16"/>
      <c r="D701" s="16"/>
      <c r="E701" s="16"/>
      <c r="F701" s="16"/>
      <c r="G701" s="16"/>
      <c r="H701" s="16"/>
      <c r="I701" s="16"/>
      <c r="J701" s="16"/>
      <c r="K701" s="16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2.75">
      <c r="A702" s="19"/>
      <c r="B702" s="19"/>
      <c r="C702" s="16"/>
      <c r="D702" s="16"/>
      <c r="E702" s="16"/>
      <c r="F702" s="16"/>
      <c r="G702" s="16"/>
      <c r="H702" s="16"/>
      <c r="I702" s="16"/>
      <c r="J702" s="16"/>
      <c r="K702" s="16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2.75">
      <c r="A703" s="19"/>
      <c r="B703" s="19"/>
      <c r="C703" s="16"/>
      <c r="D703" s="16"/>
      <c r="E703" s="16"/>
      <c r="F703" s="16"/>
      <c r="G703" s="16"/>
      <c r="H703" s="16"/>
      <c r="I703" s="16"/>
      <c r="J703" s="16"/>
      <c r="K703" s="16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2.75">
      <c r="A704" s="19"/>
      <c r="B704" s="19"/>
      <c r="C704" s="16"/>
      <c r="D704" s="16"/>
      <c r="E704" s="16"/>
      <c r="F704" s="16"/>
      <c r="G704" s="16"/>
      <c r="H704" s="16"/>
      <c r="I704" s="16"/>
      <c r="J704" s="16"/>
      <c r="K704" s="16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2.75">
      <c r="A705" s="19"/>
      <c r="B705" s="19"/>
      <c r="C705" s="16"/>
      <c r="D705" s="16"/>
      <c r="E705" s="16"/>
      <c r="F705" s="16"/>
      <c r="G705" s="16"/>
      <c r="H705" s="16"/>
      <c r="I705" s="16"/>
      <c r="J705" s="16"/>
      <c r="K705" s="16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2.75">
      <c r="A706" s="19"/>
      <c r="B706" s="19"/>
      <c r="C706" s="16"/>
      <c r="D706" s="16"/>
      <c r="E706" s="16"/>
      <c r="F706" s="16"/>
      <c r="G706" s="16"/>
      <c r="H706" s="16"/>
      <c r="I706" s="16"/>
      <c r="J706" s="16"/>
      <c r="K706" s="16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2.75">
      <c r="A707" s="19"/>
      <c r="B707" s="19"/>
      <c r="C707" s="16"/>
      <c r="D707" s="16"/>
      <c r="E707" s="16"/>
      <c r="F707" s="16"/>
      <c r="G707" s="16"/>
      <c r="H707" s="16"/>
      <c r="I707" s="16"/>
      <c r="J707" s="16"/>
      <c r="K707" s="16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2.75">
      <c r="A708" s="19"/>
      <c r="B708" s="19"/>
      <c r="C708" s="16"/>
      <c r="D708" s="16"/>
      <c r="E708" s="16"/>
      <c r="F708" s="16"/>
      <c r="G708" s="16"/>
      <c r="H708" s="16"/>
      <c r="I708" s="16"/>
      <c r="J708" s="16"/>
      <c r="K708" s="16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2.75">
      <c r="A709" s="19"/>
      <c r="B709" s="19"/>
      <c r="C709" s="16"/>
      <c r="D709" s="16"/>
      <c r="E709" s="16"/>
      <c r="F709" s="16"/>
      <c r="G709" s="16"/>
      <c r="H709" s="16"/>
      <c r="I709" s="16"/>
      <c r="J709" s="16"/>
      <c r="K709" s="16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2.75">
      <c r="A710" s="19"/>
      <c r="B710" s="19"/>
      <c r="C710" s="16"/>
      <c r="D710" s="16"/>
      <c r="E710" s="16"/>
      <c r="F710" s="16"/>
      <c r="G710" s="16"/>
      <c r="H710" s="16"/>
      <c r="I710" s="16"/>
      <c r="J710" s="16"/>
      <c r="K710" s="16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2.75">
      <c r="A711" s="19"/>
      <c r="B711" s="19"/>
      <c r="C711" s="16"/>
      <c r="D711" s="16"/>
      <c r="E711" s="16"/>
      <c r="F711" s="16"/>
      <c r="G711" s="16"/>
      <c r="H711" s="16"/>
      <c r="I711" s="16"/>
      <c r="J711" s="16"/>
      <c r="K711" s="16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2.75">
      <c r="A712" s="19"/>
      <c r="B712" s="19"/>
      <c r="C712" s="16"/>
      <c r="D712" s="16"/>
      <c r="E712" s="16"/>
      <c r="F712" s="16"/>
      <c r="G712" s="16"/>
      <c r="H712" s="16"/>
      <c r="I712" s="16"/>
      <c r="J712" s="16"/>
      <c r="K712" s="16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2.75">
      <c r="A713" s="19"/>
      <c r="B713" s="19"/>
      <c r="C713" s="16"/>
      <c r="D713" s="16"/>
      <c r="E713" s="16"/>
      <c r="F713" s="16"/>
      <c r="G713" s="16"/>
      <c r="H713" s="16"/>
      <c r="I713" s="16"/>
      <c r="J713" s="16"/>
      <c r="K713" s="16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2.75">
      <c r="A714" s="19"/>
      <c r="B714" s="19"/>
      <c r="C714" s="16"/>
      <c r="D714" s="16"/>
      <c r="E714" s="16"/>
      <c r="F714" s="16"/>
      <c r="G714" s="16"/>
      <c r="H714" s="16"/>
      <c r="I714" s="16"/>
      <c r="J714" s="16"/>
      <c r="K714" s="16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2.75">
      <c r="A715" s="19"/>
      <c r="B715" s="19"/>
      <c r="C715" s="16"/>
      <c r="D715" s="16"/>
      <c r="E715" s="16"/>
      <c r="F715" s="16"/>
      <c r="G715" s="16"/>
      <c r="H715" s="16"/>
      <c r="I715" s="16"/>
      <c r="J715" s="16"/>
      <c r="K715" s="16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2.75">
      <c r="A716" s="19"/>
      <c r="B716" s="19"/>
      <c r="C716" s="16"/>
      <c r="D716" s="16"/>
      <c r="E716" s="16"/>
      <c r="F716" s="16"/>
      <c r="G716" s="16"/>
      <c r="H716" s="16"/>
      <c r="I716" s="16"/>
      <c r="J716" s="16"/>
      <c r="K716" s="16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2.75">
      <c r="A717" s="19"/>
      <c r="B717" s="19"/>
      <c r="C717" s="16"/>
      <c r="D717" s="16"/>
      <c r="E717" s="16"/>
      <c r="F717" s="16"/>
      <c r="G717" s="16"/>
      <c r="H717" s="16"/>
      <c r="I717" s="16"/>
      <c r="J717" s="16"/>
      <c r="K717" s="16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2.75">
      <c r="A718" s="19"/>
      <c r="B718" s="19"/>
      <c r="C718" s="16"/>
      <c r="D718" s="16"/>
      <c r="E718" s="16"/>
      <c r="F718" s="16"/>
      <c r="G718" s="16"/>
      <c r="H718" s="16"/>
      <c r="I718" s="16"/>
      <c r="J718" s="16"/>
      <c r="K718" s="16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2.75">
      <c r="A719" s="19"/>
      <c r="B719" s="19"/>
      <c r="C719" s="16"/>
      <c r="D719" s="16"/>
      <c r="E719" s="16"/>
      <c r="F719" s="16"/>
      <c r="G719" s="16"/>
      <c r="H719" s="16"/>
      <c r="I719" s="16"/>
      <c r="J719" s="16"/>
      <c r="K719" s="16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2.75">
      <c r="A720" s="19"/>
      <c r="B720" s="19"/>
      <c r="C720" s="16"/>
      <c r="D720" s="16"/>
      <c r="E720" s="16"/>
      <c r="F720" s="16"/>
      <c r="G720" s="16"/>
      <c r="H720" s="16"/>
      <c r="I720" s="16"/>
      <c r="J720" s="16"/>
      <c r="K720" s="16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2.75">
      <c r="A721" s="19"/>
      <c r="B721" s="19"/>
      <c r="C721" s="16"/>
      <c r="D721" s="16"/>
      <c r="E721" s="16"/>
      <c r="F721" s="16"/>
      <c r="G721" s="16"/>
      <c r="H721" s="16"/>
      <c r="I721" s="16"/>
      <c r="J721" s="16"/>
      <c r="K721" s="16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2.75">
      <c r="A722" s="19"/>
      <c r="B722" s="19"/>
      <c r="C722" s="16"/>
      <c r="D722" s="16"/>
      <c r="E722" s="16"/>
      <c r="F722" s="16"/>
      <c r="G722" s="16"/>
      <c r="H722" s="16"/>
      <c r="I722" s="16"/>
      <c r="J722" s="16"/>
      <c r="K722" s="16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2.75">
      <c r="A723" s="19"/>
      <c r="B723" s="19"/>
      <c r="C723" s="16"/>
      <c r="D723" s="16"/>
      <c r="E723" s="16"/>
      <c r="F723" s="16"/>
      <c r="G723" s="16"/>
      <c r="H723" s="16"/>
      <c r="I723" s="16"/>
      <c r="J723" s="16"/>
      <c r="K723" s="16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2.75">
      <c r="A724" s="19"/>
      <c r="B724" s="19"/>
      <c r="C724" s="16"/>
      <c r="D724" s="16"/>
      <c r="E724" s="16"/>
      <c r="F724" s="16"/>
      <c r="G724" s="16"/>
      <c r="H724" s="16"/>
      <c r="I724" s="16"/>
      <c r="J724" s="16"/>
      <c r="K724" s="16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2.75">
      <c r="A725" s="19"/>
      <c r="B725" s="19"/>
      <c r="C725" s="16"/>
      <c r="D725" s="16"/>
      <c r="E725" s="16"/>
      <c r="F725" s="16"/>
      <c r="G725" s="16"/>
      <c r="H725" s="16"/>
      <c r="I725" s="16"/>
      <c r="J725" s="16"/>
      <c r="K725" s="16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2.75">
      <c r="A726" s="19"/>
      <c r="B726" s="19"/>
      <c r="C726" s="16"/>
      <c r="D726" s="16"/>
      <c r="E726" s="16"/>
      <c r="F726" s="16"/>
      <c r="G726" s="16"/>
      <c r="H726" s="16"/>
      <c r="I726" s="16"/>
      <c r="J726" s="16"/>
      <c r="K726" s="16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2.75">
      <c r="A727" s="19"/>
      <c r="B727" s="19"/>
      <c r="C727" s="16"/>
      <c r="D727" s="16"/>
      <c r="E727" s="16"/>
      <c r="F727" s="16"/>
      <c r="G727" s="16"/>
      <c r="H727" s="16"/>
      <c r="I727" s="16"/>
      <c r="J727" s="16"/>
      <c r="K727" s="16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2.75">
      <c r="A728" s="19"/>
      <c r="B728" s="19"/>
      <c r="C728" s="16"/>
      <c r="D728" s="16"/>
      <c r="E728" s="16"/>
      <c r="F728" s="16"/>
      <c r="G728" s="16"/>
      <c r="H728" s="16"/>
      <c r="I728" s="16"/>
      <c r="J728" s="16"/>
      <c r="K728" s="16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2.75">
      <c r="A729" s="19"/>
      <c r="B729" s="19"/>
      <c r="C729" s="16"/>
      <c r="D729" s="16"/>
      <c r="E729" s="16"/>
      <c r="F729" s="16"/>
      <c r="G729" s="16"/>
      <c r="H729" s="16"/>
      <c r="I729" s="16"/>
      <c r="J729" s="16"/>
      <c r="K729" s="16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2.75">
      <c r="A730" s="19"/>
      <c r="B730" s="19"/>
      <c r="C730" s="16"/>
      <c r="D730" s="16"/>
      <c r="E730" s="16"/>
      <c r="F730" s="16"/>
      <c r="G730" s="16"/>
      <c r="H730" s="16"/>
      <c r="I730" s="16"/>
      <c r="J730" s="16"/>
      <c r="K730" s="16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2.75">
      <c r="A731" s="19"/>
      <c r="B731" s="19"/>
      <c r="C731" s="16"/>
      <c r="D731" s="16"/>
      <c r="E731" s="16"/>
      <c r="F731" s="16"/>
      <c r="G731" s="16"/>
      <c r="H731" s="16"/>
      <c r="I731" s="16"/>
      <c r="J731" s="16"/>
      <c r="K731" s="16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2.75">
      <c r="A732" s="19"/>
      <c r="B732" s="19"/>
      <c r="C732" s="16"/>
      <c r="D732" s="16"/>
      <c r="E732" s="16"/>
      <c r="F732" s="16"/>
      <c r="G732" s="16"/>
      <c r="H732" s="16"/>
      <c r="I732" s="16"/>
      <c r="J732" s="16"/>
      <c r="K732" s="16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2.75">
      <c r="A733" s="19"/>
      <c r="B733" s="19"/>
      <c r="C733" s="16"/>
      <c r="D733" s="16"/>
      <c r="E733" s="16"/>
      <c r="F733" s="16"/>
      <c r="G733" s="16"/>
      <c r="H733" s="16"/>
      <c r="I733" s="16"/>
      <c r="J733" s="16"/>
      <c r="K733" s="16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2.75">
      <c r="A734" s="19"/>
      <c r="B734" s="19"/>
      <c r="C734" s="16"/>
      <c r="D734" s="16"/>
      <c r="E734" s="16"/>
      <c r="F734" s="16"/>
      <c r="G734" s="16"/>
      <c r="H734" s="16"/>
      <c r="I734" s="16"/>
      <c r="J734" s="16"/>
      <c r="K734" s="16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2.75">
      <c r="A735" s="19"/>
      <c r="B735" s="19"/>
      <c r="C735" s="16"/>
      <c r="D735" s="16"/>
      <c r="E735" s="16"/>
      <c r="F735" s="16"/>
      <c r="G735" s="16"/>
      <c r="H735" s="16"/>
      <c r="I735" s="16"/>
      <c r="J735" s="16"/>
      <c r="K735" s="16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2.75">
      <c r="A736" s="19"/>
      <c r="B736" s="19"/>
      <c r="C736" s="16"/>
      <c r="D736" s="16"/>
      <c r="E736" s="16"/>
      <c r="F736" s="16"/>
      <c r="G736" s="16"/>
      <c r="H736" s="16"/>
      <c r="I736" s="16"/>
      <c r="J736" s="16"/>
      <c r="K736" s="16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2.75">
      <c r="A737" s="19"/>
      <c r="B737" s="19"/>
      <c r="C737" s="16"/>
      <c r="D737" s="16"/>
      <c r="E737" s="16"/>
      <c r="F737" s="16"/>
      <c r="G737" s="16"/>
      <c r="H737" s="16"/>
      <c r="I737" s="16"/>
      <c r="J737" s="16"/>
      <c r="K737" s="16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2.75">
      <c r="A738" s="19"/>
      <c r="B738" s="19"/>
      <c r="C738" s="16"/>
      <c r="D738" s="16"/>
      <c r="E738" s="16"/>
      <c r="F738" s="16"/>
      <c r="G738" s="16"/>
      <c r="H738" s="16"/>
      <c r="I738" s="16"/>
      <c r="J738" s="16"/>
      <c r="K738" s="16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2.75">
      <c r="A739" s="19"/>
      <c r="B739" s="19"/>
      <c r="C739" s="16"/>
      <c r="D739" s="16"/>
      <c r="E739" s="16"/>
      <c r="F739" s="16"/>
      <c r="G739" s="16"/>
      <c r="H739" s="16"/>
      <c r="I739" s="16"/>
      <c r="J739" s="16"/>
      <c r="K739" s="16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2.75">
      <c r="A740" s="19"/>
      <c r="B740" s="19"/>
      <c r="C740" s="16"/>
      <c r="D740" s="16"/>
      <c r="E740" s="16"/>
      <c r="F740" s="16"/>
      <c r="G740" s="16"/>
      <c r="H740" s="16"/>
      <c r="I740" s="16"/>
      <c r="J740" s="16"/>
      <c r="K740" s="16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2.75">
      <c r="A741" s="19"/>
      <c r="B741" s="19"/>
      <c r="C741" s="16"/>
      <c r="D741" s="16"/>
      <c r="E741" s="16"/>
      <c r="F741" s="16"/>
      <c r="G741" s="16"/>
      <c r="H741" s="16"/>
      <c r="I741" s="16"/>
      <c r="J741" s="16"/>
      <c r="K741" s="16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2.75">
      <c r="A742" s="19"/>
      <c r="B742" s="19"/>
      <c r="C742" s="16"/>
      <c r="D742" s="16"/>
      <c r="E742" s="16"/>
      <c r="F742" s="16"/>
      <c r="G742" s="16"/>
      <c r="H742" s="16"/>
      <c r="I742" s="16"/>
      <c r="J742" s="16"/>
      <c r="K742" s="16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2.75">
      <c r="A743" s="19"/>
      <c r="B743" s="19"/>
      <c r="C743" s="16"/>
      <c r="D743" s="16"/>
      <c r="E743" s="16"/>
      <c r="F743" s="16"/>
      <c r="G743" s="16"/>
      <c r="H743" s="16"/>
      <c r="I743" s="16"/>
      <c r="J743" s="16"/>
      <c r="K743" s="16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2.75">
      <c r="A744" s="19"/>
      <c r="B744" s="19"/>
      <c r="C744" s="16"/>
      <c r="D744" s="16"/>
      <c r="E744" s="16"/>
      <c r="F744" s="16"/>
      <c r="G744" s="16"/>
      <c r="H744" s="16"/>
      <c r="I744" s="16"/>
      <c r="J744" s="16"/>
      <c r="K744" s="16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2.75">
      <c r="A745" s="19"/>
      <c r="B745" s="19"/>
      <c r="C745" s="16"/>
      <c r="D745" s="16"/>
      <c r="E745" s="16"/>
      <c r="F745" s="16"/>
      <c r="G745" s="16"/>
      <c r="H745" s="16"/>
      <c r="I745" s="16"/>
      <c r="J745" s="16"/>
      <c r="K745" s="16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2.75">
      <c r="A746" s="19"/>
      <c r="B746" s="19"/>
      <c r="C746" s="16"/>
      <c r="D746" s="16"/>
      <c r="E746" s="16"/>
      <c r="F746" s="16"/>
      <c r="G746" s="16"/>
      <c r="H746" s="16"/>
      <c r="I746" s="16"/>
      <c r="J746" s="16"/>
      <c r="K746" s="16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2.75">
      <c r="A747" s="19"/>
      <c r="B747" s="19"/>
      <c r="C747" s="16"/>
      <c r="D747" s="16"/>
      <c r="E747" s="16"/>
      <c r="F747" s="16"/>
      <c r="G747" s="16"/>
      <c r="H747" s="16"/>
      <c r="I747" s="16"/>
      <c r="J747" s="16"/>
      <c r="K747" s="16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2.75">
      <c r="A748" s="19"/>
      <c r="B748" s="19"/>
      <c r="C748" s="16"/>
      <c r="D748" s="16"/>
      <c r="E748" s="16"/>
      <c r="F748" s="16"/>
      <c r="G748" s="16"/>
      <c r="H748" s="16"/>
      <c r="I748" s="16"/>
      <c r="J748" s="16"/>
      <c r="K748" s="16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2.75">
      <c r="A749" s="19"/>
      <c r="B749" s="19"/>
      <c r="C749" s="16"/>
      <c r="D749" s="16"/>
      <c r="E749" s="16"/>
      <c r="F749" s="16"/>
      <c r="G749" s="16"/>
      <c r="H749" s="16"/>
      <c r="I749" s="16"/>
      <c r="J749" s="16"/>
      <c r="K749" s="16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2.75">
      <c r="A750" s="19"/>
      <c r="B750" s="19"/>
      <c r="C750" s="16"/>
      <c r="D750" s="16"/>
      <c r="E750" s="16"/>
      <c r="F750" s="16"/>
      <c r="G750" s="16"/>
      <c r="H750" s="16"/>
      <c r="I750" s="16"/>
      <c r="J750" s="16"/>
      <c r="K750" s="16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2.75">
      <c r="A751" s="19"/>
      <c r="B751" s="19"/>
      <c r="C751" s="16"/>
      <c r="D751" s="16"/>
      <c r="E751" s="16"/>
      <c r="F751" s="16"/>
      <c r="G751" s="16"/>
      <c r="H751" s="16"/>
      <c r="I751" s="16"/>
      <c r="J751" s="16"/>
      <c r="K751" s="16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2.75">
      <c r="A752" s="19"/>
      <c r="B752" s="19"/>
      <c r="C752" s="16"/>
      <c r="D752" s="16"/>
      <c r="E752" s="16"/>
      <c r="F752" s="16"/>
      <c r="G752" s="16"/>
      <c r="H752" s="16"/>
      <c r="I752" s="16"/>
      <c r="J752" s="16"/>
      <c r="K752" s="16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2.75">
      <c r="A753" s="19"/>
      <c r="B753" s="19"/>
      <c r="C753" s="16"/>
      <c r="D753" s="16"/>
      <c r="E753" s="16"/>
      <c r="F753" s="16"/>
      <c r="G753" s="16"/>
      <c r="H753" s="16"/>
      <c r="I753" s="16"/>
      <c r="J753" s="16"/>
      <c r="K753" s="16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2.75">
      <c r="A754" s="19"/>
      <c r="B754" s="19"/>
      <c r="C754" s="16"/>
      <c r="D754" s="16"/>
      <c r="E754" s="16"/>
      <c r="F754" s="16"/>
      <c r="G754" s="16"/>
      <c r="H754" s="16"/>
      <c r="I754" s="16"/>
      <c r="J754" s="16"/>
      <c r="K754" s="16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2.75">
      <c r="A755" s="19"/>
      <c r="B755" s="19"/>
      <c r="C755" s="16"/>
      <c r="D755" s="16"/>
      <c r="E755" s="16"/>
      <c r="F755" s="16"/>
      <c r="G755" s="16"/>
      <c r="H755" s="16"/>
      <c r="I755" s="16"/>
      <c r="J755" s="16"/>
      <c r="K755" s="16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2.75">
      <c r="A756" s="19"/>
      <c r="B756" s="19"/>
      <c r="C756" s="16"/>
      <c r="D756" s="16"/>
      <c r="E756" s="16"/>
      <c r="F756" s="16"/>
      <c r="G756" s="16"/>
      <c r="H756" s="16"/>
      <c r="I756" s="16"/>
      <c r="J756" s="16"/>
      <c r="K756" s="16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2.75">
      <c r="A757" s="19"/>
      <c r="B757" s="19"/>
      <c r="C757" s="16"/>
      <c r="D757" s="16"/>
      <c r="E757" s="16"/>
      <c r="F757" s="16"/>
      <c r="G757" s="16"/>
      <c r="H757" s="16"/>
      <c r="I757" s="16"/>
      <c r="J757" s="16"/>
      <c r="K757" s="16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2.75">
      <c r="A758" s="19"/>
      <c r="B758" s="19"/>
      <c r="C758" s="16"/>
      <c r="D758" s="16"/>
      <c r="E758" s="16"/>
      <c r="F758" s="16"/>
      <c r="G758" s="16"/>
      <c r="H758" s="16"/>
      <c r="I758" s="16"/>
      <c r="J758" s="16"/>
      <c r="K758" s="16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2.75">
      <c r="A759" s="19"/>
      <c r="B759" s="19"/>
      <c r="C759" s="16"/>
      <c r="D759" s="16"/>
      <c r="E759" s="16"/>
      <c r="F759" s="16"/>
      <c r="G759" s="16"/>
      <c r="H759" s="16"/>
      <c r="I759" s="16"/>
      <c r="J759" s="16"/>
      <c r="K759" s="16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2.75">
      <c r="A760" s="19"/>
      <c r="B760" s="19"/>
      <c r="C760" s="16"/>
      <c r="D760" s="16"/>
      <c r="E760" s="16"/>
      <c r="F760" s="16"/>
      <c r="G760" s="16"/>
      <c r="H760" s="16"/>
      <c r="I760" s="16"/>
      <c r="J760" s="16"/>
      <c r="K760" s="16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2.75">
      <c r="A761" s="19"/>
      <c r="B761" s="19"/>
      <c r="C761" s="16"/>
      <c r="D761" s="16"/>
      <c r="E761" s="16"/>
      <c r="F761" s="16"/>
      <c r="G761" s="16"/>
      <c r="H761" s="16"/>
      <c r="I761" s="16"/>
      <c r="J761" s="16"/>
      <c r="K761" s="16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2.75">
      <c r="A762" s="19"/>
      <c r="B762" s="19"/>
      <c r="C762" s="16"/>
      <c r="D762" s="16"/>
      <c r="E762" s="16"/>
      <c r="F762" s="16"/>
      <c r="G762" s="16"/>
      <c r="H762" s="16"/>
      <c r="I762" s="16"/>
      <c r="J762" s="16"/>
      <c r="K762" s="16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2.75">
      <c r="A763" s="19"/>
      <c r="B763" s="19"/>
      <c r="C763" s="16"/>
      <c r="D763" s="16"/>
      <c r="E763" s="16"/>
      <c r="F763" s="16"/>
      <c r="G763" s="16"/>
      <c r="H763" s="16"/>
      <c r="I763" s="16"/>
      <c r="J763" s="16"/>
      <c r="K763" s="16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2.75">
      <c r="A764" s="19"/>
      <c r="B764" s="19"/>
      <c r="C764" s="16"/>
      <c r="D764" s="16"/>
      <c r="E764" s="16"/>
      <c r="F764" s="16"/>
      <c r="G764" s="16"/>
      <c r="H764" s="16"/>
      <c r="I764" s="16"/>
      <c r="J764" s="16"/>
      <c r="K764" s="16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2.75">
      <c r="A765" s="19"/>
      <c r="B765" s="19"/>
      <c r="C765" s="16"/>
      <c r="D765" s="16"/>
      <c r="E765" s="16"/>
      <c r="F765" s="16"/>
      <c r="G765" s="16"/>
      <c r="H765" s="16"/>
      <c r="I765" s="16"/>
      <c r="J765" s="16"/>
      <c r="K765" s="16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2.75">
      <c r="A766" s="19"/>
      <c r="B766" s="19"/>
      <c r="C766" s="16"/>
      <c r="D766" s="16"/>
      <c r="E766" s="16"/>
      <c r="F766" s="16"/>
      <c r="G766" s="16"/>
      <c r="H766" s="16"/>
      <c r="I766" s="16"/>
      <c r="J766" s="16"/>
      <c r="K766" s="16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2.75">
      <c r="A767" s="19"/>
      <c r="B767" s="19"/>
      <c r="C767" s="16"/>
      <c r="D767" s="16"/>
      <c r="E767" s="16"/>
      <c r="F767" s="16"/>
      <c r="G767" s="16"/>
      <c r="H767" s="16"/>
      <c r="I767" s="16"/>
      <c r="J767" s="16"/>
      <c r="K767" s="16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2.75">
      <c r="A768" s="19"/>
      <c r="B768" s="19"/>
      <c r="C768" s="16"/>
      <c r="D768" s="16"/>
      <c r="E768" s="16"/>
      <c r="F768" s="16"/>
      <c r="G768" s="16"/>
      <c r="H768" s="16"/>
      <c r="I768" s="16"/>
      <c r="J768" s="16"/>
      <c r="K768" s="16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2.75">
      <c r="A769" s="19"/>
      <c r="B769" s="19"/>
      <c r="C769" s="16"/>
      <c r="D769" s="16"/>
      <c r="E769" s="16"/>
      <c r="F769" s="16"/>
      <c r="G769" s="16"/>
      <c r="H769" s="16"/>
      <c r="I769" s="16"/>
      <c r="J769" s="16"/>
      <c r="K769" s="16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2.75">
      <c r="A770" s="19"/>
      <c r="B770" s="19"/>
      <c r="C770" s="16"/>
      <c r="D770" s="16"/>
      <c r="E770" s="16"/>
      <c r="F770" s="16"/>
      <c r="G770" s="16"/>
      <c r="H770" s="16"/>
      <c r="I770" s="16"/>
      <c r="J770" s="16"/>
      <c r="K770" s="16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2.75">
      <c r="A771" s="19"/>
      <c r="B771" s="19"/>
      <c r="C771" s="16"/>
      <c r="D771" s="16"/>
      <c r="E771" s="16"/>
      <c r="F771" s="16"/>
      <c r="G771" s="16"/>
      <c r="H771" s="16"/>
      <c r="I771" s="16"/>
      <c r="J771" s="16"/>
      <c r="K771" s="16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2.75">
      <c r="A772" s="19"/>
      <c r="B772" s="19"/>
      <c r="C772" s="16"/>
      <c r="D772" s="16"/>
      <c r="E772" s="16"/>
      <c r="F772" s="16"/>
      <c r="G772" s="16"/>
      <c r="H772" s="16"/>
      <c r="I772" s="16"/>
      <c r="J772" s="16"/>
      <c r="K772" s="16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2.75">
      <c r="A773" s="19"/>
      <c r="B773" s="19"/>
      <c r="C773" s="16"/>
      <c r="D773" s="16"/>
      <c r="E773" s="16"/>
      <c r="F773" s="16"/>
      <c r="G773" s="16"/>
      <c r="H773" s="16"/>
      <c r="I773" s="16"/>
      <c r="J773" s="16"/>
      <c r="K773" s="16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2.75">
      <c r="A774" s="19"/>
      <c r="B774" s="19"/>
      <c r="C774" s="16"/>
      <c r="D774" s="16"/>
      <c r="E774" s="16"/>
      <c r="F774" s="16"/>
      <c r="G774" s="16"/>
      <c r="H774" s="16"/>
      <c r="I774" s="16"/>
      <c r="J774" s="16"/>
      <c r="K774" s="16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2.75">
      <c r="A775" s="19"/>
      <c r="B775" s="19"/>
      <c r="C775" s="16"/>
      <c r="D775" s="16"/>
      <c r="E775" s="16"/>
      <c r="F775" s="16"/>
      <c r="G775" s="16"/>
      <c r="H775" s="16"/>
      <c r="I775" s="16"/>
      <c r="J775" s="16"/>
      <c r="K775" s="16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2.75">
      <c r="A776" s="19"/>
      <c r="B776" s="19"/>
      <c r="C776" s="16"/>
      <c r="D776" s="16"/>
      <c r="E776" s="16"/>
      <c r="F776" s="16"/>
      <c r="G776" s="16"/>
      <c r="H776" s="16"/>
      <c r="I776" s="16"/>
      <c r="J776" s="16"/>
      <c r="K776" s="16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2.75">
      <c r="A777" s="19"/>
      <c r="B777" s="19"/>
      <c r="C777" s="16"/>
      <c r="D777" s="16"/>
      <c r="E777" s="16"/>
      <c r="F777" s="16"/>
      <c r="G777" s="16"/>
      <c r="H777" s="16"/>
      <c r="I777" s="16"/>
      <c r="J777" s="16"/>
      <c r="K777" s="16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2.75">
      <c r="A778" s="19"/>
      <c r="B778" s="19"/>
      <c r="C778" s="16"/>
      <c r="D778" s="16"/>
      <c r="E778" s="16"/>
      <c r="F778" s="16"/>
      <c r="G778" s="16"/>
      <c r="H778" s="16"/>
      <c r="I778" s="16"/>
      <c r="J778" s="16"/>
      <c r="K778" s="16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2.75">
      <c r="A779" s="19"/>
      <c r="B779" s="19"/>
      <c r="C779" s="16"/>
      <c r="D779" s="16"/>
      <c r="E779" s="16"/>
      <c r="F779" s="16"/>
      <c r="G779" s="16"/>
      <c r="H779" s="16"/>
      <c r="I779" s="16"/>
      <c r="J779" s="16"/>
      <c r="K779" s="16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2.75">
      <c r="A780" s="19"/>
      <c r="B780" s="19"/>
      <c r="C780" s="16"/>
      <c r="D780" s="16"/>
      <c r="E780" s="16"/>
      <c r="F780" s="16"/>
      <c r="G780" s="16"/>
      <c r="H780" s="16"/>
      <c r="I780" s="16"/>
      <c r="J780" s="16"/>
      <c r="K780" s="16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2.75">
      <c r="A781" s="19"/>
      <c r="B781" s="19"/>
      <c r="C781" s="16"/>
      <c r="D781" s="16"/>
      <c r="E781" s="16"/>
      <c r="F781" s="16"/>
      <c r="G781" s="16"/>
      <c r="H781" s="16"/>
      <c r="I781" s="16"/>
      <c r="J781" s="16"/>
      <c r="K781" s="16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2.75">
      <c r="A782" s="19"/>
      <c r="B782" s="19"/>
      <c r="C782" s="16"/>
      <c r="D782" s="16"/>
      <c r="E782" s="16"/>
      <c r="F782" s="16"/>
      <c r="G782" s="16"/>
      <c r="H782" s="16"/>
      <c r="I782" s="16"/>
      <c r="J782" s="16"/>
      <c r="K782" s="16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2.75">
      <c r="A783" s="19"/>
      <c r="B783" s="19"/>
      <c r="C783" s="16"/>
      <c r="D783" s="16"/>
      <c r="E783" s="16"/>
      <c r="F783" s="16"/>
      <c r="G783" s="16"/>
      <c r="H783" s="16"/>
      <c r="I783" s="16"/>
      <c r="J783" s="16"/>
      <c r="K783" s="16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2.75">
      <c r="A784" s="19"/>
      <c r="B784" s="19"/>
      <c r="C784" s="16"/>
      <c r="D784" s="16"/>
      <c r="E784" s="16"/>
      <c r="F784" s="16"/>
      <c r="G784" s="16"/>
      <c r="H784" s="16"/>
      <c r="I784" s="16"/>
      <c r="J784" s="16"/>
      <c r="K784" s="16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2.75">
      <c r="A785" s="19"/>
      <c r="B785" s="19"/>
      <c r="C785" s="16"/>
      <c r="D785" s="16"/>
      <c r="E785" s="16"/>
      <c r="F785" s="16"/>
      <c r="G785" s="16"/>
      <c r="H785" s="16"/>
      <c r="I785" s="16"/>
      <c r="J785" s="16"/>
      <c r="K785" s="16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2.75">
      <c r="A786" s="19"/>
      <c r="B786" s="19"/>
      <c r="C786" s="16"/>
      <c r="D786" s="16"/>
      <c r="E786" s="16"/>
      <c r="F786" s="16"/>
      <c r="G786" s="16"/>
      <c r="H786" s="16"/>
      <c r="I786" s="16"/>
      <c r="J786" s="16"/>
      <c r="K786" s="16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2.75">
      <c r="A787" s="19"/>
      <c r="B787" s="19"/>
      <c r="C787" s="16"/>
      <c r="D787" s="16"/>
      <c r="E787" s="16"/>
      <c r="F787" s="16"/>
      <c r="G787" s="16"/>
      <c r="H787" s="16"/>
      <c r="I787" s="16"/>
      <c r="J787" s="16"/>
      <c r="K787" s="16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2.75">
      <c r="A788" s="19"/>
      <c r="B788" s="19"/>
      <c r="C788" s="16"/>
      <c r="D788" s="16"/>
      <c r="E788" s="16"/>
      <c r="F788" s="16"/>
      <c r="G788" s="16"/>
      <c r="H788" s="16"/>
      <c r="I788" s="16"/>
      <c r="J788" s="16"/>
      <c r="K788" s="16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2.75">
      <c r="A789" s="19"/>
      <c r="B789" s="19"/>
      <c r="C789" s="16"/>
      <c r="D789" s="16"/>
      <c r="E789" s="16"/>
      <c r="F789" s="16"/>
      <c r="G789" s="16"/>
      <c r="H789" s="16"/>
      <c r="I789" s="16"/>
      <c r="J789" s="16"/>
      <c r="K789" s="16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2.75">
      <c r="A790" s="19"/>
      <c r="B790" s="19"/>
      <c r="C790" s="16"/>
      <c r="D790" s="16"/>
      <c r="E790" s="16"/>
      <c r="F790" s="16"/>
      <c r="G790" s="16"/>
      <c r="H790" s="16"/>
      <c r="I790" s="16"/>
      <c r="J790" s="16"/>
      <c r="K790" s="16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2.75">
      <c r="A791" s="19"/>
      <c r="B791" s="19"/>
      <c r="C791" s="16"/>
      <c r="D791" s="16"/>
      <c r="E791" s="16"/>
      <c r="F791" s="16"/>
      <c r="G791" s="16"/>
      <c r="H791" s="16"/>
      <c r="I791" s="16"/>
      <c r="J791" s="16"/>
      <c r="K791" s="16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2.75">
      <c r="A792" s="19"/>
      <c r="B792" s="19"/>
      <c r="C792" s="16"/>
      <c r="D792" s="16"/>
      <c r="E792" s="16"/>
      <c r="F792" s="16"/>
      <c r="G792" s="16"/>
      <c r="H792" s="16"/>
      <c r="I792" s="16"/>
      <c r="J792" s="16"/>
      <c r="K792" s="16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2.75">
      <c r="A793" s="19"/>
      <c r="B793" s="19"/>
      <c r="C793" s="16"/>
      <c r="D793" s="16"/>
      <c r="E793" s="16"/>
      <c r="F793" s="16"/>
      <c r="G793" s="16"/>
      <c r="H793" s="16"/>
      <c r="I793" s="16"/>
      <c r="J793" s="16"/>
      <c r="K793" s="16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2.75">
      <c r="A794" s="19"/>
      <c r="B794" s="19"/>
      <c r="C794" s="16"/>
      <c r="D794" s="16"/>
      <c r="E794" s="16"/>
      <c r="F794" s="16"/>
      <c r="G794" s="16"/>
      <c r="H794" s="16"/>
      <c r="I794" s="16"/>
      <c r="J794" s="16"/>
      <c r="K794" s="16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2.75">
      <c r="A795" s="19"/>
      <c r="B795" s="19"/>
      <c r="C795" s="16"/>
      <c r="D795" s="16"/>
      <c r="E795" s="16"/>
      <c r="F795" s="16"/>
      <c r="G795" s="16"/>
      <c r="H795" s="16"/>
      <c r="I795" s="16"/>
      <c r="J795" s="16"/>
      <c r="K795" s="16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2.75">
      <c r="A796" s="19"/>
      <c r="B796" s="19"/>
      <c r="C796" s="16"/>
      <c r="D796" s="16"/>
      <c r="E796" s="16"/>
      <c r="F796" s="16"/>
      <c r="G796" s="16"/>
      <c r="H796" s="16"/>
      <c r="I796" s="16"/>
      <c r="J796" s="16"/>
      <c r="K796" s="16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2.75">
      <c r="A797" s="19"/>
      <c r="B797" s="19"/>
      <c r="C797" s="16"/>
      <c r="D797" s="16"/>
      <c r="E797" s="16"/>
      <c r="F797" s="16"/>
      <c r="G797" s="16"/>
      <c r="H797" s="16"/>
      <c r="I797" s="16"/>
      <c r="J797" s="16"/>
      <c r="K797" s="16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2.75">
      <c r="A798" s="19"/>
      <c r="B798" s="19"/>
      <c r="C798" s="16"/>
      <c r="D798" s="16"/>
      <c r="E798" s="16"/>
      <c r="F798" s="16"/>
      <c r="G798" s="16"/>
      <c r="H798" s="16"/>
      <c r="I798" s="16"/>
      <c r="J798" s="16"/>
      <c r="K798" s="16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2.75">
      <c r="A799" s="19"/>
      <c r="B799" s="19"/>
      <c r="C799" s="16"/>
      <c r="D799" s="16"/>
      <c r="E799" s="16"/>
      <c r="F799" s="16"/>
      <c r="G799" s="16"/>
      <c r="H799" s="16"/>
      <c r="I799" s="16"/>
      <c r="J799" s="16"/>
      <c r="K799" s="16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2.75">
      <c r="A800" s="19"/>
      <c r="B800" s="19"/>
      <c r="C800" s="16"/>
      <c r="D800" s="16"/>
      <c r="E800" s="16"/>
      <c r="F800" s="16"/>
      <c r="G800" s="16"/>
      <c r="H800" s="16"/>
      <c r="I800" s="16"/>
      <c r="J800" s="16"/>
      <c r="K800" s="16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2.75">
      <c r="A801" s="19"/>
      <c r="B801" s="19"/>
      <c r="C801" s="16"/>
      <c r="D801" s="16"/>
      <c r="E801" s="16"/>
      <c r="F801" s="16"/>
      <c r="G801" s="16"/>
      <c r="H801" s="16"/>
      <c r="I801" s="16"/>
      <c r="J801" s="16"/>
      <c r="K801" s="16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2.75">
      <c r="A802" s="19"/>
      <c r="B802" s="19"/>
      <c r="C802" s="16"/>
      <c r="D802" s="16"/>
      <c r="E802" s="16"/>
      <c r="F802" s="16"/>
      <c r="G802" s="16"/>
      <c r="H802" s="16"/>
      <c r="I802" s="16"/>
      <c r="J802" s="16"/>
      <c r="K802" s="16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2.75">
      <c r="A803" s="19"/>
      <c r="B803" s="19"/>
      <c r="C803" s="16"/>
      <c r="D803" s="16"/>
      <c r="E803" s="16"/>
      <c r="F803" s="16"/>
      <c r="G803" s="16"/>
      <c r="H803" s="16"/>
      <c r="I803" s="16"/>
      <c r="J803" s="16"/>
      <c r="K803" s="16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2.75">
      <c r="A804" s="19"/>
      <c r="B804" s="19"/>
      <c r="C804" s="16"/>
      <c r="D804" s="16"/>
      <c r="E804" s="16"/>
      <c r="F804" s="16"/>
      <c r="G804" s="16"/>
      <c r="H804" s="16"/>
      <c r="I804" s="16"/>
      <c r="J804" s="16"/>
      <c r="K804" s="16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2.75">
      <c r="A805" s="19"/>
      <c r="B805" s="19"/>
      <c r="C805" s="16"/>
      <c r="D805" s="16"/>
      <c r="E805" s="16"/>
      <c r="F805" s="16"/>
      <c r="G805" s="16"/>
      <c r="H805" s="16"/>
      <c r="I805" s="16"/>
      <c r="J805" s="16"/>
      <c r="K805" s="16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2.75">
      <c r="A806" s="19"/>
      <c r="B806" s="19"/>
      <c r="C806" s="16"/>
      <c r="D806" s="16"/>
      <c r="E806" s="16"/>
      <c r="F806" s="16"/>
      <c r="G806" s="16"/>
      <c r="H806" s="16"/>
      <c r="I806" s="16"/>
      <c r="J806" s="16"/>
      <c r="K806" s="16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2.75">
      <c r="A807" s="19"/>
      <c r="B807" s="19"/>
      <c r="C807" s="16"/>
      <c r="D807" s="16"/>
      <c r="E807" s="16"/>
      <c r="F807" s="16"/>
      <c r="G807" s="16"/>
      <c r="H807" s="16"/>
      <c r="I807" s="16"/>
      <c r="J807" s="16"/>
      <c r="K807" s="16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2.75">
      <c r="A808" s="19"/>
      <c r="B808" s="19"/>
      <c r="C808" s="16"/>
      <c r="D808" s="16"/>
      <c r="E808" s="16"/>
      <c r="F808" s="16"/>
      <c r="G808" s="16"/>
      <c r="H808" s="16"/>
      <c r="I808" s="16"/>
      <c r="J808" s="16"/>
      <c r="K808" s="16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2.75">
      <c r="A809" s="19"/>
      <c r="B809" s="19"/>
      <c r="C809" s="16"/>
      <c r="D809" s="16"/>
      <c r="E809" s="16"/>
      <c r="F809" s="16"/>
      <c r="G809" s="16"/>
      <c r="H809" s="16"/>
      <c r="I809" s="16"/>
      <c r="J809" s="16"/>
      <c r="K809" s="16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2.75">
      <c r="A810" s="19"/>
      <c r="B810" s="19"/>
      <c r="C810" s="16"/>
      <c r="D810" s="16"/>
      <c r="E810" s="16"/>
      <c r="F810" s="16"/>
      <c r="G810" s="16"/>
      <c r="H810" s="16"/>
      <c r="I810" s="16"/>
      <c r="J810" s="16"/>
      <c r="K810" s="16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2.75">
      <c r="A811" s="19"/>
      <c r="B811" s="19"/>
      <c r="C811" s="16"/>
      <c r="D811" s="16"/>
      <c r="E811" s="16"/>
      <c r="F811" s="16"/>
      <c r="G811" s="16"/>
      <c r="H811" s="16"/>
      <c r="I811" s="16"/>
      <c r="J811" s="16"/>
      <c r="K811" s="16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2.75">
      <c r="A812" s="19"/>
      <c r="B812" s="19"/>
      <c r="C812" s="16"/>
      <c r="D812" s="16"/>
      <c r="E812" s="16"/>
      <c r="F812" s="16"/>
      <c r="G812" s="16"/>
      <c r="H812" s="16"/>
      <c r="I812" s="16"/>
      <c r="J812" s="16"/>
      <c r="K812" s="16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2.75">
      <c r="A813" s="19"/>
      <c r="B813" s="19"/>
      <c r="C813" s="16"/>
      <c r="D813" s="16"/>
      <c r="E813" s="16"/>
      <c r="F813" s="16"/>
      <c r="G813" s="16"/>
      <c r="H813" s="16"/>
      <c r="I813" s="16"/>
      <c r="J813" s="16"/>
      <c r="K813" s="16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2.75">
      <c r="A814" s="19"/>
      <c r="B814" s="19"/>
      <c r="C814" s="16"/>
      <c r="D814" s="16"/>
      <c r="E814" s="16"/>
      <c r="F814" s="16"/>
      <c r="G814" s="16"/>
      <c r="H814" s="16"/>
      <c r="I814" s="16"/>
      <c r="J814" s="16"/>
      <c r="K814" s="16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2.75">
      <c r="A815" s="19"/>
      <c r="B815" s="19"/>
      <c r="C815" s="16"/>
      <c r="D815" s="16"/>
      <c r="E815" s="16"/>
      <c r="F815" s="16"/>
      <c r="G815" s="16"/>
      <c r="H815" s="16"/>
      <c r="I815" s="16"/>
      <c r="J815" s="16"/>
      <c r="K815" s="16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2.75">
      <c r="A816" s="19"/>
      <c r="B816" s="19"/>
      <c r="C816" s="16"/>
      <c r="D816" s="16"/>
      <c r="E816" s="16"/>
      <c r="F816" s="16"/>
      <c r="G816" s="16"/>
      <c r="H816" s="16"/>
      <c r="I816" s="16"/>
      <c r="J816" s="16"/>
      <c r="K816" s="16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2.75">
      <c r="A817" s="19"/>
      <c r="B817" s="19"/>
      <c r="C817" s="16"/>
      <c r="D817" s="16"/>
      <c r="E817" s="16"/>
      <c r="F817" s="16"/>
      <c r="G817" s="16"/>
      <c r="H817" s="16"/>
      <c r="I817" s="16"/>
      <c r="J817" s="16"/>
      <c r="K817" s="16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2.75">
      <c r="A818" s="19"/>
      <c r="B818" s="19"/>
      <c r="C818" s="16"/>
      <c r="D818" s="16"/>
      <c r="E818" s="16"/>
      <c r="F818" s="16"/>
      <c r="G818" s="16"/>
      <c r="H818" s="16"/>
      <c r="I818" s="16"/>
      <c r="J818" s="16"/>
      <c r="K818" s="16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2.75">
      <c r="A819" s="19"/>
      <c r="B819" s="19"/>
      <c r="C819" s="16"/>
      <c r="D819" s="16"/>
      <c r="E819" s="16"/>
      <c r="F819" s="16"/>
      <c r="G819" s="16"/>
      <c r="H819" s="16"/>
      <c r="I819" s="16"/>
      <c r="J819" s="16"/>
      <c r="K819" s="16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2.75">
      <c r="A820" s="19"/>
      <c r="B820" s="19"/>
      <c r="C820" s="16"/>
      <c r="D820" s="16"/>
      <c r="E820" s="16"/>
      <c r="F820" s="16"/>
      <c r="G820" s="16"/>
      <c r="H820" s="16"/>
      <c r="I820" s="16"/>
      <c r="J820" s="16"/>
      <c r="K820" s="16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2.75">
      <c r="A821" s="19"/>
      <c r="B821" s="19"/>
      <c r="C821" s="16"/>
      <c r="D821" s="16"/>
      <c r="E821" s="16"/>
      <c r="F821" s="16"/>
      <c r="G821" s="16"/>
      <c r="H821" s="16"/>
      <c r="I821" s="16"/>
      <c r="J821" s="16"/>
      <c r="K821" s="16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2.75">
      <c r="A822" s="19"/>
      <c r="B822" s="19"/>
      <c r="C822" s="16"/>
      <c r="D822" s="16"/>
      <c r="E822" s="16"/>
      <c r="F822" s="16"/>
      <c r="G822" s="16"/>
      <c r="H822" s="16"/>
      <c r="I822" s="16"/>
      <c r="J822" s="16"/>
      <c r="K822" s="16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2.75">
      <c r="A823" s="19"/>
      <c r="B823" s="19"/>
      <c r="C823" s="16"/>
      <c r="D823" s="16"/>
      <c r="E823" s="16"/>
      <c r="F823" s="16"/>
      <c r="G823" s="16"/>
      <c r="H823" s="16"/>
      <c r="I823" s="16"/>
      <c r="J823" s="16"/>
      <c r="K823" s="16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2.75">
      <c r="A824" s="19"/>
      <c r="B824" s="19"/>
      <c r="C824" s="16"/>
      <c r="D824" s="16"/>
      <c r="E824" s="16"/>
      <c r="F824" s="16"/>
      <c r="G824" s="16"/>
      <c r="H824" s="16"/>
      <c r="I824" s="16"/>
      <c r="J824" s="16"/>
      <c r="K824" s="16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2.75">
      <c r="A825" s="19"/>
      <c r="B825" s="19"/>
      <c r="C825" s="16"/>
      <c r="D825" s="16"/>
      <c r="E825" s="16"/>
      <c r="F825" s="16"/>
      <c r="G825" s="16"/>
      <c r="H825" s="16"/>
      <c r="I825" s="16"/>
      <c r="J825" s="16"/>
      <c r="K825" s="16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2.75">
      <c r="A826" s="19"/>
      <c r="B826" s="19"/>
      <c r="C826" s="16"/>
      <c r="D826" s="16"/>
      <c r="E826" s="16"/>
      <c r="F826" s="16"/>
      <c r="G826" s="16"/>
      <c r="H826" s="16"/>
      <c r="I826" s="16"/>
      <c r="J826" s="16"/>
      <c r="K826" s="16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2.75">
      <c r="A827" s="19"/>
      <c r="B827" s="19"/>
      <c r="C827" s="16"/>
      <c r="D827" s="16"/>
      <c r="E827" s="16"/>
      <c r="F827" s="16"/>
      <c r="G827" s="16"/>
      <c r="H827" s="16"/>
      <c r="I827" s="16"/>
      <c r="J827" s="16"/>
      <c r="K827" s="16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2.75">
      <c r="A828" s="19"/>
      <c r="B828" s="19"/>
      <c r="C828" s="16"/>
      <c r="D828" s="16"/>
      <c r="E828" s="16"/>
      <c r="F828" s="16"/>
      <c r="G828" s="16"/>
      <c r="H828" s="16"/>
      <c r="I828" s="16"/>
      <c r="J828" s="16"/>
      <c r="K828" s="16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2.75">
      <c r="A829" s="19"/>
      <c r="B829" s="19"/>
      <c r="C829" s="16"/>
      <c r="D829" s="16"/>
      <c r="E829" s="16"/>
      <c r="F829" s="16"/>
      <c r="G829" s="16"/>
      <c r="H829" s="16"/>
      <c r="I829" s="16"/>
      <c r="J829" s="16"/>
      <c r="K829" s="16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2.75">
      <c r="A830" s="19"/>
      <c r="B830" s="19"/>
      <c r="C830" s="16"/>
      <c r="D830" s="16"/>
      <c r="E830" s="16"/>
      <c r="F830" s="16"/>
      <c r="G830" s="16"/>
      <c r="H830" s="16"/>
      <c r="I830" s="16"/>
      <c r="J830" s="16"/>
      <c r="K830" s="16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2.75">
      <c r="A831" s="19"/>
      <c r="B831" s="19"/>
      <c r="C831" s="16"/>
      <c r="D831" s="16"/>
      <c r="E831" s="16"/>
      <c r="F831" s="16"/>
      <c r="G831" s="16"/>
      <c r="H831" s="16"/>
      <c r="I831" s="16"/>
      <c r="J831" s="16"/>
      <c r="K831" s="16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2.75">
      <c r="A832" s="19"/>
      <c r="B832" s="19"/>
      <c r="C832" s="16"/>
      <c r="D832" s="16"/>
      <c r="E832" s="16"/>
      <c r="F832" s="16"/>
      <c r="G832" s="16"/>
      <c r="H832" s="16"/>
      <c r="I832" s="16"/>
      <c r="J832" s="16"/>
      <c r="K832" s="16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2.75">
      <c r="A833" s="19"/>
      <c r="B833" s="19"/>
      <c r="C833" s="16"/>
      <c r="D833" s="16"/>
      <c r="E833" s="16"/>
      <c r="F833" s="16"/>
      <c r="G833" s="16"/>
      <c r="H833" s="16"/>
      <c r="I833" s="16"/>
      <c r="J833" s="16"/>
      <c r="K833" s="16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2.75">
      <c r="A834" s="19"/>
      <c r="B834" s="19"/>
      <c r="C834" s="16"/>
      <c r="D834" s="16"/>
      <c r="E834" s="16"/>
      <c r="F834" s="16"/>
      <c r="G834" s="16"/>
      <c r="H834" s="16"/>
      <c r="I834" s="16"/>
      <c r="J834" s="16"/>
      <c r="K834" s="16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2.75">
      <c r="A835" s="19"/>
      <c r="B835" s="19"/>
      <c r="C835" s="16"/>
      <c r="D835" s="16"/>
      <c r="E835" s="16"/>
      <c r="F835" s="16"/>
      <c r="G835" s="16"/>
      <c r="H835" s="16"/>
      <c r="I835" s="16"/>
      <c r="J835" s="16"/>
      <c r="K835" s="16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2.75">
      <c r="A836" s="19"/>
      <c r="B836" s="19"/>
      <c r="C836" s="16"/>
      <c r="D836" s="16"/>
      <c r="E836" s="16"/>
      <c r="F836" s="16"/>
      <c r="G836" s="16"/>
      <c r="H836" s="16"/>
      <c r="I836" s="16"/>
      <c r="J836" s="16"/>
      <c r="K836" s="16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2.75">
      <c r="A837" s="19"/>
      <c r="B837" s="19"/>
      <c r="C837" s="16"/>
      <c r="D837" s="16"/>
      <c r="E837" s="16"/>
      <c r="F837" s="16"/>
      <c r="G837" s="16"/>
      <c r="H837" s="16"/>
      <c r="I837" s="16"/>
      <c r="J837" s="16"/>
      <c r="K837" s="16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2.75">
      <c r="A838" s="19"/>
      <c r="B838" s="19"/>
      <c r="C838" s="16"/>
      <c r="D838" s="16"/>
      <c r="E838" s="16"/>
      <c r="F838" s="16"/>
      <c r="G838" s="16"/>
      <c r="H838" s="16"/>
      <c r="I838" s="16"/>
      <c r="J838" s="16"/>
      <c r="K838" s="16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2.75">
      <c r="A839" s="19"/>
      <c r="B839" s="19"/>
      <c r="C839" s="16"/>
      <c r="D839" s="16"/>
      <c r="E839" s="16"/>
      <c r="F839" s="16"/>
      <c r="G839" s="16"/>
      <c r="H839" s="16"/>
      <c r="I839" s="16"/>
      <c r="J839" s="16"/>
      <c r="K839" s="16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2.75">
      <c r="A840" s="19"/>
      <c r="B840" s="19"/>
      <c r="C840" s="16"/>
      <c r="D840" s="16"/>
      <c r="E840" s="16"/>
      <c r="F840" s="16"/>
      <c r="G840" s="16"/>
      <c r="H840" s="16"/>
      <c r="I840" s="16"/>
      <c r="J840" s="16"/>
      <c r="K840" s="16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2.75">
      <c r="A841" s="19"/>
      <c r="B841" s="19"/>
      <c r="C841" s="16"/>
      <c r="D841" s="16"/>
      <c r="E841" s="16"/>
      <c r="F841" s="16"/>
      <c r="G841" s="16"/>
      <c r="H841" s="16"/>
      <c r="I841" s="16"/>
      <c r="J841" s="16"/>
      <c r="K841" s="16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2.75">
      <c r="A842" s="19"/>
      <c r="B842" s="19"/>
      <c r="C842" s="16"/>
      <c r="D842" s="16"/>
      <c r="E842" s="16"/>
      <c r="F842" s="16"/>
      <c r="G842" s="16"/>
      <c r="H842" s="16"/>
      <c r="I842" s="16"/>
      <c r="J842" s="16"/>
      <c r="K842" s="16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2.75">
      <c r="A843" s="19"/>
      <c r="B843" s="19"/>
      <c r="C843" s="16"/>
      <c r="D843" s="16"/>
      <c r="E843" s="16"/>
      <c r="F843" s="16"/>
      <c r="G843" s="16"/>
      <c r="H843" s="16"/>
      <c r="I843" s="16"/>
      <c r="J843" s="16"/>
      <c r="K843" s="16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2.75">
      <c r="A844" s="19"/>
      <c r="B844" s="19"/>
      <c r="C844" s="16"/>
      <c r="D844" s="16"/>
      <c r="E844" s="16"/>
      <c r="F844" s="16"/>
      <c r="G844" s="16"/>
      <c r="H844" s="16"/>
      <c r="I844" s="16"/>
      <c r="J844" s="16"/>
      <c r="K844" s="16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2.75">
      <c r="A845" s="19"/>
      <c r="B845" s="19"/>
      <c r="C845" s="16"/>
      <c r="D845" s="16"/>
      <c r="E845" s="16"/>
      <c r="F845" s="16"/>
      <c r="G845" s="16"/>
      <c r="H845" s="16"/>
      <c r="I845" s="16"/>
      <c r="J845" s="16"/>
      <c r="K845" s="16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2.75">
      <c r="A846" s="19"/>
      <c r="B846" s="19"/>
      <c r="C846" s="16"/>
      <c r="D846" s="16"/>
      <c r="E846" s="16"/>
      <c r="F846" s="16"/>
      <c r="G846" s="16"/>
      <c r="H846" s="16"/>
      <c r="I846" s="16"/>
      <c r="J846" s="16"/>
      <c r="K846" s="16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2.75">
      <c r="A847" s="19"/>
      <c r="B847" s="19"/>
      <c r="C847" s="16"/>
      <c r="D847" s="16"/>
      <c r="E847" s="16"/>
      <c r="F847" s="16"/>
      <c r="G847" s="16"/>
      <c r="H847" s="16"/>
      <c r="I847" s="16"/>
      <c r="J847" s="16"/>
      <c r="K847" s="16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2.75">
      <c r="A848" s="19"/>
      <c r="B848" s="19"/>
      <c r="C848" s="16"/>
      <c r="D848" s="16"/>
      <c r="E848" s="16"/>
      <c r="F848" s="16"/>
      <c r="G848" s="16"/>
      <c r="H848" s="16"/>
      <c r="I848" s="16"/>
      <c r="J848" s="16"/>
      <c r="K848" s="16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2.75">
      <c r="A849" s="19"/>
      <c r="B849" s="19"/>
      <c r="C849" s="16"/>
      <c r="D849" s="16"/>
      <c r="E849" s="16"/>
      <c r="F849" s="16"/>
      <c r="G849" s="16"/>
      <c r="H849" s="16"/>
      <c r="I849" s="16"/>
      <c r="J849" s="16"/>
      <c r="K849" s="16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2.75">
      <c r="A850" s="19"/>
      <c r="B850" s="19"/>
      <c r="C850" s="16"/>
      <c r="D850" s="16"/>
      <c r="E850" s="16"/>
      <c r="F850" s="16"/>
      <c r="G850" s="16"/>
      <c r="H850" s="16"/>
      <c r="I850" s="16"/>
      <c r="J850" s="16"/>
      <c r="K850" s="16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2.75">
      <c r="A851" s="19"/>
      <c r="B851" s="19"/>
      <c r="C851" s="16"/>
      <c r="D851" s="16"/>
      <c r="E851" s="16"/>
      <c r="F851" s="16"/>
      <c r="G851" s="16"/>
      <c r="H851" s="16"/>
      <c r="I851" s="16"/>
      <c r="J851" s="16"/>
      <c r="K851" s="16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2.75">
      <c r="A852" s="19"/>
      <c r="B852" s="19"/>
      <c r="C852" s="16"/>
      <c r="D852" s="16"/>
      <c r="E852" s="16"/>
      <c r="F852" s="16"/>
      <c r="G852" s="16"/>
      <c r="H852" s="16"/>
      <c r="I852" s="16"/>
      <c r="J852" s="16"/>
      <c r="K852" s="16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2.75">
      <c r="A853" s="19"/>
      <c r="B853" s="19"/>
      <c r="C853" s="16"/>
      <c r="D853" s="16"/>
      <c r="E853" s="16"/>
      <c r="F853" s="16"/>
      <c r="G853" s="16"/>
      <c r="H853" s="16"/>
      <c r="I853" s="16"/>
      <c r="J853" s="16"/>
      <c r="K853" s="16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2.75">
      <c r="A854" s="19"/>
      <c r="B854" s="19"/>
      <c r="C854" s="16"/>
      <c r="D854" s="16"/>
      <c r="E854" s="16"/>
      <c r="F854" s="16"/>
      <c r="G854" s="16"/>
      <c r="H854" s="16"/>
      <c r="I854" s="16"/>
      <c r="J854" s="16"/>
      <c r="K854" s="16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2.75">
      <c r="A855" s="19"/>
      <c r="B855" s="19"/>
      <c r="C855" s="16"/>
      <c r="D855" s="16"/>
      <c r="E855" s="16"/>
      <c r="F855" s="16"/>
      <c r="G855" s="16"/>
      <c r="H855" s="16"/>
      <c r="I855" s="16"/>
      <c r="J855" s="16"/>
      <c r="K855" s="16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2.75">
      <c r="A856" s="19"/>
      <c r="B856" s="19"/>
      <c r="C856" s="16"/>
      <c r="D856" s="16"/>
      <c r="E856" s="16"/>
      <c r="F856" s="16"/>
      <c r="G856" s="16"/>
      <c r="H856" s="16"/>
      <c r="I856" s="16"/>
      <c r="J856" s="16"/>
      <c r="K856" s="16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2.75">
      <c r="A857" s="19"/>
      <c r="B857" s="19"/>
      <c r="C857" s="16"/>
      <c r="D857" s="16"/>
      <c r="E857" s="16"/>
      <c r="F857" s="16"/>
      <c r="G857" s="16"/>
      <c r="H857" s="16"/>
      <c r="I857" s="16"/>
      <c r="J857" s="16"/>
      <c r="K857" s="16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2.75">
      <c r="A858" s="19"/>
      <c r="B858" s="19"/>
      <c r="C858" s="16"/>
      <c r="D858" s="16"/>
      <c r="E858" s="16"/>
      <c r="F858" s="16"/>
      <c r="G858" s="16"/>
      <c r="H858" s="16"/>
      <c r="I858" s="16"/>
      <c r="J858" s="16"/>
      <c r="K858" s="16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2.75">
      <c r="A859" s="19"/>
      <c r="B859" s="19"/>
      <c r="C859" s="16"/>
      <c r="D859" s="16"/>
      <c r="E859" s="16"/>
      <c r="F859" s="16"/>
      <c r="G859" s="16"/>
      <c r="H859" s="16"/>
      <c r="I859" s="16"/>
      <c r="J859" s="16"/>
      <c r="K859" s="16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2.75">
      <c r="A860" s="19"/>
      <c r="B860" s="19"/>
      <c r="C860" s="16"/>
      <c r="D860" s="16"/>
      <c r="E860" s="16"/>
      <c r="F860" s="16"/>
      <c r="G860" s="16"/>
      <c r="H860" s="16"/>
      <c r="I860" s="16"/>
      <c r="J860" s="16"/>
      <c r="K860" s="16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2.75">
      <c r="A861" s="19"/>
      <c r="B861" s="19"/>
      <c r="C861" s="16"/>
      <c r="D861" s="16"/>
      <c r="E861" s="16"/>
      <c r="F861" s="16"/>
      <c r="G861" s="16"/>
      <c r="H861" s="16"/>
      <c r="I861" s="16"/>
      <c r="J861" s="16"/>
      <c r="K861" s="16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2.75">
      <c r="A862" s="19"/>
      <c r="B862" s="19"/>
      <c r="C862" s="16"/>
      <c r="D862" s="16"/>
      <c r="E862" s="16"/>
      <c r="F862" s="16"/>
      <c r="G862" s="16"/>
      <c r="H862" s="16"/>
      <c r="I862" s="16"/>
      <c r="J862" s="16"/>
      <c r="K862" s="16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2.75">
      <c r="A863" s="19"/>
      <c r="B863" s="19"/>
      <c r="C863" s="16"/>
      <c r="D863" s="16"/>
      <c r="E863" s="16"/>
      <c r="F863" s="16"/>
      <c r="G863" s="16"/>
      <c r="H863" s="16"/>
      <c r="I863" s="16"/>
      <c r="J863" s="16"/>
      <c r="K863" s="16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2.75">
      <c r="A864" s="19"/>
      <c r="B864" s="19"/>
      <c r="C864" s="16"/>
      <c r="D864" s="16"/>
      <c r="E864" s="16"/>
      <c r="F864" s="16"/>
      <c r="G864" s="16"/>
      <c r="H864" s="16"/>
      <c r="I864" s="16"/>
      <c r="J864" s="16"/>
      <c r="K864" s="16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2.75">
      <c r="A865" s="19"/>
      <c r="B865" s="19"/>
      <c r="C865" s="16"/>
      <c r="D865" s="16"/>
      <c r="E865" s="16"/>
      <c r="F865" s="16"/>
      <c r="G865" s="16"/>
      <c r="H865" s="16"/>
      <c r="I865" s="16"/>
      <c r="J865" s="16"/>
      <c r="K865" s="16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2.75">
      <c r="A866" s="19"/>
      <c r="B866" s="19"/>
      <c r="C866" s="16"/>
      <c r="D866" s="16"/>
      <c r="E866" s="16"/>
      <c r="F866" s="16"/>
      <c r="G866" s="16"/>
      <c r="H866" s="16"/>
      <c r="I866" s="16"/>
      <c r="J866" s="16"/>
      <c r="K866" s="16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2.75">
      <c r="A867" s="19"/>
      <c r="B867" s="19"/>
      <c r="C867" s="16"/>
      <c r="D867" s="16"/>
      <c r="E867" s="16"/>
      <c r="F867" s="16"/>
      <c r="G867" s="16"/>
      <c r="H867" s="16"/>
      <c r="I867" s="16"/>
      <c r="J867" s="16"/>
      <c r="K867" s="16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2.75">
      <c r="A868" s="19"/>
      <c r="B868" s="19"/>
      <c r="C868" s="16"/>
      <c r="D868" s="16"/>
      <c r="E868" s="16"/>
      <c r="F868" s="16"/>
      <c r="G868" s="16"/>
      <c r="H868" s="16"/>
      <c r="I868" s="16"/>
      <c r="J868" s="16"/>
      <c r="K868" s="16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2.75">
      <c r="A869" s="19"/>
      <c r="B869" s="19"/>
      <c r="C869" s="16"/>
      <c r="D869" s="16"/>
      <c r="E869" s="16"/>
      <c r="F869" s="16"/>
      <c r="G869" s="16"/>
      <c r="H869" s="16"/>
      <c r="I869" s="16"/>
      <c r="J869" s="16"/>
      <c r="K869" s="16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2.75">
      <c r="A870" s="19"/>
      <c r="B870" s="19"/>
      <c r="C870" s="16"/>
      <c r="D870" s="16"/>
      <c r="E870" s="16"/>
      <c r="F870" s="16"/>
      <c r="G870" s="16"/>
      <c r="H870" s="16"/>
      <c r="I870" s="16"/>
      <c r="J870" s="16"/>
      <c r="K870" s="16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2.75">
      <c r="A871" s="19"/>
      <c r="B871" s="19"/>
      <c r="C871" s="16"/>
      <c r="D871" s="16"/>
      <c r="E871" s="16"/>
      <c r="F871" s="16"/>
      <c r="G871" s="16"/>
      <c r="H871" s="16"/>
      <c r="I871" s="16"/>
      <c r="J871" s="16"/>
      <c r="K871" s="16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2.75">
      <c r="A872" s="19"/>
      <c r="B872" s="19"/>
      <c r="C872" s="16"/>
      <c r="D872" s="16"/>
      <c r="E872" s="16"/>
      <c r="F872" s="16"/>
      <c r="G872" s="16"/>
      <c r="H872" s="16"/>
      <c r="I872" s="16"/>
      <c r="J872" s="16"/>
      <c r="K872" s="16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2.75">
      <c r="A873" s="19"/>
      <c r="B873" s="19"/>
      <c r="C873" s="16"/>
      <c r="D873" s="16"/>
      <c r="E873" s="16"/>
      <c r="F873" s="16"/>
      <c r="G873" s="16"/>
      <c r="H873" s="16"/>
      <c r="I873" s="16"/>
      <c r="J873" s="16"/>
      <c r="K873" s="16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2.75">
      <c r="A874" s="19"/>
      <c r="B874" s="19"/>
      <c r="C874" s="16"/>
      <c r="D874" s="16"/>
      <c r="E874" s="16"/>
      <c r="F874" s="16"/>
      <c r="G874" s="16"/>
      <c r="H874" s="16"/>
      <c r="I874" s="16"/>
      <c r="J874" s="16"/>
      <c r="K874" s="16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2.75">
      <c r="A875" s="19"/>
      <c r="B875" s="19"/>
      <c r="C875" s="16"/>
      <c r="D875" s="16"/>
      <c r="E875" s="16"/>
      <c r="F875" s="16"/>
      <c r="G875" s="16"/>
      <c r="H875" s="16"/>
      <c r="I875" s="16"/>
      <c r="J875" s="16"/>
      <c r="K875" s="16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2.75">
      <c r="A876" s="19"/>
      <c r="B876" s="19"/>
      <c r="C876" s="16"/>
      <c r="D876" s="16"/>
      <c r="E876" s="16"/>
      <c r="F876" s="16"/>
      <c r="G876" s="16"/>
      <c r="H876" s="16"/>
      <c r="I876" s="16"/>
      <c r="J876" s="16"/>
      <c r="K876" s="16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2.75">
      <c r="A877" s="19"/>
      <c r="B877" s="19"/>
      <c r="C877" s="16"/>
      <c r="D877" s="16"/>
      <c r="E877" s="16"/>
      <c r="F877" s="16"/>
      <c r="G877" s="16"/>
      <c r="H877" s="16"/>
      <c r="I877" s="16"/>
      <c r="J877" s="16"/>
      <c r="K877" s="16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2.75">
      <c r="A878" s="19"/>
      <c r="B878" s="19"/>
      <c r="C878" s="16"/>
      <c r="D878" s="16"/>
      <c r="E878" s="16"/>
      <c r="F878" s="16"/>
      <c r="G878" s="16"/>
      <c r="H878" s="16"/>
      <c r="I878" s="16"/>
      <c r="J878" s="16"/>
      <c r="K878" s="16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2.75">
      <c r="A879" s="19"/>
      <c r="B879" s="19"/>
      <c r="C879" s="16"/>
      <c r="D879" s="16"/>
      <c r="E879" s="16"/>
      <c r="F879" s="16"/>
      <c r="G879" s="16"/>
      <c r="H879" s="16"/>
      <c r="I879" s="16"/>
      <c r="J879" s="16"/>
      <c r="K879" s="16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2.75">
      <c r="A880" s="19"/>
      <c r="B880" s="19"/>
      <c r="C880" s="16"/>
      <c r="D880" s="16"/>
      <c r="E880" s="16"/>
      <c r="F880" s="16"/>
      <c r="G880" s="16"/>
      <c r="H880" s="16"/>
      <c r="I880" s="16"/>
      <c r="J880" s="16"/>
      <c r="K880" s="16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2.75">
      <c r="A881" s="19"/>
      <c r="B881" s="19"/>
      <c r="C881" s="16"/>
      <c r="D881" s="16"/>
      <c r="E881" s="16"/>
      <c r="F881" s="16"/>
      <c r="G881" s="16"/>
      <c r="H881" s="16"/>
      <c r="I881" s="16"/>
      <c r="J881" s="16"/>
      <c r="K881" s="16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2.75">
      <c r="A882" s="19"/>
      <c r="B882" s="19"/>
      <c r="C882" s="16"/>
      <c r="D882" s="16"/>
      <c r="E882" s="16"/>
      <c r="F882" s="16"/>
      <c r="G882" s="16"/>
      <c r="H882" s="16"/>
      <c r="I882" s="16"/>
      <c r="J882" s="16"/>
      <c r="K882" s="16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2.75">
      <c r="A883" s="19"/>
      <c r="B883" s="19"/>
      <c r="C883" s="16"/>
      <c r="D883" s="16"/>
      <c r="E883" s="16"/>
      <c r="F883" s="16"/>
      <c r="G883" s="16"/>
      <c r="H883" s="16"/>
      <c r="I883" s="16"/>
      <c r="J883" s="16"/>
      <c r="K883" s="16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2.75">
      <c r="A884" s="19"/>
      <c r="B884" s="19"/>
      <c r="C884" s="16"/>
      <c r="D884" s="16"/>
      <c r="E884" s="16"/>
      <c r="F884" s="16"/>
      <c r="G884" s="16"/>
      <c r="H884" s="16"/>
      <c r="I884" s="16"/>
      <c r="J884" s="16"/>
      <c r="K884" s="16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2.75">
      <c r="A885" s="19"/>
      <c r="B885" s="19"/>
      <c r="C885" s="16"/>
      <c r="D885" s="16"/>
      <c r="E885" s="16"/>
      <c r="F885" s="16"/>
      <c r="G885" s="16"/>
      <c r="H885" s="16"/>
      <c r="I885" s="16"/>
      <c r="J885" s="16"/>
      <c r="K885" s="16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2.75">
      <c r="A886" s="19"/>
      <c r="B886" s="19"/>
      <c r="C886" s="16"/>
      <c r="D886" s="16"/>
      <c r="E886" s="16"/>
      <c r="F886" s="16"/>
      <c r="G886" s="16"/>
      <c r="H886" s="16"/>
      <c r="I886" s="16"/>
      <c r="J886" s="16"/>
      <c r="K886" s="16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2.75">
      <c r="A887" s="19"/>
      <c r="B887" s="19"/>
      <c r="C887" s="16"/>
      <c r="D887" s="16"/>
      <c r="E887" s="16"/>
      <c r="F887" s="16"/>
      <c r="G887" s="16"/>
      <c r="H887" s="16"/>
      <c r="I887" s="16"/>
      <c r="J887" s="16"/>
      <c r="K887" s="16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2.75">
      <c r="A888" s="19"/>
      <c r="B888" s="19"/>
      <c r="C888" s="16"/>
      <c r="D888" s="16"/>
      <c r="E888" s="16"/>
      <c r="F888" s="16"/>
      <c r="G888" s="16"/>
      <c r="H888" s="16"/>
      <c r="I888" s="16"/>
      <c r="J888" s="16"/>
      <c r="K888" s="16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2.75">
      <c r="A889" s="19"/>
      <c r="B889" s="19"/>
      <c r="C889" s="16"/>
      <c r="D889" s="16"/>
      <c r="E889" s="16"/>
      <c r="F889" s="16"/>
      <c r="G889" s="16"/>
      <c r="H889" s="16"/>
      <c r="I889" s="16"/>
      <c r="J889" s="16"/>
      <c r="K889" s="16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2.75">
      <c r="A890" s="19"/>
      <c r="B890" s="19"/>
      <c r="C890" s="16"/>
      <c r="D890" s="16"/>
      <c r="E890" s="16"/>
      <c r="F890" s="16"/>
      <c r="G890" s="16"/>
      <c r="H890" s="16"/>
      <c r="I890" s="16"/>
      <c r="J890" s="16"/>
      <c r="K890" s="16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2.75">
      <c r="A891" s="19"/>
      <c r="B891" s="19"/>
      <c r="C891" s="16"/>
      <c r="D891" s="16"/>
      <c r="E891" s="16"/>
      <c r="F891" s="16"/>
      <c r="G891" s="16"/>
      <c r="H891" s="16"/>
      <c r="I891" s="16"/>
      <c r="J891" s="16"/>
      <c r="K891" s="16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2.75">
      <c r="A892" s="19"/>
      <c r="B892" s="19"/>
      <c r="C892" s="16"/>
      <c r="D892" s="16"/>
      <c r="E892" s="16"/>
      <c r="F892" s="16"/>
      <c r="G892" s="16"/>
      <c r="H892" s="16"/>
      <c r="I892" s="16"/>
      <c r="J892" s="16"/>
      <c r="K892" s="16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2.75">
      <c r="A893" s="19"/>
      <c r="B893" s="19"/>
      <c r="C893" s="16"/>
      <c r="D893" s="16"/>
      <c r="E893" s="16"/>
      <c r="F893" s="16"/>
      <c r="G893" s="16"/>
      <c r="H893" s="16"/>
      <c r="I893" s="16"/>
      <c r="J893" s="16"/>
      <c r="K893" s="16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2.75">
      <c r="A894" s="19"/>
      <c r="B894" s="19"/>
      <c r="C894" s="16"/>
      <c r="D894" s="16"/>
      <c r="E894" s="16"/>
      <c r="F894" s="16"/>
      <c r="G894" s="16"/>
      <c r="H894" s="16"/>
      <c r="I894" s="16"/>
      <c r="J894" s="16"/>
      <c r="K894" s="16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2.75">
      <c r="A895" s="19"/>
      <c r="B895" s="19"/>
      <c r="C895" s="16"/>
      <c r="D895" s="16"/>
      <c r="E895" s="16"/>
      <c r="F895" s="16"/>
      <c r="G895" s="16"/>
      <c r="H895" s="16"/>
      <c r="I895" s="16"/>
      <c r="J895" s="16"/>
      <c r="K895" s="16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2.75">
      <c r="A896" s="19"/>
      <c r="B896" s="19"/>
      <c r="C896" s="16"/>
      <c r="D896" s="16"/>
      <c r="E896" s="16"/>
      <c r="F896" s="16"/>
      <c r="G896" s="16"/>
      <c r="H896" s="16"/>
      <c r="I896" s="16"/>
      <c r="J896" s="16"/>
      <c r="K896" s="16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2.75">
      <c r="A897" s="19"/>
      <c r="B897" s="19"/>
      <c r="C897" s="16"/>
      <c r="D897" s="16"/>
      <c r="E897" s="16"/>
      <c r="F897" s="16"/>
      <c r="G897" s="16"/>
      <c r="H897" s="16"/>
      <c r="I897" s="16"/>
      <c r="J897" s="16"/>
      <c r="K897" s="16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2.75">
      <c r="A898" s="19"/>
      <c r="B898" s="19"/>
      <c r="C898" s="16"/>
      <c r="D898" s="16"/>
      <c r="E898" s="16"/>
      <c r="F898" s="16"/>
      <c r="G898" s="16"/>
      <c r="H898" s="16"/>
      <c r="I898" s="16"/>
      <c r="J898" s="16"/>
      <c r="K898" s="16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2.75">
      <c r="A899" s="19"/>
      <c r="B899" s="19"/>
      <c r="C899" s="16"/>
      <c r="D899" s="16"/>
      <c r="E899" s="16"/>
      <c r="F899" s="16"/>
      <c r="G899" s="16"/>
      <c r="H899" s="16"/>
      <c r="I899" s="16"/>
      <c r="J899" s="16"/>
      <c r="K899" s="16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2.75">
      <c r="A900" s="19"/>
      <c r="B900" s="19"/>
      <c r="C900" s="16"/>
      <c r="D900" s="16"/>
      <c r="E900" s="16"/>
      <c r="F900" s="16"/>
      <c r="G900" s="16"/>
      <c r="H900" s="16"/>
      <c r="I900" s="16"/>
      <c r="J900" s="16"/>
      <c r="K900" s="16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2.75">
      <c r="A901" s="19"/>
      <c r="B901" s="19"/>
      <c r="C901" s="16"/>
      <c r="D901" s="16"/>
      <c r="E901" s="16"/>
      <c r="F901" s="16"/>
      <c r="G901" s="16"/>
      <c r="H901" s="16"/>
      <c r="I901" s="16"/>
      <c r="J901" s="16"/>
      <c r="K901" s="16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2.75">
      <c r="A902" s="19"/>
      <c r="B902" s="19"/>
      <c r="C902" s="16"/>
      <c r="D902" s="16"/>
      <c r="E902" s="16"/>
      <c r="F902" s="16"/>
      <c r="G902" s="16"/>
      <c r="H902" s="16"/>
      <c r="I902" s="16"/>
      <c r="J902" s="16"/>
      <c r="K902" s="16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2.75">
      <c r="A903" s="19"/>
      <c r="B903" s="19"/>
      <c r="C903" s="16"/>
      <c r="D903" s="16"/>
      <c r="E903" s="16"/>
      <c r="F903" s="16"/>
      <c r="G903" s="16"/>
      <c r="H903" s="16"/>
      <c r="I903" s="16"/>
      <c r="J903" s="16"/>
      <c r="K903" s="16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2.75">
      <c r="A904" s="19"/>
      <c r="B904" s="19"/>
      <c r="C904" s="16"/>
      <c r="D904" s="16"/>
      <c r="E904" s="16"/>
      <c r="F904" s="16"/>
      <c r="G904" s="16"/>
      <c r="H904" s="16"/>
      <c r="I904" s="16"/>
      <c r="J904" s="16"/>
      <c r="K904" s="16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2.75">
      <c r="A905" s="19"/>
      <c r="B905" s="19"/>
      <c r="C905" s="16"/>
      <c r="D905" s="16"/>
      <c r="E905" s="16"/>
      <c r="F905" s="16"/>
      <c r="G905" s="16"/>
      <c r="H905" s="16"/>
      <c r="I905" s="16"/>
      <c r="J905" s="16"/>
      <c r="K905" s="16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2.75">
      <c r="A906" s="19"/>
      <c r="B906" s="19"/>
      <c r="C906" s="16"/>
      <c r="D906" s="16"/>
      <c r="E906" s="16"/>
      <c r="F906" s="16"/>
      <c r="G906" s="16"/>
      <c r="H906" s="16"/>
      <c r="I906" s="16"/>
      <c r="J906" s="16"/>
      <c r="K906" s="16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2.75">
      <c r="A907" s="19"/>
      <c r="B907" s="19"/>
      <c r="C907" s="16"/>
      <c r="D907" s="16"/>
      <c r="E907" s="16"/>
      <c r="F907" s="16"/>
      <c r="G907" s="16"/>
      <c r="H907" s="16"/>
      <c r="I907" s="16"/>
      <c r="J907" s="16"/>
      <c r="K907" s="16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2.75">
      <c r="A908" s="19"/>
      <c r="B908" s="19"/>
      <c r="C908" s="16"/>
      <c r="D908" s="16"/>
      <c r="E908" s="16"/>
      <c r="F908" s="16"/>
      <c r="G908" s="16"/>
      <c r="H908" s="16"/>
      <c r="I908" s="16"/>
      <c r="J908" s="16"/>
      <c r="K908" s="16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2.75">
      <c r="A909" s="19"/>
      <c r="B909" s="19"/>
      <c r="C909" s="16"/>
      <c r="D909" s="16"/>
      <c r="E909" s="16"/>
      <c r="F909" s="16"/>
      <c r="G909" s="16"/>
      <c r="H909" s="16"/>
      <c r="I909" s="16"/>
      <c r="J909" s="16"/>
      <c r="K909" s="16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2.75">
      <c r="A910" s="19"/>
      <c r="B910" s="19"/>
      <c r="C910" s="16"/>
      <c r="D910" s="16"/>
      <c r="E910" s="16"/>
      <c r="F910" s="16"/>
      <c r="G910" s="16"/>
      <c r="H910" s="16"/>
      <c r="I910" s="16"/>
      <c r="J910" s="16"/>
      <c r="K910" s="16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2.75">
      <c r="A911" s="19"/>
      <c r="B911" s="19"/>
      <c r="C911" s="16"/>
      <c r="D911" s="16"/>
      <c r="E911" s="16"/>
      <c r="F911" s="16"/>
      <c r="G911" s="16"/>
      <c r="H911" s="16"/>
      <c r="I911" s="16"/>
      <c r="J911" s="16"/>
      <c r="K911" s="16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2.75">
      <c r="A912" s="19"/>
      <c r="B912" s="19"/>
      <c r="C912" s="16"/>
      <c r="D912" s="16"/>
      <c r="E912" s="16"/>
      <c r="F912" s="16"/>
      <c r="G912" s="16"/>
      <c r="H912" s="16"/>
      <c r="I912" s="16"/>
      <c r="J912" s="16"/>
      <c r="K912" s="16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2.75">
      <c r="A913" s="19"/>
      <c r="B913" s="19"/>
      <c r="C913" s="16"/>
      <c r="D913" s="16"/>
      <c r="E913" s="16"/>
      <c r="F913" s="16"/>
      <c r="G913" s="16"/>
      <c r="H913" s="16"/>
      <c r="I913" s="16"/>
      <c r="J913" s="16"/>
      <c r="K913" s="16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2.75">
      <c r="A914" s="19"/>
      <c r="B914" s="19"/>
      <c r="C914" s="16"/>
      <c r="D914" s="16"/>
      <c r="E914" s="16"/>
      <c r="F914" s="16"/>
      <c r="G914" s="16"/>
      <c r="H914" s="16"/>
      <c r="I914" s="16"/>
      <c r="J914" s="16"/>
      <c r="K914" s="16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2.75">
      <c r="A915" s="19"/>
      <c r="B915" s="19"/>
      <c r="C915" s="16"/>
      <c r="D915" s="16"/>
      <c r="E915" s="16"/>
      <c r="F915" s="16"/>
      <c r="G915" s="16"/>
      <c r="H915" s="16"/>
      <c r="I915" s="16"/>
      <c r="J915" s="16"/>
      <c r="K915" s="16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2.75">
      <c r="A916" s="19"/>
      <c r="B916" s="19"/>
      <c r="C916" s="16"/>
      <c r="D916" s="16"/>
      <c r="E916" s="16"/>
      <c r="F916" s="16"/>
      <c r="G916" s="16"/>
      <c r="H916" s="16"/>
      <c r="I916" s="16"/>
      <c r="J916" s="16"/>
      <c r="K916" s="16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2.75">
      <c r="A917" s="19"/>
      <c r="B917" s="19"/>
      <c r="C917" s="16"/>
      <c r="D917" s="16"/>
      <c r="E917" s="16"/>
      <c r="F917" s="16"/>
      <c r="G917" s="16"/>
      <c r="H917" s="16"/>
      <c r="I917" s="16"/>
      <c r="J917" s="16"/>
      <c r="K917" s="16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2.75">
      <c r="A918" s="19"/>
      <c r="B918" s="19"/>
      <c r="C918" s="16"/>
      <c r="D918" s="16"/>
      <c r="E918" s="16"/>
      <c r="F918" s="16"/>
      <c r="G918" s="16"/>
      <c r="H918" s="16"/>
      <c r="I918" s="16"/>
      <c r="J918" s="16"/>
      <c r="K918" s="16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2.75">
      <c r="A919" s="19"/>
      <c r="B919" s="19"/>
      <c r="C919" s="16"/>
      <c r="D919" s="16"/>
      <c r="E919" s="16"/>
      <c r="F919" s="16"/>
      <c r="G919" s="16"/>
      <c r="H919" s="16"/>
      <c r="I919" s="16"/>
      <c r="J919" s="16"/>
      <c r="K919" s="16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2.75">
      <c r="A920" s="19"/>
      <c r="B920" s="19"/>
      <c r="C920" s="16"/>
      <c r="D920" s="16"/>
      <c r="E920" s="16"/>
      <c r="F920" s="16"/>
      <c r="G920" s="16"/>
      <c r="H920" s="16"/>
      <c r="I920" s="16"/>
      <c r="J920" s="16"/>
      <c r="K920" s="16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2.75">
      <c r="A921" s="19"/>
      <c r="B921" s="19"/>
      <c r="C921" s="16"/>
      <c r="D921" s="16"/>
      <c r="E921" s="16"/>
      <c r="F921" s="16"/>
      <c r="G921" s="16"/>
      <c r="H921" s="16"/>
      <c r="I921" s="16"/>
      <c r="J921" s="16"/>
      <c r="K921" s="16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2.75">
      <c r="A922" s="19"/>
      <c r="B922" s="19"/>
      <c r="C922" s="16"/>
      <c r="D922" s="16"/>
      <c r="E922" s="16"/>
      <c r="F922" s="16"/>
      <c r="G922" s="16"/>
      <c r="H922" s="16"/>
      <c r="I922" s="16"/>
      <c r="J922" s="16"/>
      <c r="K922" s="16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2.75">
      <c r="A923" s="19"/>
      <c r="B923" s="19"/>
      <c r="C923" s="16"/>
      <c r="D923" s="16"/>
      <c r="E923" s="16"/>
      <c r="F923" s="16"/>
      <c r="G923" s="16"/>
      <c r="H923" s="16"/>
      <c r="I923" s="16"/>
      <c r="J923" s="16"/>
      <c r="K923" s="16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2.75">
      <c r="A924" s="19"/>
      <c r="B924" s="19"/>
      <c r="C924" s="16"/>
      <c r="D924" s="16"/>
      <c r="E924" s="16"/>
      <c r="F924" s="16"/>
      <c r="G924" s="16"/>
      <c r="H924" s="16"/>
      <c r="I924" s="16"/>
      <c r="J924" s="16"/>
      <c r="K924" s="16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2.75">
      <c r="A925" s="19"/>
      <c r="B925" s="19"/>
      <c r="C925" s="16"/>
      <c r="D925" s="16"/>
      <c r="E925" s="16"/>
      <c r="F925" s="16"/>
      <c r="G925" s="16"/>
      <c r="H925" s="16"/>
      <c r="I925" s="16"/>
      <c r="J925" s="16"/>
      <c r="K925" s="16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2.75">
      <c r="A926" s="19"/>
      <c r="B926" s="19"/>
      <c r="C926" s="16"/>
      <c r="D926" s="16"/>
      <c r="E926" s="16"/>
      <c r="F926" s="16"/>
      <c r="G926" s="16"/>
      <c r="H926" s="16"/>
      <c r="I926" s="16"/>
      <c r="J926" s="16"/>
      <c r="K926" s="16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2.75">
      <c r="A927" s="19"/>
      <c r="B927" s="19"/>
      <c r="C927" s="16"/>
      <c r="D927" s="16"/>
      <c r="E927" s="16"/>
      <c r="F927" s="16"/>
      <c r="G927" s="16"/>
      <c r="H927" s="16"/>
      <c r="I927" s="16"/>
      <c r="J927" s="16"/>
      <c r="K927" s="16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2.75">
      <c r="A928" s="19"/>
      <c r="B928" s="19"/>
      <c r="C928" s="16"/>
      <c r="D928" s="16"/>
      <c r="E928" s="16"/>
      <c r="F928" s="16"/>
      <c r="G928" s="16"/>
      <c r="H928" s="16"/>
      <c r="I928" s="16"/>
      <c r="J928" s="16"/>
      <c r="K928" s="16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2.75">
      <c r="A929" s="19"/>
      <c r="B929" s="19"/>
      <c r="C929" s="16"/>
      <c r="D929" s="16"/>
      <c r="E929" s="16"/>
      <c r="F929" s="16"/>
      <c r="G929" s="16"/>
      <c r="H929" s="16"/>
      <c r="I929" s="16"/>
      <c r="J929" s="16"/>
      <c r="K929" s="16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2.75">
      <c r="A930" s="19"/>
      <c r="B930" s="19"/>
      <c r="C930" s="16"/>
      <c r="D930" s="16"/>
      <c r="E930" s="16"/>
      <c r="F930" s="16"/>
      <c r="G930" s="16"/>
      <c r="H930" s="16"/>
      <c r="I930" s="16"/>
      <c r="J930" s="16"/>
      <c r="K930" s="16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2.75">
      <c r="A931" s="19"/>
      <c r="B931" s="19"/>
      <c r="C931" s="16"/>
      <c r="D931" s="16"/>
      <c r="E931" s="16"/>
      <c r="F931" s="16"/>
      <c r="G931" s="16"/>
      <c r="H931" s="16"/>
      <c r="I931" s="16"/>
      <c r="J931" s="16"/>
      <c r="K931" s="16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2.75">
      <c r="A932" s="19"/>
      <c r="B932" s="19"/>
      <c r="C932" s="16"/>
      <c r="D932" s="16"/>
      <c r="E932" s="16"/>
      <c r="F932" s="16"/>
      <c r="G932" s="16"/>
      <c r="H932" s="16"/>
      <c r="I932" s="16"/>
      <c r="J932" s="16"/>
      <c r="K932" s="16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2.75">
      <c r="A933" s="19"/>
      <c r="B933" s="19"/>
      <c r="C933" s="16"/>
      <c r="D933" s="16"/>
      <c r="E933" s="16"/>
      <c r="F933" s="16"/>
      <c r="G933" s="16"/>
      <c r="H933" s="16"/>
      <c r="I933" s="16"/>
      <c r="J933" s="16"/>
      <c r="K933" s="16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2.75">
      <c r="A934" s="19"/>
      <c r="B934" s="19"/>
      <c r="C934" s="16"/>
      <c r="D934" s="16"/>
      <c r="E934" s="16"/>
      <c r="F934" s="16"/>
      <c r="G934" s="16"/>
      <c r="H934" s="16"/>
      <c r="I934" s="16"/>
      <c r="J934" s="16"/>
      <c r="K934" s="16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2.75">
      <c r="A935" s="19"/>
      <c r="B935" s="19"/>
      <c r="C935" s="16"/>
      <c r="D935" s="16"/>
      <c r="E935" s="16"/>
      <c r="F935" s="16"/>
      <c r="G935" s="16"/>
      <c r="H935" s="16"/>
      <c r="I935" s="16"/>
      <c r="J935" s="16"/>
      <c r="K935" s="16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2.75">
      <c r="A936" s="19"/>
      <c r="B936" s="19"/>
      <c r="C936" s="16"/>
      <c r="D936" s="16"/>
      <c r="E936" s="16"/>
      <c r="F936" s="16"/>
      <c r="G936" s="16"/>
      <c r="H936" s="16"/>
      <c r="I936" s="16"/>
      <c r="J936" s="16"/>
      <c r="K936" s="16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2.75">
      <c r="A937" s="19"/>
      <c r="B937" s="19"/>
      <c r="C937" s="16"/>
      <c r="D937" s="16"/>
      <c r="E937" s="16"/>
      <c r="F937" s="16"/>
      <c r="G937" s="16"/>
      <c r="H937" s="16"/>
      <c r="I937" s="16"/>
      <c r="J937" s="16"/>
      <c r="K937" s="16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2.75">
      <c r="A938" s="19"/>
      <c r="B938" s="19"/>
      <c r="C938" s="16"/>
      <c r="D938" s="16"/>
      <c r="E938" s="16"/>
      <c r="F938" s="16"/>
      <c r="G938" s="16"/>
      <c r="H938" s="16"/>
      <c r="I938" s="16"/>
      <c r="J938" s="16"/>
      <c r="K938" s="16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2.75">
      <c r="A939" s="19"/>
      <c r="B939" s="19"/>
      <c r="C939" s="16"/>
      <c r="D939" s="16"/>
      <c r="E939" s="16"/>
      <c r="F939" s="16"/>
      <c r="G939" s="16"/>
      <c r="H939" s="16"/>
      <c r="I939" s="16"/>
      <c r="J939" s="16"/>
      <c r="K939" s="16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2.75">
      <c r="A940" s="19"/>
      <c r="B940" s="19"/>
      <c r="C940" s="16"/>
      <c r="D940" s="16"/>
      <c r="E940" s="16"/>
      <c r="F940" s="16"/>
      <c r="G940" s="16"/>
      <c r="H940" s="16"/>
      <c r="I940" s="16"/>
      <c r="J940" s="16"/>
      <c r="K940" s="16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2.75">
      <c r="A941" s="19"/>
      <c r="B941" s="19"/>
      <c r="C941" s="16"/>
      <c r="D941" s="16"/>
      <c r="E941" s="16"/>
      <c r="F941" s="16"/>
      <c r="G941" s="16"/>
      <c r="H941" s="16"/>
      <c r="I941" s="16"/>
      <c r="J941" s="16"/>
      <c r="K941" s="16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2.75">
      <c r="A942" s="19"/>
      <c r="B942" s="19"/>
      <c r="C942" s="16"/>
      <c r="D942" s="16"/>
      <c r="E942" s="16"/>
      <c r="F942" s="16"/>
      <c r="G942" s="16"/>
      <c r="H942" s="16"/>
      <c r="I942" s="16"/>
      <c r="J942" s="16"/>
      <c r="K942" s="16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2.75">
      <c r="A943" s="19"/>
      <c r="B943" s="19"/>
      <c r="C943" s="16"/>
      <c r="D943" s="16"/>
      <c r="E943" s="16"/>
      <c r="F943" s="16"/>
      <c r="G943" s="16"/>
      <c r="H943" s="16"/>
      <c r="I943" s="16"/>
      <c r="J943" s="16"/>
      <c r="K943" s="16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2.75">
      <c r="A944" s="19"/>
      <c r="B944" s="19"/>
      <c r="C944" s="16"/>
      <c r="D944" s="16"/>
      <c r="E944" s="16"/>
      <c r="F944" s="16"/>
      <c r="G944" s="16"/>
      <c r="H944" s="16"/>
      <c r="I944" s="16"/>
      <c r="J944" s="16"/>
      <c r="K944" s="16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2.75">
      <c r="A945" s="19"/>
      <c r="B945" s="19"/>
      <c r="C945" s="16"/>
      <c r="D945" s="16"/>
      <c r="E945" s="16"/>
      <c r="F945" s="16"/>
      <c r="G945" s="16"/>
      <c r="H945" s="16"/>
      <c r="I945" s="16"/>
      <c r="J945" s="16"/>
      <c r="K945" s="16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2.75">
      <c r="A946" s="19"/>
      <c r="B946" s="19"/>
      <c r="C946" s="16"/>
      <c r="D946" s="16"/>
      <c r="E946" s="16"/>
      <c r="F946" s="16"/>
      <c r="G946" s="16"/>
      <c r="H946" s="16"/>
      <c r="I946" s="16"/>
      <c r="J946" s="16"/>
      <c r="K946" s="16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2.75">
      <c r="A947" s="19"/>
      <c r="B947" s="19"/>
      <c r="C947" s="16"/>
      <c r="D947" s="16"/>
      <c r="E947" s="16"/>
      <c r="F947" s="16"/>
      <c r="G947" s="16"/>
      <c r="H947" s="16"/>
      <c r="I947" s="16"/>
      <c r="J947" s="16"/>
      <c r="K947" s="16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2.75">
      <c r="A948" s="19"/>
      <c r="B948" s="19"/>
      <c r="C948" s="16"/>
      <c r="D948" s="16"/>
      <c r="E948" s="16"/>
      <c r="F948" s="16"/>
      <c r="G948" s="16"/>
      <c r="H948" s="16"/>
      <c r="I948" s="16"/>
      <c r="J948" s="16"/>
      <c r="K948" s="16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2.75">
      <c r="A949" s="19"/>
      <c r="B949" s="19"/>
      <c r="C949" s="16"/>
      <c r="D949" s="16"/>
      <c r="E949" s="16"/>
      <c r="F949" s="16"/>
      <c r="G949" s="16"/>
      <c r="H949" s="16"/>
      <c r="I949" s="16"/>
      <c r="J949" s="16"/>
      <c r="K949" s="16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2.75">
      <c r="A950" s="19"/>
      <c r="B950" s="19"/>
      <c r="C950" s="16"/>
      <c r="D950" s="16"/>
      <c r="E950" s="16"/>
      <c r="F950" s="16"/>
      <c r="G950" s="16"/>
      <c r="H950" s="16"/>
      <c r="I950" s="16"/>
      <c r="J950" s="16"/>
      <c r="K950" s="16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2.75">
      <c r="A951" s="19"/>
      <c r="B951" s="19"/>
      <c r="C951" s="16"/>
      <c r="D951" s="16"/>
      <c r="E951" s="16"/>
      <c r="F951" s="16"/>
      <c r="G951" s="16"/>
      <c r="H951" s="16"/>
      <c r="I951" s="16"/>
      <c r="J951" s="16"/>
      <c r="K951" s="16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2.75">
      <c r="A952" s="19"/>
      <c r="B952" s="19"/>
      <c r="C952" s="16"/>
      <c r="D952" s="16"/>
      <c r="E952" s="16"/>
      <c r="F952" s="16"/>
      <c r="G952" s="16"/>
      <c r="H952" s="16"/>
      <c r="I952" s="16"/>
      <c r="J952" s="16"/>
      <c r="K952" s="16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2.75">
      <c r="A953" s="19"/>
      <c r="B953" s="19"/>
      <c r="C953" s="16"/>
      <c r="D953" s="16"/>
      <c r="E953" s="16"/>
      <c r="F953" s="16"/>
      <c r="G953" s="16"/>
      <c r="H953" s="16"/>
      <c r="I953" s="16"/>
      <c r="J953" s="16"/>
      <c r="K953" s="16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2.75">
      <c r="A954" s="19"/>
      <c r="B954" s="19"/>
      <c r="C954" s="16"/>
      <c r="D954" s="16"/>
      <c r="E954" s="16"/>
      <c r="F954" s="16"/>
      <c r="G954" s="16"/>
      <c r="H954" s="16"/>
      <c r="I954" s="16"/>
      <c r="J954" s="16"/>
      <c r="K954" s="16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2.75">
      <c r="A955" s="19"/>
      <c r="B955" s="19"/>
      <c r="C955" s="16"/>
      <c r="D955" s="16"/>
      <c r="E955" s="16"/>
      <c r="F955" s="16"/>
      <c r="G955" s="16"/>
      <c r="H955" s="16"/>
      <c r="I955" s="16"/>
      <c r="J955" s="16"/>
      <c r="K955" s="16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2.75">
      <c r="A956" s="19"/>
      <c r="B956" s="19"/>
      <c r="C956" s="16"/>
      <c r="D956" s="16"/>
      <c r="E956" s="16"/>
      <c r="F956" s="16"/>
      <c r="G956" s="16"/>
      <c r="H956" s="16"/>
      <c r="I956" s="16"/>
      <c r="J956" s="16"/>
      <c r="K956" s="16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2.75">
      <c r="A957" s="19"/>
      <c r="B957" s="19"/>
      <c r="C957" s="16"/>
      <c r="D957" s="16"/>
      <c r="E957" s="16"/>
      <c r="F957" s="16"/>
      <c r="G957" s="16"/>
      <c r="H957" s="16"/>
      <c r="I957" s="16"/>
      <c r="J957" s="16"/>
      <c r="K957" s="16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2.75">
      <c r="A958" s="19"/>
      <c r="B958" s="19"/>
      <c r="C958" s="16"/>
      <c r="D958" s="16"/>
      <c r="E958" s="16"/>
      <c r="F958" s="16"/>
      <c r="G958" s="16"/>
      <c r="H958" s="16"/>
      <c r="I958" s="16"/>
      <c r="J958" s="16"/>
      <c r="K958" s="16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2.75">
      <c r="A959" s="19"/>
      <c r="B959" s="19"/>
      <c r="C959" s="16"/>
      <c r="D959" s="16"/>
      <c r="E959" s="16"/>
      <c r="F959" s="16"/>
      <c r="G959" s="16"/>
      <c r="H959" s="16"/>
      <c r="I959" s="16"/>
      <c r="J959" s="16"/>
      <c r="K959" s="16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2.75">
      <c r="A960" s="19"/>
      <c r="B960" s="19"/>
      <c r="C960" s="16"/>
      <c r="D960" s="16"/>
      <c r="E960" s="16"/>
      <c r="F960" s="16"/>
      <c r="G960" s="16"/>
      <c r="H960" s="16"/>
      <c r="I960" s="16"/>
      <c r="J960" s="16"/>
      <c r="K960" s="16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2.75">
      <c r="A961" s="19"/>
      <c r="B961" s="19"/>
      <c r="C961" s="16"/>
      <c r="D961" s="16"/>
      <c r="E961" s="16"/>
      <c r="F961" s="16"/>
      <c r="G961" s="16"/>
      <c r="H961" s="16"/>
      <c r="I961" s="16"/>
      <c r="J961" s="16"/>
      <c r="K961" s="16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2.75">
      <c r="A962" s="19"/>
      <c r="B962" s="19"/>
      <c r="C962" s="16"/>
      <c r="D962" s="16"/>
      <c r="E962" s="16"/>
      <c r="F962" s="16"/>
      <c r="G962" s="16"/>
      <c r="H962" s="16"/>
      <c r="I962" s="16"/>
      <c r="J962" s="16"/>
      <c r="K962" s="16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2.75">
      <c r="A963" s="19"/>
      <c r="B963" s="19"/>
      <c r="C963" s="16"/>
      <c r="D963" s="16"/>
      <c r="E963" s="16"/>
      <c r="F963" s="16"/>
      <c r="G963" s="16"/>
      <c r="H963" s="16"/>
      <c r="I963" s="16"/>
      <c r="J963" s="16"/>
      <c r="K963" s="16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2.75">
      <c r="A964" s="19"/>
      <c r="B964" s="19"/>
      <c r="C964" s="16"/>
      <c r="D964" s="16"/>
      <c r="E964" s="16"/>
      <c r="F964" s="16"/>
      <c r="G964" s="16"/>
      <c r="H964" s="16"/>
      <c r="I964" s="16"/>
      <c r="J964" s="16"/>
      <c r="K964" s="16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2.75">
      <c r="A965" s="19"/>
      <c r="B965" s="19"/>
      <c r="C965" s="16"/>
      <c r="D965" s="16"/>
      <c r="E965" s="16"/>
      <c r="F965" s="16"/>
      <c r="G965" s="16"/>
      <c r="H965" s="16"/>
      <c r="I965" s="16"/>
      <c r="J965" s="16"/>
      <c r="K965" s="16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2.75">
      <c r="A966" s="19"/>
      <c r="B966" s="19"/>
      <c r="C966" s="16"/>
      <c r="D966" s="16"/>
      <c r="E966" s="16"/>
      <c r="F966" s="16"/>
      <c r="G966" s="16"/>
      <c r="H966" s="16"/>
      <c r="I966" s="16"/>
      <c r="J966" s="16"/>
      <c r="K966" s="16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2.75">
      <c r="A967" s="19"/>
      <c r="B967" s="19"/>
      <c r="C967" s="16"/>
      <c r="D967" s="16"/>
      <c r="E967" s="16"/>
      <c r="F967" s="16"/>
      <c r="G967" s="16"/>
      <c r="H967" s="16"/>
      <c r="I967" s="16"/>
      <c r="J967" s="16"/>
      <c r="K967" s="16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2.75">
      <c r="A968" s="19"/>
      <c r="B968" s="19"/>
      <c r="C968" s="16"/>
      <c r="D968" s="16"/>
      <c r="E968" s="16"/>
      <c r="F968" s="16"/>
      <c r="G968" s="16"/>
      <c r="H968" s="16"/>
      <c r="I968" s="16"/>
      <c r="J968" s="16"/>
      <c r="K968" s="16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2.75">
      <c r="A969" s="19"/>
      <c r="B969" s="19"/>
      <c r="C969" s="16"/>
      <c r="D969" s="16"/>
      <c r="E969" s="16"/>
      <c r="F969" s="16"/>
      <c r="G969" s="16"/>
      <c r="H969" s="16"/>
      <c r="I969" s="16"/>
      <c r="J969" s="16"/>
      <c r="K969" s="16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2.75">
      <c r="A970" s="19"/>
      <c r="B970" s="19"/>
      <c r="C970" s="16"/>
      <c r="D970" s="16"/>
      <c r="E970" s="16"/>
      <c r="F970" s="16"/>
      <c r="G970" s="16"/>
      <c r="H970" s="16"/>
      <c r="I970" s="16"/>
      <c r="J970" s="16"/>
      <c r="K970" s="16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2.75">
      <c r="A971" s="19"/>
      <c r="B971" s="19"/>
      <c r="C971" s="16"/>
      <c r="D971" s="16"/>
      <c r="E971" s="16"/>
      <c r="F971" s="16"/>
      <c r="G971" s="16"/>
      <c r="H971" s="16"/>
      <c r="I971" s="16"/>
      <c r="J971" s="16"/>
      <c r="K971" s="16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2.75">
      <c r="A972" s="19"/>
      <c r="B972" s="19"/>
      <c r="C972" s="16"/>
      <c r="D972" s="16"/>
      <c r="E972" s="16"/>
      <c r="F972" s="16"/>
      <c r="G972" s="16"/>
      <c r="H972" s="16"/>
      <c r="I972" s="16"/>
      <c r="J972" s="16"/>
      <c r="K972" s="16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2.75">
      <c r="A973" s="19"/>
      <c r="B973" s="19"/>
      <c r="C973" s="16"/>
      <c r="D973" s="16"/>
      <c r="E973" s="16"/>
      <c r="F973" s="16"/>
      <c r="G973" s="16"/>
      <c r="H973" s="16"/>
      <c r="I973" s="16"/>
      <c r="J973" s="16"/>
      <c r="K973" s="16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2.75">
      <c r="A974" s="19"/>
      <c r="B974" s="19"/>
      <c r="C974" s="16"/>
      <c r="D974" s="16"/>
      <c r="E974" s="16"/>
      <c r="F974" s="16"/>
      <c r="G974" s="16"/>
      <c r="H974" s="16"/>
      <c r="I974" s="16"/>
      <c r="J974" s="16"/>
      <c r="K974" s="16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2.75">
      <c r="A975" s="19"/>
      <c r="B975" s="19"/>
      <c r="C975" s="16"/>
      <c r="D975" s="16"/>
      <c r="E975" s="16"/>
      <c r="F975" s="16"/>
      <c r="G975" s="16"/>
      <c r="H975" s="16"/>
      <c r="I975" s="16"/>
      <c r="J975" s="16"/>
      <c r="K975" s="16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2.75">
      <c r="A976" s="19"/>
      <c r="B976" s="19"/>
      <c r="C976" s="16"/>
      <c r="D976" s="16"/>
      <c r="E976" s="16"/>
      <c r="F976" s="16"/>
      <c r="G976" s="16"/>
      <c r="H976" s="16"/>
      <c r="I976" s="16"/>
      <c r="J976" s="16"/>
      <c r="K976" s="16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2.75">
      <c r="A977" s="19"/>
      <c r="B977" s="19"/>
      <c r="C977" s="16"/>
      <c r="D977" s="16"/>
      <c r="E977" s="16"/>
      <c r="F977" s="16"/>
      <c r="G977" s="16"/>
      <c r="H977" s="16"/>
      <c r="I977" s="16"/>
      <c r="J977" s="16"/>
      <c r="K977" s="16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2.75">
      <c r="A978" s="19"/>
      <c r="B978" s="19"/>
      <c r="C978" s="16"/>
      <c r="D978" s="16"/>
      <c r="E978" s="16"/>
      <c r="F978" s="16"/>
      <c r="G978" s="16"/>
      <c r="H978" s="16"/>
      <c r="I978" s="16"/>
      <c r="J978" s="16"/>
      <c r="K978" s="16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2.75">
      <c r="A979" s="19"/>
      <c r="B979" s="19"/>
      <c r="C979" s="16"/>
      <c r="D979" s="16"/>
      <c r="E979" s="16"/>
      <c r="F979" s="16"/>
      <c r="G979" s="16"/>
      <c r="H979" s="16"/>
      <c r="I979" s="16"/>
      <c r="J979" s="16"/>
      <c r="K979" s="16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2.75">
      <c r="A980" s="19"/>
      <c r="B980" s="19"/>
      <c r="C980" s="16"/>
      <c r="D980" s="16"/>
      <c r="E980" s="16"/>
      <c r="F980" s="16"/>
      <c r="G980" s="16"/>
      <c r="H980" s="16"/>
      <c r="I980" s="16"/>
      <c r="J980" s="16"/>
      <c r="K980" s="16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2.75">
      <c r="A981" s="19"/>
      <c r="B981" s="19"/>
      <c r="C981" s="16"/>
      <c r="D981" s="16"/>
      <c r="E981" s="16"/>
      <c r="F981" s="16"/>
      <c r="G981" s="16"/>
      <c r="H981" s="16"/>
      <c r="I981" s="16"/>
      <c r="J981" s="16"/>
      <c r="K981" s="16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2.75">
      <c r="A982" s="19"/>
      <c r="B982" s="19"/>
      <c r="C982" s="16"/>
      <c r="D982" s="16"/>
      <c r="E982" s="16"/>
      <c r="F982" s="16"/>
      <c r="G982" s="16"/>
      <c r="H982" s="16"/>
      <c r="I982" s="16"/>
      <c r="J982" s="16"/>
      <c r="K982" s="16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2.75">
      <c r="A983" s="19"/>
      <c r="B983" s="19"/>
      <c r="C983" s="16"/>
      <c r="D983" s="16"/>
      <c r="E983" s="16"/>
      <c r="F983" s="16"/>
      <c r="G983" s="16"/>
      <c r="H983" s="16"/>
      <c r="I983" s="16"/>
      <c r="J983" s="16"/>
      <c r="K983" s="16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2.75">
      <c r="A984" s="19"/>
      <c r="B984" s="19"/>
      <c r="C984" s="16"/>
      <c r="D984" s="16"/>
      <c r="E984" s="16"/>
      <c r="F984" s="16"/>
      <c r="G984" s="16"/>
      <c r="H984" s="16"/>
      <c r="I984" s="16"/>
      <c r="J984" s="16"/>
      <c r="K984" s="16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2.75">
      <c r="A985" s="19"/>
      <c r="B985" s="19"/>
      <c r="C985" s="16"/>
      <c r="D985" s="16"/>
      <c r="E985" s="16"/>
      <c r="F985" s="16"/>
      <c r="G985" s="16"/>
      <c r="H985" s="16"/>
      <c r="I985" s="16"/>
      <c r="J985" s="16"/>
      <c r="K985" s="16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2.75">
      <c r="A986" s="19"/>
      <c r="B986" s="19"/>
      <c r="C986" s="16"/>
      <c r="D986" s="16"/>
      <c r="E986" s="16"/>
      <c r="F986" s="16"/>
      <c r="G986" s="16"/>
      <c r="H986" s="16"/>
      <c r="I986" s="16"/>
      <c r="J986" s="16"/>
      <c r="K986" s="16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2.75">
      <c r="A987" s="19"/>
      <c r="B987" s="19"/>
      <c r="C987" s="16"/>
      <c r="D987" s="16"/>
      <c r="E987" s="16"/>
      <c r="F987" s="16"/>
      <c r="G987" s="16"/>
      <c r="H987" s="16"/>
      <c r="I987" s="16"/>
      <c r="J987" s="16"/>
      <c r="K987" s="16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2.75">
      <c r="A988" s="19"/>
      <c r="B988" s="19"/>
      <c r="C988" s="16"/>
      <c r="D988" s="16"/>
      <c r="E988" s="16"/>
      <c r="F988" s="16"/>
      <c r="G988" s="16"/>
      <c r="H988" s="16"/>
      <c r="I988" s="16"/>
      <c r="J988" s="16"/>
      <c r="K988" s="16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2.75">
      <c r="A989" s="19"/>
      <c r="B989" s="19"/>
      <c r="C989" s="16"/>
      <c r="D989" s="16"/>
      <c r="E989" s="16"/>
      <c r="F989" s="16"/>
      <c r="G989" s="16"/>
      <c r="H989" s="16"/>
      <c r="I989" s="16"/>
      <c r="J989" s="16"/>
      <c r="K989" s="16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2.75">
      <c r="A990" s="19"/>
      <c r="B990" s="19"/>
      <c r="C990" s="16"/>
      <c r="D990" s="16"/>
      <c r="E990" s="16"/>
      <c r="F990" s="16"/>
      <c r="G990" s="16"/>
      <c r="H990" s="16"/>
      <c r="I990" s="16"/>
      <c r="J990" s="16"/>
      <c r="K990" s="16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2.75">
      <c r="A991" s="19"/>
      <c r="B991" s="19"/>
      <c r="C991" s="16"/>
      <c r="D991" s="16"/>
      <c r="E991" s="16"/>
      <c r="F991" s="16"/>
      <c r="G991" s="16"/>
      <c r="H991" s="16"/>
      <c r="I991" s="16"/>
      <c r="J991" s="16"/>
      <c r="K991" s="16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2.75">
      <c r="A992" s="19"/>
      <c r="B992" s="19"/>
      <c r="C992" s="16"/>
      <c r="D992" s="16"/>
      <c r="E992" s="16"/>
      <c r="F992" s="16"/>
      <c r="G992" s="16"/>
      <c r="H992" s="16"/>
      <c r="I992" s="16"/>
      <c r="J992" s="16"/>
      <c r="K992" s="16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2.75">
      <c r="A993" s="19"/>
      <c r="B993" s="19"/>
      <c r="C993" s="16"/>
      <c r="D993" s="16"/>
      <c r="E993" s="16"/>
      <c r="F993" s="16"/>
      <c r="G993" s="16"/>
      <c r="H993" s="16"/>
      <c r="I993" s="16"/>
      <c r="J993" s="16"/>
      <c r="K993" s="16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2.75">
      <c r="A994" s="19"/>
      <c r="B994" s="19"/>
      <c r="C994" s="16"/>
      <c r="D994" s="16"/>
      <c r="E994" s="16"/>
      <c r="F994" s="16"/>
      <c r="G994" s="16"/>
      <c r="H994" s="16"/>
      <c r="I994" s="16"/>
      <c r="J994" s="16"/>
      <c r="K994" s="16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2.75">
      <c r="A995" s="19"/>
      <c r="B995" s="19"/>
      <c r="C995" s="16"/>
      <c r="D995" s="16"/>
      <c r="E995" s="16"/>
      <c r="F995" s="16"/>
      <c r="G995" s="16"/>
      <c r="H995" s="16"/>
      <c r="I995" s="16"/>
      <c r="J995" s="16"/>
      <c r="K995" s="16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2.75">
      <c r="A996" s="19"/>
      <c r="B996" s="19"/>
      <c r="C996" s="16"/>
      <c r="D996" s="16"/>
      <c r="E996" s="16"/>
      <c r="F996" s="16"/>
      <c r="G996" s="16"/>
      <c r="H996" s="16"/>
      <c r="I996" s="16"/>
      <c r="J996" s="16"/>
      <c r="K996" s="16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2.75">
      <c r="A997" s="19"/>
      <c r="B997" s="19"/>
      <c r="C997" s="16"/>
      <c r="D997" s="16"/>
      <c r="E997" s="16"/>
      <c r="F997" s="16"/>
      <c r="G997" s="16"/>
      <c r="H997" s="16"/>
      <c r="I997" s="16"/>
      <c r="J997" s="16"/>
      <c r="K997" s="16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2.75">
      <c r="A998" s="19"/>
      <c r="B998" s="19"/>
      <c r="C998" s="16"/>
      <c r="D998" s="16"/>
      <c r="E998" s="16"/>
      <c r="F998" s="16"/>
      <c r="G998" s="16"/>
      <c r="H998" s="16"/>
      <c r="I998" s="16"/>
      <c r="J998" s="16"/>
      <c r="K998" s="16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2.75">
      <c r="A999" s="19"/>
      <c r="B999" s="19"/>
      <c r="C999" s="16"/>
      <c r="D999" s="16"/>
      <c r="E999" s="16"/>
      <c r="F999" s="16"/>
      <c r="G999" s="16"/>
      <c r="H999" s="16"/>
      <c r="I999" s="16"/>
      <c r="J999" s="16"/>
      <c r="K999" s="16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2.75">
      <c r="A1000" s="19"/>
      <c r="B1000" s="19"/>
      <c r="C1000" s="16"/>
      <c r="D1000" s="16"/>
      <c r="E1000" s="16"/>
      <c r="F1000" s="16"/>
      <c r="G1000" s="16"/>
      <c r="H1000" s="16"/>
      <c r="I1000" s="16"/>
      <c r="J1000" s="16"/>
      <c r="K1000" s="16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/>
  </sheetViews>
  <sheetFormatPr defaultColWidth="12.5703125" defaultRowHeight="15.75" customHeight="1"/>
  <cols>
    <col min="1" max="1" width="5.5703125" customWidth="1"/>
    <col min="3" max="3" width="14.42578125" customWidth="1"/>
    <col min="4" max="4" width="21" customWidth="1"/>
    <col min="5" max="5" width="7.140625" customWidth="1"/>
    <col min="6" max="6" width="2.85546875" customWidth="1"/>
    <col min="7" max="7" width="7.140625" customWidth="1"/>
    <col min="8" max="8" width="26.7109375" customWidth="1"/>
    <col min="9" max="11" width="18.140625" customWidth="1"/>
  </cols>
  <sheetData>
    <row r="1" spans="1:29">
      <c r="A1" s="20" t="s">
        <v>0</v>
      </c>
      <c r="B1" s="21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2" t="s">
        <v>8</v>
      </c>
      <c r="J1" s="22" t="s">
        <v>9</v>
      </c>
      <c r="K1" s="20" t="s">
        <v>10</v>
      </c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>
      <c r="A2" s="25">
        <v>1</v>
      </c>
      <c r="B2" s="26">
        <v>46184</v>
      </c>
      <c r="C2" s="27">
        <v>0.66666666666666663</v>
      </c>
      <c r="D2" s="28" t="s">
        <v>145</v>
      </c>
      <c r="E2" s="29"/>
      <c r="F2" s="30" t="s">
        <v>5</v>
      </c>
      <c r="G2" s="29"/>
      <c r="H2" s="28" t="s">
        <v>146</v>
      </c>
      <c r="I2" s="31" t="s">
        <v>13</v>
      </c>
      <c r="J2" s="31" t="s">
        <v>14</v>
      </c>
      <c r="K2" s="32">
        <f t="shared" ref="K2:K73" si="0">B2+C2</f>
        <v>46184.666666666664</v>
      </c>
    </row>
    <row r="3" spans="1:29">
      <c r="A3" s="25">
        <v>2</v>
      </c>
      <c r="B3" s="26">
        <v>46184</v>
      </c>
      <c r="C3" s="27">
        <v>0.95833333333333337</v>
      </c>
      <c r="D3" s="33" t="s">
        <v>147</v>
      </c>
      <c r="E3" s="29"/>
      <c r="F3" s="30" t="s">
        <v>5</v>
      </c>
      <c r="G3" s="29"/>
      <c r="H3" s="28" t="s">
        <v>148</v>
      </c>
      <c r="I3" s="31" t="s">
        <v>13</v>
      </c>
      <c r="J3" s="31" t="s">
        <v>14</v>
      </c>
      <c r="K3" s="32">
        <f t="shared" si="0"/>
        <v>46184.958333333336</v>
      </c>
    </row>
    <row r="4" spans="1:29">
      <c r="A4" s="25">
        <v>3</v>
      </c>
      <c r="B4" s="26">
        <v>46185</v>
      </c>
      <c r="C4" s="27">
        <v>0.66666666666666663</v>
      </c>
      <c r="D4" s="28" t="s">
        <v>149</v>
      </c>
      <c r="E4" s="29"/>
      <c r="F4" s="30" t="s">
        <v>5</v>
      </c>
      <c r="G4" s="29"/>
      <c r="H4" s="33" t="s">
        <v>150</v>
      </c>
      <c r="I4" s="31" t="s">
        <v>19</v>
      </c>
      <c r="J4" s="31" t="s">
        <v>14</v>
      </c>
      <c r="K4" s="32">
        <f t="shared" si="0"/>
        <v>46185.666666666664</v>
      </c>
    </row>
    <row r="5" spans="1:29">
      <c r="A5" s="25">
        <v>4</v>
      </c>
      <c r="B5" s="26">
        <v>46185</v>
      </c>
      <c r="C5" s="27">
        <v>0.91666666666666663</v>
      </c>
      <c r="D5" s="28" t="s">
        <v>151</v>
      </c>
      <c r="E5" s="29"/>
      <c r="F5" s="30" t="s">
        <v>5</v>
      </c>
      <c r="G5" s="29"/>
      <c r="H5" s="28" t="s">
        <v>152</v>
      </c>
      <c r="I5" s="31" t="s">
        <v>22</v>
      </c>
      <c r="J5" s="31" t="s">
        <v>14</v>
      </c>
      <c r="K5" s="32">
        <f t="shared" si="0"/>
        <v>46185.916666666664</v>
      </c>
    </row>
    <row r="6" spans="1:29">
      <c r="A6" s="25">
        <v>5</v>
      </c>
      <c r="B6" s="26">
        <v>46186</v>
      </c>
      <c r="C6" s="27">
        <v>0.66666666666666663</v>
      </c>
      <c r="D6" s="28" t="s">
        <v>153</v>
      </c>
      <c r="E6" s="29"/>
      <c r="F6" s="30" t="s">
        <v>5</v>
      </c>
      <c r="G6" s="29"/>
      <c r="H6" s="28" t="s">
        <v>154</v>
      </c>
      <c r="I6" s="31" t="s">
        <v>19</v>
      </c>
      <c r="J6" s="31" t="s">
        <v>14</v>
      </c>
      <c r="K6" s="32">
        <f t="shared" si="0"/>
        <v>46186.666666666664</v>
      </c>
    </row>
    <row r="7" spans="1:29">
      <c r="A7" s="25">
        <v>6</v>
      </c>
      <c r="B7" s="26">
        <v>46186</v>
      </c>
      <c r="C7" s="27">
        <v>0.79166666666666663</v>
      </c>
      <c r="D7" s="28" t="s">
        <v>155</v>
      </c>
      <c r="E7" s="29"/>
      <c r="F7" s="30" t="s">
        <v>5</v>
      </c>
      <c r="G7" s="29"/>
      <c r="H7" s="28" t="s">
        <v>156</v>
      </c>
      <c r="I7" s="31" t="s">
        <v>27</v>
      </c>
      <c r="J7" s="31" t="s">
        <v>14</v>
      </c>
      <c r="K7" s="32">
        <f t="shared" si="0"/>
        <v>46186.791666666664</v>
      </c>
    </row>
    <row r="8" spans="1:29">
      <c r="A8" s="25">
        <v>7</v>
      </c>
      <c r="B8" s="26">
        <v>46186</v>
      </c>
      <c r="C8" s="27">
        <v>0.91666666666666663</v>
      </c>
      <c r="D8" s="28" t="s">
        <v>28</v>
      </c>
      <c r="E8" s="29"/>
      <c r="F8" s="30" t="s">
        <v>5</v>
      </c>
      <c r="G8" s="29"/>
      <c r="H8" s="28" t="s">
        <v>157</v>
      </c>
      <c r="I8" s="31" t="s">
        <v>27</v>
      </c>
      <c r="J8" s="31" t="s">
        <v>14</v>
      </c>
      <c r="K8" s="32">
        <f t="shared" si="0"/>
        <v>46186.916666666664</v>
      </c>
    </row>
    <row r="9" spans="1:29">
      <c r="A9" s="25">
        <v>8</v>
      </c>
      <c r="B9" s="26">
        <v>46187</v>
      </c>
      <c r="C9" s="27">
        <v>4.1666666666666664E-2</v>
      </c>
      <c r="D9" s="28" t="s">
        <v>158</v>
      </c>
      <c r="E9" s="29"/>
      <c r="F9" s="30" t="s">
        <v>5</v>
      </c>
      <c r="G9" s="29"/>
      <c r="H9" s="33" t="s">
        <v>159</v>
      </c>
      <c r="I9" s="31" t="s">
        <v>22</v>
      </c>
      <c r="J9" s="31" t="s">
        <v>14</v>
      </c>
      <c r="K9" s="32">
        <f t="shared" si="0"/>
        <v>46187.041666666664</v>
      </c>
    </row>
    <row r="10" spans="1:29">
      <c r="A10" s="25">
        <v>9</v>
      </c>
      <c r="B10" s="26">
        <v>46187</v>
      </c>
      <c r="C10" s="27">
        <v>0.58333333333333337</v>
      </c>
      <c r="D10" s="28" t="s">
        <v>160</v>
      </c>
      <c r="E10" s="29"/>
      <c r="F10" s="30" t="s">
        <v>5</v>
      </c>
      <c r="G10" s="29"/>
      <c r="H10" s="28" t="s">
        <v>161</v>
      </c>
      <c r="I10" s="31" t="s">
        <v>34</v>
      </c>
      <c r="J10" s="31" t="s">
        <v>14</v>
      </c>
      <c r="K10" s="32">
        <f t="shared" si="0"/>
        <v>46187.583333333336</v>
      </c>
    </row>
    <row r="11" spans="1:29">
      <c r="A11" s="25">
        <v>10</v>
      </c>
      <c r="B11" s="26">
        <v>46187</v>
      </c>
      <c r="C11" s="27">
        <v>0.83333333333333337</v>
      </c>
      <c r="D11" s="33" t="s">
        <v>162</v>
      </c>
      <c r="E11" s="29"/>
      <c r="F11" s="30" t="s">
        <v>5</v>
      </c>
      <c r="G11" s="29"/>
      <c r="H11" s="28" t="s">
        <v>163</v>
      </c>
      <c r="I11" s="31" t="s">
        <v>34</v>
      </c>
      <c r="J11" s="31" t="s">
        <v>14</v>
      </c>
      <c r="K11" s="32">
        <f t="shared" si="0"/>
        <v>46187.833333333336</v>
      </c>
    </row>
    <row r="12" spans="1:29">
      <c r="A12" s="25">
        <v>11</v>
      </c>
      <c r="B12" s="26">
        <v>46187</v>
      </c>
      <c r="C12" s="27">
        <v>0.70833333333333337</v>
      </c>
      <c r="D12" s="28" t="s">
        <v>164</v>
      </c>
      <c r="E12" s="29"/>
      <c r="F12" s="30" t="s">
        <v>5</v>
      </c>
      <c r="G12" s="29"/>
      <c r="H12" s="28" t="s">
        <v>165</v>
      </c>
      <c r="I12" s="31" t="s">
        <v>39</v>
      </c>
      <c r="J12" s="31" t="s">
        <v>14</v>
      </c>
      <c r="K12" s="32">
        <f t="shared" si="0"/>
        <v>46187.708333333336</v>
      </c>
    </row>
    <row r="13" spans="1:29">
      <c r="A13" s="25">
        <v>12</v>
      </c>
      <c r="B13" s="26">
        <v>46187</v>
      </c>
      <c r="C13" s="27">
        <v>0.95833333333333337</v>
      </c>
      <c r="D13" s="28" t="s">
        <v>166</v>
      </c>
      <c r="E13" s="29"/>
      <c r="F13" s="30" t="s">
        <v>5</v>
      </c>
      <c r="G13" s="29"/>
      <c r="H13" s="28" t="s">
        <v>167</v>
      </c>
      <c r="I13" s="31" t="s">
        <v>39</v>
      </c>
      <c r="J13" s="31" t="s">
        <v>14</v>
      </c>
      <c r="K13" s="32">
        <f t="shared" si="0"/>
        <v>46187.958333333336</v>
      </c>
    </row>
    <row r="14" spans="1:29">
      <c r="A14" s="25">
        <v>13</v>
      </c>
      <c r="B14" s="26">
        <v>46188</v>
      </c>
      <c r="C14" s="27">
        <v>0.54166666666666663</v>
      </c>
      <c r="D14" s="28" t="s">
        <v>168</v>
      </c>
      <c r="E14" s="29"/>
      <c r="F14" s="30" t="s">
        <v>5</v>
      </c>
      <c r="G14" s="29"/>
      <c r="H14" s="33" t="s">
        <v>169</v>
      </c>
      <c r="I14" s="31" t="s">
        <v>44</v>
      </c>
      <c r="J14" s="31" t="s">
        <v>14</v>
      </c>
      <c r="K14" s="32">
        <f t="shared" si="0"/>
        <v>46188.541666666664</v>
      </c>
    </row>
    <row r="15" spans="1:29">
      <c r="A15" s="25">
        <v>14</v>
      </c>
      <c r="B15" s="26">
        <v>46188</v>
      </c>
      <c r="C15" s="27">
        <v>0.79166666666666663</v>
      </c>
      <c r="D15" s="28" t="s">
        <v>170</v>
      </c>
      <c r="E15" s="29"/>
      <c r="F15" s="30" t="s">
        <v>5</v>
      </c>
      <c r="G15" s="29"/>
      <c r="H15" s="28" t="s">
        <v>171</v>
      </c>
      <c r="I15" s="31" t="s">
        <v>44</v>
      </c>
      <c r="J15" s="31" t="s">
        <v>14</v>
      </c>
      <c r="K15" s="32">
        <f t="shared" si="0"/>
        <v>46188.791666666664</v>
      </c>
    </row>
    <row r="16" spans="1:29">
      <c r="A16" s="25">
        <v>15</v>
      </c>
      <c r="B16" s="26">
        <v>46188</v>
      </c>
      <c r="C16" s="27">
        <v>0.66666666666666663</v>
      </c>
      <c r="D16" s="28" t="s">
        <v>172</v>
      </c>
      <c r="E16" s="29"/>
      <c r="F16" s="30" t="s">
        <v>5</v>
      </c>
      <c r="G16" s="29"/>
      <c r="H16" s="28" t="s">
        <v>173</v>
      </c>
      <c r="I16" s="31" t="s">
        <v>49</v>
      </c>
      <c r="J16" s="31" t="s">
        <v>14</v>
      </c>
      <c r="K16" s="32">
        <f t="shared" si="0"/>
        <v>46188.666666666664</v>
      </c>
    </row>
    <row r="17" spans="1:11">
      <c r="A17" s="25">
        <v>16</v>
      </c>
      <c r="B17" s="26">
        <v>46188</v>
      </c>
      <c r="C17" s="27">
        <v>0.91666666666666663</v>
      </c>
      <c r="D17" s="33" t="s">
        <v>174</v>
      </c>
      <c r="E17" s="29"/>
      <c r="F17" s="30" t="s">
        <v>5</v>
      </c>
      <c r="G17" s="29"/>
      <c r="H17" s="28" t="s">
        <v>175</v>
      </c>
      <c r="I17" s="31" t="s">
        <v>49</v>
      </c>
      <c r="J17" s="31" t="s">
        <v>14</v>
      </c>
      <c r="K17" s="32">
        <f t="shared" si="0"/>
        <v>46188.916666666664</v>
      </c>
    </row>
    <row r="18" spans="1:11">
      <c r="A18" s="25">
        <v>17</v>
      </c>
      <c r="B18" s="26">
        <v>46190</v>
      </c>
      <c r="C18" s="27">
        <v>4.1666666666666664E-2</v>
      </c>
      <c r="D18" s="28" t="s">
        <v>176</v>
      </c>
      <c r="E18" s="29"/>
      <c r="F18" s="30" t="s">
        <v>5</v>
      </c>
      <c r="G18" s="29"/>
      <c r="H18" s="28" t="s">
        <v>177</v>
      </c>
      <c r="I18" s="31" t="s">
        <v>54</v>
      </c>
      <c r="J18" s="31" t="s">
        <v>14</v>
      </c>
      <c r="K18" s="32">
        <f t="shared" si="0"/>
        <v>46190.041666666664</v>
      </c>
    </row>
    <row r="19" spans="1:11">
      <c r="A19" s="25">
        <v>18</v>
      </c>
      <c r="B19" s="26">
        <v>46189</v>
      </c>
      <c r="C19" s="27">
        <v>0.66666666666666663</v>
      </c>
      <c r="D19" s="28" t="s">
        <v>178</v>
      </c>
      <c r="E19" s="29"/>
      <c r="F19" s="30" t="s">
        <v>5</v>
      </c>
      <c r="G19" s="29"/>
      <c r="H19" s="28" t="s">
        <v>56</v>
      </c>
      <c r="I19" s="31" t="s">
        <v>57</v>
      </c>
      <c r="J19" s="31" t="s">
        <v>14</v>
      </c>
      <c r="K19" s="32">
        <f t="shared" si="0"/>
        <v>46189.666666666664</v>
      </c>
    </row>
    <row r="20" spans="1:11">
      <c r="A20" s="25">
        <v>19</v>
      </c>
      <c r="B20" s="26">
        <v>46189</v>
      </c>
      <c r="C20" s="27">
        <v>0.79166666666666663</v>
      </c>
      <c r="D20" s="28" t="s">
        <v>179</v>
      </c>
      <c r="E20" s="29"/>
      <c r="F20" s="30" t="s">
        <v>5</v>
      </c>
      <c r="G20" s="29"/>
      <c r="H20" s="28" t="s">
        <v>180</v>
      </c>
      <c r="I20" s="31" t="s">
        <v>57</v>
      </c>
      <c r="J20" s="31" t="s">
        <v>14</v>
      </c>
      <c r="K20" s="32">
        <f t="shared" si="0"/>
        <v>46189.791666666664</v>
      </c>
    </row>
    <row r="21" spans="1:11">
      <c r="A21" s="25">
        <v>20</v>
      </c>
      <c r="B21" s="26">
        <v>46189</v>
      </c>
      <c r="C21" s="27">
        <v>0.91666666666666663</v>
      </c>
      <c r="D21" s="28" t="s">
        <v>60</v>
      </c>
      <c r="E21" s="29"/>
      <c r="F21" s="30" t="s">
        <v>5</v>
      </c>
      <c r="G21" s="29"/>
      <c r="H21" s="28" t="s">
        <v>181</v>
      </c>
      <c r="I21" s="31" t="s">
        <v>54</v>
      </c>
      <c r="J21" s="31" t="s">
        <v>14</v>
      </c>
      <c r="K21" s="32">
        <f t="shared" si="0"/>
        <v>46189.916666666664</v>
      </c>
    </row>
    <row r="22" spans="1:11">
      <c r="A22" s="25">
        <v>21</v>
      </c>
      <c r="B22" s="26">
        <v>46190</v>
      </c>
      <c r="C22" s="27">
        <v>0.58333333333333337</v>
      </c>
      <c r="D22" s="28" t="s">
        <v>62</v>
      </c>
      <c r="E22" s="29"/>
      <c r="F22" s="30" t="s">
        <v>5</v>
      </c>
      <c r="G22" s="29"/>
      <c r="H22" s="33" t="s">
        <v>182</v>
      </c>
      <c r="I22" s="31" t="s">
        <v>64</v>
      </c>
      <c r="J22" s="31" t="s">
        <v>14</v>
      </c>
      <c r="K22" s="32">
        <f t="shared" si="0"/>
        <v>46190.583333333336</v>
      </c>
    </row>
    <row r="23" spans="1:11">
      <c r="A23" s="25">
        <v>22</v>
      </c>
      <c r="B23" s="26">
        <v>46190</v>
      </c>
      <c r="C23" s="27">
        <v>0.70833333333333337</v>
      </c>
      <c r="D23" s="28" t="s">
        <v>183</v>
      </c>
      <c r="E23" s="29"/>
      <c r="F23" s="30" t="s">
        <v>5</v>
      </c>
      <c r="G23" s="29"/>
      <c r="H23" s="28" t="s">
        <v>184</v>
      </c>
      <c r="I23" s="31" t="s">
        <v>67</v>
      </c>
      <c r="J23" s="31" t="s">
        <v>14</v>
      </c>
      <c r="K23" s="32">
        <f t="shared" si="0"/>
        <v>46190.708333333336</v>
      </c>
    </row>
    <row r="24" spans="1:11">
      <c r="A24" s="25">
        <v>23</v>
      </c>
      <c r="B24" s="26">
        <v>46190</v>
      </c>
      <c r="C24" s="27">
        <v>0.83333333333333337</v>
      </c>
      <c r="D24" s="28" t="s">
        <v>185</v>
      </c>
      <c r="E24" s="29"/>
      <c r="F24" s="30" t="s">
        <v>5</v>
      </c>
      <c r="G24" s="29"/>
      <c r="H24" s="28" t="s">
        <v>186</v>
      </c>
      <c r="I24" s="31" t="s">
        <v>67</v>
      </c>
      <c r="J24" s="31" t="s">
        <v>14</v>
      </c>
      <c r="K24" s="32">
        <f t="shared" si="0"/>
        <v>46190.833333333336</v>
      </c>
    </row>
    <row r="25" spans="1:11">
      <c r="A25" s="25">
        <v>24</v>
      </c>
      <c r="B25" s="26">
        <v>46190</v>
      </c>
      <c r="C25" s="27">
        <v>0.875</v>
      </c>
      <c r="D25" s="28" t="s">
        <v>187</v>
      </c>
      <c r="E25" s="29"/>
      <c r="F25" s="30" t="s">
        <v>5</v>
      </c>
      <c r="G25" s="29"/>
      <c r="H25" s="28" t="s">
        <v>188</v>
      </c>
      <c r="I25" s="31" t="s">
        <v>64</v>
      </c>
      <c r="J25" s="31" t="s">
        <v>14</v>
      </c>
      <c r="K25" s="32">
        <f t="shared" si="0"/>
        <v>46190.875</v>
      </c>
    </row>
    <row r="26" spans="1:11">
      <c r="A26" s="34">
        <v>25</v>
      </c>
      <c r="B26" s="35">
        <v>46191</v>
      </c>
      <c r="C26" s="36">
        <v>0.54166666666666663</v>
      </c>
      <c r="D26" s="37" t="s">
        <v>148</v>
      </c>
      <c r="F26" s="24" t="s">
        <v>5</v>
      </c>
      <c r="H26" s="37" t="s">
        <v>146</v>
      </c>
      <c r="I26" s="38" t="s">
        <v>13</v>
      </c>
      <c r="J26" s="38" t="s">
        <v>72</v>
      </c>
      <c r="K26" s="39">
        <f t="shared" si="0"/>
        <v>46191.541666666664</v>
      </c>
    </row>
    <row r="27" spans="1:11">
      <c r="A27" s="34">
        <v>26</v>
      </c>
      <c r="B27" s="35">
        <v>46191</v>
      </c>
      <c r="C27" s="36">
        <v>0.66666666666666663</v>
      </c>
      <c r="D27" s="37" t="s">
        <v>154</v>
      </c>
      <c r="F27" s="24" t="s">
        <v>5</v>
      </c>
      <c r="H27" s="37" t="s">
        <v>150</v>
      </c>
      <c r="I27" s="38" t="s">
        <v>19</v>
      </c>
      <c r="J27" s="38" t="s">
        <v>72</v>
      </c>
      <c r="K27" s="39">
        <f t="shared" si="0"/>
        <v>46191.666666666664</v>
      </c>
    </row>
    <row r="28" spans="1:11">
      <c r="A28" s="34">
        <v>27</v>
      </c>
      <c r="B28" s="35">
        <v>46191</v>
      </c>
      <c r="C28" s="36">
        <v>0.79166666666666663</v>
      </c>
      <c r="D28" s="37" t="s">
        <v>149</v>
      </c>
      <c r="F28" s="24" t="s">
        <v>5</v>
      </c>
      <c r="H28" s="37" t="s">
        <v>153</v>
      </c>
      <c r="I28" s="38" t="s">
        <v>19</v>
      </c>
      <c r="J28" s="38" t="s">
        <v>72</v>
      </c>
      <c r="K28" s="39">
        <f t="shared" si="0"/>
        <v>46191.791666666664</v>
      </c>
    </row>
    <row r="29" spans="1:11">
      <c r="A29" s="34">
        <v>28</v>
      </c>
      <c r="B29" s="35">
        <v>46191</v>
      </c>
      <c r="C29" s="36">
        <v>0.91666666666666663</v>
      </c>
      <c r="D29" s="37" t="s">
        <v>145</v>
      </c>
      <c r="F29" s="24" t="s">
        <v>5</v>
      </c>
      <c r="H29" s="37" t="s">
        <v>147</v>
      </c>
      <c r="I29" s="38" t="s">
        <v>13</v>
      </c>
      <c r="J29" s="38" t="s">
        <v>72</v>
      </c>
      <c r="K29" s="39">
        <f t="shared" si="0"/>
        <v>46191.916666666664</v>
      </c>
    </row>
    <row r="30" spans="1:11">
      <c r="A30" s="34">
        <v>29</v>
      </c>
      <c r="B30" s="35">
        <v>46192</v>
      </c>
      <c r="C30" s="36">
        <v>0</v>
      </c>
      <c r="D30" s="37" t="s">
        <v>159</v>
      </c>
      <c r="F30" s="24" t="s">
        <v>5</v>
      </c>
      <c r="H30" s="37" t="s">
        <v>152</v>
      </c>
      <c r="I30" s="38" t="s">
        <v>22</v>
      </c>
      <c r="J30" s="38" t="s">
        <v>72</v>
      </c>
      <c r="K30" s="39">
        <f t="shared" si="0"/>
        <v>46192</v>
      </c>
    </row>
    <row r="31" spans="1:11">
      <c r="A31" s="34">
        <v>30</v>
      </c>
      <c r="B31" s="35">
        <v>46192</v>
      </c>
      <c r="C31" s="36">
        <v>0.66666666666666663</v>
      </c>
      <c r="D31" s="37" t="s">
        <v>151</v>
      </c>
      <c r="F31" s="24" t="s">
        <v>5</v>
      </c>
      <c r="H31" s="37" t="s">
        <v>158</v>
      </c>
      <c r="I31" s="38" t="s">
        <v>22</v>
      </c>
      <c r="J31" s="38" t="s">
        <v>72</v>
      </c>
      <c r="K31" s="39">
        <f t="shared" si="0"/>
        <v>46192.666666666664</v>
      </c>
    </row>
    <row r="32" spans="1:11">
      <c r="A32" s="34">
        <v>31</v>
      </c>
      <c r="B32" s="35">
        <v>46192</v>
      </c>
      <c r="C32" s="36">
        <v>0.79166666666666663</v>
      </c>
      <c r="D32" s="37" t="s">
        <v>157</v>
      </c>
      <c r="F32" s="24" t="s">
        <v>5</v>
      </c>
      <c r="H32" s="37" t="s">
        <v>156</v>
      </c>
      <c r="I32" s="38" t="s">
        <v>27</v>
      </c>
      <c r="J32" s="38" t="s">
        <v>72</v>
      </c>
      <c r="K32" s="39">
        <f t="shared" si="0"/>
        <v>46192.791666666664</v>
      </c>
    </row>
    <row r="33" spans="1:11">
      <c r="A33" s="34">
        <v>32</v>
      </c>
      <c r="B33" s="35">
        <v>46192</v>
      </c>
      <c r="C33" s="36">
        <v>0.89583333333333337</v>
      </c>
      <c r="D33" s="37" t="s">
        <v>155</v>
      </c>
      <c r="F33" s="24" t="s">
        <v>5</v>
      </c>
      <c r="H33" s="37" t="s">
        <v>28</v>
      </c>
      <c r="I33" s="38" t="s">
        <v>27</v>
      </c>
      <c r="J33" s="38" t="s">
        <v>72</v>
      </c>
      <c r="K33" s="39">
        <f t="shared" si="0"/>
        <v>46192.895833333336</v>
      </c>
    </row>
    <row r="34" spans="1:11">
      <c r="A34" s="34">
        <v>33</v>
      </c>
      <c r="B34" s="35">
        <v>46193</v>
      </c>
      <c r="C34" s="36">
        <v>0.95833333333333337</v>
      </c>
      <c r="D34" s="37" t="s">
        <v>167</v>
      </c>
      <c r="F34" s="24" t="s">
        <v>5</v>
      </c>
      <c r="H34" s="37" t="s">
        <v>165</v>
      </c>
      <c r="I34" s="38" t="s">
        <v>39</v>
      </c>
      <c r="J34" s="38" t="s">
        <v>72</v>
      </c>
      <c r="K34" s="39">
        <f t="shared" si="0"/>
        <v>46193.958333333336</v>
      </c>
    </row>
    <row r="35" spans="1:11">
      <c r="A35" s="34">
        <v>34</v>
      </c>
      <c r="B35" s="35">
        <v>46193</v>
      </c>
      <c r="C35" s="36">
        <v>0.58333333333333337</v>
      </c>
      <c r="D35" s="37" t="s">
        <v>164</v>
      </c>
      <c r="F35" s="24" t="s">
        <v>5</v>
      </c>
      <c r="H35" s="37" t="s">
        <v>166</v>
      </c>
      <c r="I35" s="38" t="s">
        <v>39</v>
      </c>
      <c r="J35" s="38" t="s">
        <v>72</v>
      </c>
      <c r="K35" s="39">
        <f t="shared" si="0"/>
        <v>46193.583333333336</v>
      </c>
    </row>
    <row r="36" spans="1:11">
      <c r="A36" s="34">
        <v>35</v>
      </c>
      <c r="B36" s="35">
        <v>46193</v>
      </c>
      <c r="C36" s="36">
        <v>0.70833333333333337</v>
      </c>
      <c r="D36" s="37" t="s">
        <v>160</v>
      </c>
      <c r="F36" s="24" t="s">
        <v>5</v>
      </c>
      <c r="H36" s="37" t="s">
        <v>162</v>
      </c>
      <c r="I36" s="38" t="s">
        <v>34</v>
      </c>
      <c r="J36" s="38" t="s">
        <v>72</v>
      </c>
      <c r="K36" s="39">
        <f t="shared" si="0"/>
        <v>46193.708333333336</v>
      </c>
    </row>
    <row r="37" spans="1:11">
      <c r="A37" s="34">
        <v>36</v>
      </c>
      <c r="B37" s="35">
        <v>46193</v>
      </c>
      <c r="C37" s="36">
        <v>0.875</v>
      </c>
      <c r="D37" s="37" t="s">
        <v>163</v>
      </c>
      <c r="F37" s="24" t="s">
        <v>5</v>
      </c>
      <c r="H37" s="37" t="s">
        <v>161</v>
      </c>
      <c r="I37" s="38" t="s">
        <v>34</v>
      </c>
      <c r="J37" s="38" t="s">
        <v>72</v>
      </c>
      <c r="K37" s="39">
        <f t="shared" si="0"/>
        <v>46193.875</v>
      </c>
    </row>
    <row r="38" spans="1:11">
      <c r="A38" s="34">
        <v>37</v>
      </c>
      <c r="B38" s="35">
        <v>46194</v>
      </c>
      <c r="C38" s="36">
        <v>0.54166666666666663</v>
      </c>
      <c r="D38" s="37" t="s">
        <v>168</v>
      </c>
      <c r="F38" s="24" t="s">
        <v>5</v>
      </c>
      <c r="H38" s="37" t="s">
        <v>170</v>
      </c>
      <c r="I38" s="38" t="s">
        <v>44</v>
      </c>
      <c r="J38" s="38" t="s">
        <v>72</v>
      </c>
      <c r="K38" s="39">
        <f t="shared" si="0"/>
        <v>46194.541666666664</v>
      </c>
    </row>
    <row r="39" spans="1:11">
      <c r="A39" s="34">
        <v>38</v>
      </c>
      <c r="B39" s="35">
        <v>46194</v>
      </c>
      <c r="C39" s="36">
        <v>0.66666666666666663</v>
      </c>
      <c r="D39" s="37" t="s">
        <v>172</v>
      </c>
      <c r="F39" s="24" t="s">
        <v>5</v>
      </c>
      <c r="H39" s="37" t="s">
        <v>174</v>
      </c>
      <c r="I39" s="38" t="s">
        <v>49</v>
      </c>
      <c r="J39" s="38" t="s">
        <v>72</v>
      </c>
      <c r="K39" s="39">
        <f t="shared" si="0"/>
        <v>46194.666666666664</v>
      </c>
    </row>
    <row r="40" spans="1:11">
      <c r="A40" s="34">
        <v>39</v>
      </c>
      <c r="B40" s="35">
        <v>46194</v>
      </c>
      <c r="C40" s="36">
        <v>0.79166666666666663</v>
      </c>
      <c r="D40" s="37" t="s">
        <v>171</v>
      </c>
      <c r="F40" s="24" t="s">
        <v>5</v>
      </c>
      <c r="H40" s="37" t="s">
        <v>169</v>
      </c>
      <c r="I40" s="38" t="s">
        <v>44</v>
      </c>
      <c r="J40" s="38" t="s">
        <v>72</v>
      </c>
      <c r="K40" s="39">
        <f t="shared" si="0"/>
        <v>46194.791666666664</v>
      </c>
    </row>
    <row r="41" spans="1:11">
      <c r="A41" s="34">
        <v>40</v>
      </c>
      <c r="B41" s="35">
        <v>46194</v>
      </c>
      <c r="C41" s="36">
        <v>0.91666666666666663</v>
      </c>
      <c r="D41" s="37" t="s">
        <v>175</v>
      </c>
      <c r="F41" s="24" t="s">
        <v>5</v>
      </c>
      <c r="H41" s="37" t="s">
        <v>173</v>
      </c>
      <c r="I41" s="38" t="s">
        <v>49</v>
      </c>
      <c r="J41" s="38" t="s">
        <v>72</v>
      </c>
      <c r="K41" s="39">
        <f t="shared" si="0"/>
        <v>46194.916666666664</v>
      </c>
    </row>
    <row r="42" spans="1:11">
      <c r="A42" s="34">
        <v>41</v>
      </c>
      <c r="B42" s="35">
        <v>46195</v>
      </c>
      <c r="C42" s="36">
        <v>0.58333333333333337</v>
      </c>
      <c r="D42" s="37" t="s">
        <v>60</v>
      </c>
      <c r="F42" s="24" t="s">
        <v>5</v>
      </c>
      <c r="H42" s="37" t="s">
        <v>176</v>
      </c>
      <c r="I42" s="38" t="s">
        <v>54</v>
      </c>
      <c r="J42" s="38" t="s">
        <v>72</v>
      </c>
      <c r="K42" s="39">
        <f t="shared" si="0"/>
        <v>46195.583333333336</v>
      </c>
    </row>
    <row r="43" spans="1:11">
      <c r="A43" s="34">
        <v>42</v>
      </c>
      <c r="B43" s="35">
        <v>46195</v>
      </c>
      <c r="C43" s="36">
        <v>0.75</v>
      </c>
      <c r="D43" s="37" t="s">
        <v>178</v>
      </c>
      <c r="F43" s="24" t="s">
        <v>5</v>
      </c>
      <c r="H43" s="37" t="s">
        <v>179</v>
      </c>
      <c r="I43" s="38" t="s">
        <v>57</v>
      </c>
      <c r="J43" s="38" t="s">
        <v>72</v>
      </c>
      <c r="K43" s="39">
        <f t="shared" si="0"/>
        <v>46195.75</v>
      </c>
    </row>
    <row r="44" spans="1:11">
      <c r="A44" s="34">
        <v>43</v>
      </c>
      <c r="B44" s="35">
        <v>46195</v>
      </c>
      <c r="C44" s="36">
        <v>0.875</v>
      </c>
      <c r="D44" s="37" t="s">
        <v>180</v>
      </c>
      <c r="F44" s="24" t="s">
        <v>5</v>
      </c>
      <c r="H44" s="37" t="s">
        <v>56</v>
      </c>
      <c r="I44" s="38" t="s">
        <v>57</v>
      </c>
      <c r="J44" s="38" t="s">
        <v>72</v>
      </c>
      <c r="K44" s="39">
        <f t="shared" si="0"/>
        <v>46195.875</v>
      </c>
    </row>
    <row r="45" spans="1:11">
      <c r="A45" s="34">
        <v>44</v>
      </c>
      <c r="B45" s="35">
        <v>46196</v>
      </c>
      <c r="C45" s="36">
        <v>0</v>
      </c>
      <c r="D45" s="37" t="s">
        <v>177</v>
      </c>
      <c r="F45" s="24" t="s">
        <v>5</v>
      </c>
      <c r="H45" s="37" t="s">
        <v>181</v>
      </c>
      <c r="I45" s="38" t="s">
        <v>54</v>
      </c>
      <c r="J45" s="38" t="s">
        <v>72</v>
      </c>
      <c r="K45" s="39">
        <f t="shared" si="0"/>
        <v>46196</v>
      </c>
    </row>
    <row r="46" spans="1:11">
      <c r="A46" s="34">
        <v>45</v>
      </c>
      <c r="B46" s="35">
        <v>46196</v>
      </c>
      <c r="C46" s="36">
        <v>0.58333333333333337</v>
      </c>
      <c r="D46" s="37" t="s">
        <v>62</v>
      </c>
      <c r="F46" s="24" t="s">
        <v>5</v>
      </c>
      <c r="H46" s="37" t="s">
        <v>187</v>
      </c>
      <c r="I46" s="38" t="s">
        <v>64</v>
      </c>
      <c r="J46" s="38" t="s">
        <v>72</v>
      </c>
      <c r="K46" s="39">
        <f t="shared" si="0"/>
        <v>46196.583333333336</v>
      </c>
    </row>
    <row r="47" spans="1:11">
      <c r="A47" s="34">
        <v>46</v>
      </c>
      <c r="B47" s="35">
        <v>46196</v>
      </c>
      <c r="C47" s="36">
        <v>0.70833333333333337</v>
      </c>
      <c r="D47" s="37" t="s">
        <v>183</v>
      </c>
      <c r="F47" s="24" t="s">
        <v>5</v>
      </c>
      <c r="H47" s="37" t="s">
        <v>185</v>
      </c>
      <c r="I47" s="38" t="s">
        <v>67</v>
      </c>
      <c r="J47" s="38" t="s">
        <v>72</v>
      </c>
      <c r="K47" s="39">
        <f t="shared" si="0"/>
        <v>46196.708333333336</v>
      </c>
    </row>
    <row r="48" spans="1:11">
      <c r="A48" s="34">
        <v>47</v>
      </c>
      <c r="B48" s="35">
        <v>46196</v>
      </c>
      <c r="C48" s="36">
        <v>0.83333333333333337</v>
      </c>
      <c r="D48" s="37" t="s">
        <v>186</v>
      </c>
      <c r="F48" s="24" t="s">
        <v>5</v>
      </c>
      <c r="H48" s="37" t="s">
        <v>184</v>
      </c>
      <c r="I48" s="38" t="s">
        <v>67</v>
      </c>
      <c r="J48" s="38" t="s">
        <v>72</v>
      </c>
      <c r="K48" s="39">
        <f t="shared" si="0"/>
        <v>46196.833333333336</v>
      </c>
    </row>
    <row r="49" spans="1:11">
      <c r="A49" s="34">
        <v>48</v>
      </c>
      <c r="B49" s="35">
        <v>46196</v>
      </c>
      <c r="C49" s="36">
        <v>0.95833333333333337</v>
      </c>
      <c r="D49" s="37" t="s">
        <v>188</v>
      </c>
      <c r="F49" s="24" t="s">
        <v>5</v>
      </c>
      <c r="H49" s="37" t="s">
        <v>182</v>
      </c>
      <c r="I49" s="38" t="s">
        <v>64</v>
      </c>
      <c r="J49" s="38" t="s">
        <v>72</v>
      </c>
      <c r="K49" s="39">
        <f t="shared" si="0"/>
        <v>46196.958333333336</v>
      </c>
    </row>
    <row r="50" spans="1:11">
      <c r="A50" s="25">
        <v>49</v>
      </c>
      <c r="B50" s="26">
        <v>46197</v>
      </c>
      <c r="C50" s="27">
        <v>0.66666666666666663</v>
      </c>
      <c r="D50" s="28" t="s">
        <v>154</v>
      </c>
      <c r="E50" s="29"/>
      <c r="F50" s="30" t="s">
        <v>5</v>
      </c>
      <c r="G50" s="29"/>
      <c r="H50" s="28" t="s">
        <v>149</v>
      </c>
      <c r="I50" s="31" t="s">
        <v>19</v>
      </c>
      <c r="J50" s="31" t="s">
        <v>73</v>
      </c>
      <c r="K50" s="32">
        <f t="shared" si="0"/>
        <v>46197.666666666664</v>
      </c>
    </row>
    <row r="51" spans="1:11">
      <c r="A51" s="25">
        <v>50</v>
      </c>
      <c r="B51" s="26">
        <v>46197</v>
      </c>
      <c r="C51" s="27">
        <v>0.66666666666666663</v>
      </c>
      <c r="D51" s="28" t="s">
        <v>150</v>
      </c>
      <c r="E51" s="29"/>
      <c r="F51" s="30" t="s">
        <v>5</v>
      </c>
      <c r="G51" s="29"/>
      <c r="H51" s="28" t="s">
        <v>153</v>
      </c>
      <c r="I51" s="31" t="s">
        <v>19</v>
      </c>
      <c r="J51" s="31" t="s">
        <v>73</v>
      </c>
      <c r="K51" s="32">
        <f t="shared" si="0"/>
        <v>46197.666666666664</v>
      </c>
    </row>
    <row r="52" spans="1:11">
      <c r="A52" s="25">
        <v>51</v>
      </c>
      <c r="B52" s="26">
        <v>46197</v>
      </c>
      <c r="C52" s="27">
        <v>0.79166666666666663</v>
      </c>
      <c r="D52" s="28" t="s">
        <v>157</v>
      </c>
      <c r="E52" s="29"/>
      <c r="F52" s="30" t="s">
        <v>5</v>
      </c>
      <c r="G52" s="29"/>
      <c r="H52" s="28" t="s">
        <v>155</v>
      </c>
      <c r="I52" s="31" t="s">
        <v>27</v>
      </c>
      <c r="J52" s="31" t="s">
        <v>73</v>
      </c>
      <c r="K52" s="32">
        <f t="shared" si="0"/>
        <v>46197.791666666664</v>
      </c>
    </row>
    <row r="53" spans="1:11">
      <c r="A53" s="25">
        <v>52</v>
      </c>
      <c r="B53" s="26">
        <v>46197</v>
      </c>
      <c r="C53" s="27">
        <v>0.79166666666666663</v>
      </c>
      <c r="D53" s="28" t="s">
        <v>156</v>
      </c>
      <c r="E53" s="29"/>
      <c r="F53" s="30" t="s">
        <v>5</v>
      </c>
      <c r="G53" s="29"/>
      <c r="H53" s="28" t="s">
        <v>28</v>
      </c>
      <c r="I53" s="31" t="s">
        <v>27</v>
      </c>
      <c r="J53" s="31" t="s">
        <v>73</v>
      </c>
      <c r="K53" s="32">
        <f t="shared" si="0"/>
        <v>46197.791666666664</v>
      </c>
    </row>
    <row r="54" spans="1:11">
      <c r="A54" s="25">
        <v>53</v>
      </c>
      <c r="B54" s="26">
        <v>46197</v>
      </c>
      <c r="C54" s="27">
        <v>0.91666666666666663</v>
      </c>
      <c r="D54" s="28" t="s">
        <v>148</v>
      </c>
      <c r="E54" s="29"/>
      <c r="F54" s="30" t="s">
        <v>5</v>
      </c>
      <c r="G54" s="29"/>
      <c r="H54" s="28" t="s">
        <v>145</v>
      </c>
      <c r="I54" s="31" t="s">
        <v>13</v>
      </c>
      <c r="J54" s="31" t="s">
        <v>73</v>
      </c>
      <c r="K54" s="32">
        <f t="shared" si="0"/>
        <v>46197.916666666664</v>
      </c>
    </row>
    <row r="55" spans="1:11">
      <c r="A55" s="25">
        <v>54</v>
      </c>
      <c r="B55" s="26">
        <v>46197</v>
      </c>
      <c r="C55" s="27">
        <v>0.91666666666666663</v>
      </c>
      <c r="D55" s="28" t="s">
        <v>146</v>
      </c>
      <c r="E55" s="29"/>
      <c r="F55" s="30" t="s">
        <v>5</v>
      </c>
      <c r="G55" s="29"/>
      <c r="H55" s="28" t="s">
        <v>147</v>
      </c>
      <c r="I55" s="31" t="s">
        <v>13</v>
      </c>
      <c r="J55" s="31" t="s">
        <v>73</v>
      </c>
      <c r="K55" s="32">
        <f t="shared" si="0"/>
        <v>46197.916666666664</v>
      </c>
    </row>
    <row r="56" spans="1:11">
      <c r="A56" s="25">
        <v>55</v>
      </c>
      <c r="B56" s="26">
        <v>46198</v>
      </c>
      <c r="C56" s="27">
        <v>0.70833333333333337</v>
      </c>
      <c r="D56" s="28" t="s">
        <v>163</v>
      </c>
      <c r="E56" s="29"/>
      <c r="F56" s="30" t="s">
        <v>5</v>
      </c>
      <c r="G56" s="29"/>
      <c r="H56" s="28" t="s">
        <v>160</v>
      </c>
      <c r="I56" s="31" t="s">
        <v>34</v>
      </c>
      <c r="J56" s="31" t="s">
        <v>73</v>
      </c>
      <c r="K56" s="32">
        <f t="shared" si="0"/>
        <v>46198.708333333336</v>
      </c>
    </row>
    <row r="57" spans="1:11">
      <c r="A57" s="25">
        <v>56</v>
      </c>
      <c r="B57" s="26">
        <v>46198</v>
      </c>
      <c r="C57" s="27">
        <v>0.70833333333333337</v>
      </c>
      <c r="D57" s="28" t="s">
        <v>161</v>
      </c>
      <c r="E57" s="29"/>
      <c r="F57" s="30" t="s">
        <v>5</v>
      </c>
      <c r="G57" s="29"/>
      <c r="H57" s="28" t="s">
        <v>162</v>
      </c>
      <c r="I57" s="31" t="s">
        <v>34</v>
      </c>
      <c r="J57" s="31" t="s">
        <v>73</v>
      </c>
      <c r="K57" s="32">
        <f t="shared" si="0"/>
        <v>46198.708333333336</v>
      </c>
    </row>
    <row r="58" spans="1:11">
      <c r="A58" s="25">
        <v>57</v>
      </c>
      <c r="B58" s="26">
        <v>46198</v>
      </c>
      <c r="C58" s="27">
        <v>0.83333333333333337</v>
      </c>
      <c r="D58" s="28" t="s">
        <v>165</v>
      </c>
      <c r="E58" s="29"/>
      <c r="F58" s="30" t="s">
        <v>5</v>
      </c>
      <c r="G58" s="29"/>
      <c r="H58" s="28" t="s">
        <v>166</v>
      </c>
      <c r="I58" s="31" t="s">
        <v>39</v>
      </c>
      <c r="J58" s="31" t="s">
        <v>73</v>
      </c>
      <c r="K58" s="32">
        <f t="shared" si="0"/>
        <v>46198.833333333336</v>
      </c>
    </row>
    <row r="59" spans="1:11">
      <c r="A59" s="25">
        <v>58</v>
      </c>
      <c r="B59" s="26">
        <v>46198</v>
      </c>
      <c r="C59" s="27">
        <v>0.83333333333333337</v>
      </c>
      <c r="D59" s="28" t="s">
        <v>167</v>
      </c>
      <c r="E59" s="29"/>
      <c r="F59" s="30" t="s">
        <v>5</v>
      </c>
      <c r="G59" s="29"/>
      <c r="H59" s="28" t="s">
        <v>164</v>
      </c>
      <c r="I59" s="31" t="s">
        <v>39</v>
      </c>
      <c r="J59" s="31" t="s">
        <v>73</v>
      </c>
      <c r="K59" s="32">
        <f t="shared" si="0"/>
        <v>46198.833333333336</v>
      </c>
    </row>
    <row r="60" spans="1:11">
      <c r="A60" s="25">
        <v>59</v>
      </c>
      <c r="B60" s="26">
        <v>46198</v>
      </c>
      <c r="C60" s="27">
        <v>0.95833333333333337</v>
      </c>
      <c r="D60" s="28" t="s">
        <v>159</v>
      </c>
      <c r="E60" s="29"/>
      <c r="F60" s="30" t="s">
        <v>5</v>
      </c>
      <c r="G60" s="29"/>
      <c r="H60" s="28" t="s">
        <v>151</v>
      </c>
      <c r="I60" s="31" t="s">
        <v>22</v>
      </c>
      <c r="J60" s="31" t="s">
        <v>73</v>
      </c>
      <c r="K60" s="32">
        <f t="shared" si="0"/>
        <v>46198.958333333336</v>
      </c>
    </row>
    <row r="61" spans="1:11">
      <c r="A61" s="25">
        <v>60</v>
      </c>
      <c r="B61" s="26">
        <v>46198</v>
      </c>
      <c r="C61" s="27">
        <v>0.95833333333333337</v>
      </c>
      <c r="D61" s="28" t="s">
        <v>152</v>
      </c>
      <c r="E61" s="29"/>
      <c r="F61" s="30" t="s">
        <v>5</v>
      </c>
      <c r="G61" s="29"/>
      <c r="H61" s="28" t="s">
        <v>158</v>
      </c>
      <c r="I61" s="31" t="s">
        <v>22</v>
      </c>
      <c r="J61" s="31" t="s">
        <v>73</v>
      </c>
      <c r="K61" s="32">
        <f t="shared" si="0"/>
        <v>46198.958333333336</v>
      </c>
    </row>
    <row r="62" spans="1:11">
      <c r="A62" s="25">
        <v>61</v>
      </c>
      <c r="B62" s="26">
        <v>46199</v>
      </c>
      <c r="C62" s="27">
        <v>0.66666666666666663</v>
      </c>
      <c r="D62" s="28" t="s">
        <v>180</v>
      </c>
      <c r="E62" s="29"/>
      <c r="F62" s="30" t="s">
        <v>5</v>
      </c>
      <c r="G62" s="29"/>
      <c r="H62" s="28" t="s">
        <v>178</v>
      </c>
      <c r="I62" s="31" t="s">
        <v>57</v>
      </c>
      <c r="J62" s="31" t="s">
        <v>73</v>
      </c>
      <c r="K62" s="32">
        <f t="shared" si="0"/>
        <v>46199.666666666664</v>
      </c>
    </row>
    <row r="63" spans="1:11">
      <c r="A63" s="25">
        <v>62</v>
      </c>
      <c r="B63" s="26">
        <v>46199</v>
      </c>
      <c r="C63" s="27">
        <v>0.66666666666666663</v>
      </c>
      <c r="D63" s="28" t="s">
        <v>56</v>
      </c>
      <c r="E63" s="29"/>
      <c r="F63" s="30" t="s">
        <v>5</v>
      </c>
      <c r="G63" s="29"/>
      <c r="H63" s="28" t="s">
        <v>179</v>
      </c>
      <c r="I63" s="31" t="s">
        <v>57</v>
      </c>
      <c r="J63" s="31" t="s">
        <v>73</v>
      </c>
      <c r="K63" s="32">
        <f t="shared" si="0"/>
        <v>46199.666666666664</v>
      </c>
    </row>
    <row r="64" spans="1:11">
      <c r="A64" s="25">
        <v>63</v>
      </c>
      <c r="B64" s="26">
        <v>46199</v>
      </c>
      <c r="C64" s="27">
        <v>0.875</v>
      </c>
      <c r="D64" s="28" t="s">
        <v>169</v>
      </c>
      <c r="E64" s="29"/>
      <c r="F64" s="30" t="s">
        <v>5</v>
      </c>
      <c r="G64" s="29"/>
      <c r="H64" s="28" t="s">
        <v>170</v>
      </c>
      <c r="I64" s="31" t="s">
        <v>44</v>
      </c>
      <c r="J64" s="31" t="s">
        <v>73</v>
      </c>
      <c r="K64" s="32">
        <f t="shared" si="0"/>
        <v>46199.875</v>
      </c>
    </row>
    <row r="65" spans="1:11">
      <c r="A65" s="25">
        <v>64</v>
      </c>
      <c r="B65" s="26">
        <v>46199</v>
      </c>
      <c r="C65" s="27">
        <v>0.875</v>
      </c>
      <c r="D65" s="28" t="s">
        <v>171</v>
      </c>
      <c r="E65" s="29"/>
      <c r="F65" s="30" t="s">
        <v>5</v>
      </c>
      <c r="G65" s="29"/>
      <c r="H65" s="28" t="s">
        <v>168</v>
      </c>
      <c r="I65" s="31" t="s">
        <v>44</v>
      </c>
      <c r="J65" s="31" t="s">
        <v>73</v>
      </c>
      <c r="K65" s="32">
        <f t="shared" si="0"/>
        <v>46199.875</v>
      </c>
    </row>
    <row r="66" spans="1:11">
      <c r="A66" s="25">
        <v>65</v>
      </c>
      <c r="B66" s="26">
        <v>46200</v>
      </c>
      <c r="C66" s="27">
        <v>0</v>
      </c>
      <c r="D66" s="28" t="s">
        <v>173</v>
      </c>
      <c r="E66" s="29"/>
      <c r="F66" s="30" t="s">
        <v>5</v>
      </c>
      <c r="G66" s="29"/>
      <c r="H66" s="28" t="s">
        <v>174</v>
      </c>
      <c r="I66" s="31" t="s">
        <v>49</v>
      </c>
      <c r="J66" s="31" t="s">
        <v>73</v>
      </c>
      <c r="K66" s="32">
        <f t="shared" si="0"/>
        <v>46200</v>
      </c>
    </row>
    <row r="67" spans="1:11">
      <c r="A67" s="25">
        <v>66</v>
      </c>
      <c r="B67" s="26">
        <v>46200</v>
      </c>
      <c r="C67" s="27">
        <v>0</v>
      </c>
      <c r="D67" s="28" t="s">
        <v>175</v>
      </c>
      <c r="E67" s="29"/>
      <c r="F67" s="30" t="s">
        <v>5</v>
      </c>
      <c r="G67" s="29"/>
      <c r="H67" s="28" t="s">
        <v>172</v>
      </c>
      <c r="I67" s="31" t="s">
        <v>49</v>
      </c>
      <c r="J67" s="31" t="s">
        <v>73</v>
      </c>
      <c r="K67" s="32">
        <f t="shared" si="0"/>
        <v>46200</v>
      </c>
    </row>
    <row r="68" spans="1:11">
      <c r="A68" s="25">
        <v>67</v>
      </c>
      <c r="B68" s="26">
        <v>46200</v>
      </c>
      <c r="C68" s="27">
        <v>0.75</v>
      </c>
      <c r="D68" s="28" t="s">
        <v>186</v>
      </c>
      <c r="E68" s="29"/>
      <c r="F68" s="30" t="s">
        <v>5</v>
      </c>
      <c r="G68" s="29"/>
      <c r="H68" s="28" t="s">
        <v>183</v>
      </c>
      <c r="I68" s="31" t="s">
        <v>67</v>
      </c>
      <c r="J68" s="31" t="s">
        <v>73</v>
      </c>
      <c r="K68" s="32">
        <f t="shared" si="0"/>
        <v>46200.75</v>
      </c>
    </row>
    <row r="69" spans="1:11">
      <c r="A69" s="25">
        <v>68</v>
      </c>
      <c r="B69" s="26">
        <v>46200</v>
      </c>
      <c r="C69" s="27">
        <v>0.75</v>
      </c>
      <c r="D69" s="28" t="s">
        <v>184</v>
      </c>
      <c r="E69" s="29"/>
      <c r="F69" s="30" t="s">
        <v>5</v>
      </c>
      <c r="G69" s="29"/>
      <c r="H69" s="28" t="s">
        <v>185</v>
      </c>
      <c r="I69" s="31" t="s">
        <v>67</v>
      </c>
      <c r="J69" s="31" t="s">
        <v>73</v>
      </c>
      <c r="K69" s="32">
        <f t="shared" si="0"/>
        <v>46200.75</v>
      </c>
    </row>
    <row r="70" spans="1:11">
      <c r="A70" s="25">
        <v>69</v>
      </c>
      <c r="B70" s="26">
        <v>46200</v>
      </c>
      <c r="C70" s="27">
        <v>0.85416666666666663</v>
      </c>
      <c r="D70" s="28" t="s">
        <v>188</v>
      </c>
      <c r="E70" s="29"/>
      <c r="F70" s="30" t="s">
        <v>5</v>
      </c>
      <c r="G70" s="29"/>
      <c r="H70" s="28" t="s">
        <v>62</v>
      </c>
      <c r="I70" s="31" t="s">
        <v>64</v>
      </c>
      <c r="J70" s="31" t="s">
        <v>73</v>
      </c>
      <c r="K70" s="32">
        <f t="shared" si="0"/>
        <v>46200.854166666664</v>
      </c>
    </row>
    <row r="71" spans="1:11">
      <c r="A71" s="25">
        <v>70</v>
      </c>
      <c r="B71" s="26">
        <v>46200</v>
      </c>
      <c r="C71" s="27">
        <v>0.85416666666666663</v>
      </c>
      <c r="D71" s="28" t="s">
        <v>182</v>
      </c>
      <c r="E71" s="29"/>
      <c r="F71" s="30" t="s">
        <v>5</v>
      </c>
      <c r="G71" s="29"/>
      <c r="H71" s="28" t="s">
        <v>187</v>
      </c>
      <c r="I71" s="31" t="s">
        <v>64</v>
      </c>
      <c r="J71" s="31" t="s">
        <v>73</v>
      </c>
      <c r="K71" s="32">
        <f t="shared" si="0"/>
        <v>46200.854166666664</v>
      </c>
    </row>
    <row r="72" spans="1:11">
      <c r="A72" s="25">
        <v>71</v>
      </c>
      <c r="B72" s="26">
        <v>46200</v>
      </c>
      <c r="C72" s="27">
        <v>0.95833333333333337</v>
      </c>
      <c r="D72" s="28" t="s">
        <v>181</v>
      </c>
      <c r="E72" s="29"/>
      <c r="F72" s="30" t="s">
        <v>5</v>
      </c>
      <c r="G72" s="29"/>
      <c r="H72" s="28" t="s">
        <v>176</v>
      </c>
      <c r="I72" s="31" t="s">
        <v>54</v>
      </c>
      <c r="J72" s="31" t="s">
        <v>73</v>
      </c>
      <c r="K72" s="32">
        <f t="shared" si="0"/>
        <v>46200.958333333336</v>
      </c>
    </row>
    <row r="73" spans="1:11">
      <c r="A73" s="25">
        <v>72</v>
      </c>
      <c r="B73" s="26">
        <v>46200</v>
      </c>
      <c r="C73" s="27">
        <v>0.95833333333333337</v>
      </c>
      <c r="D73" s="28" t="s">
        <v>177</v>
      </c>
      <c r="E73" s="29"/>
      <c r="F73" s="30" t="s">
        <v>5</v>
      </c>
      <c r="G73" s="29"/>
      <c r="H73" s="28" t="s">
        <v>60</v>
      </c>
      <c r="I73" s="31" t="s">
        <v>54</v>
      </c>
      <c r="J73" s="31" t="s">
        <v>73</v>
      </c>
      <c r="K73" s="32">
        <f t="shared" si="0"/>
        <v>46200.958333333336</v>
      </c>
    </row>
    <row r="74" spans="1:11">
      <c r="A74" s="34">
        <v>73</v>
      </c>
      <c r="B74" s="35">
        <v>46201</v>
      </c>
      <c r="C74" s="38" t="s">
        <v>189</v>
      </c>
      <c r="D74" s="37" t="s">
        <v>190</v>
      </c>
      <c r="F74" s="23" t="s">
        <v>5</v>
      </c>
      <c r="H74" s="37" t="s">
        <v>191</v>
      </c>
      <c r="I74" s="38" t="s">
        <v>76</v>
      </c>
      <c r="J74" s="38" t="s">
        <v>77</v>
      </c>
      <c r="K74" s="23"/>
    </row>
    <row r="75" spans="1:11">
      <c r="A75" s="34">
        <v>74</v>
      </c>
      <c r="B75" s="35">
        <v>46202</v>
      </c>
      <c r="C75" s="38" t="s">
        <v>189</v>
      </c>
      <c r="D75" s="37" t="s">
        <v>192</v>
      </c>
      <c r="F75" s="23" t="s">
        <v>5</v>
      </c>
      <c r="H75" s="37" t="s">
        <v>193</v>
      </c>
      <c r="I75" s="38" t="s">
        <v>76</v>
      </c>
      <c r="J75" s="38" t="s">
        <v>77</v>
      </c>
      <c r="K75" s="23"/>
    </row>
    <row r="76" spans="1:11">
      <c r="A76" s="34">
        <v>75</v>
      </c>
      <c r="B76" s="35">
        <v>46202</v>
      </c>
      <c r="C76" s="38" t="s">
        <v>189</v>
      </c>
      <c r="D76" s="37" t="s">
        <v>194</v>
      </c>
      <c r="F76" s="23" t="s">
        <v>5</v>
      </c>
      <c r="H76" s="37" t="s">
        <v>195</v>
      </c>
      <c r="I76" s="38" t="s">
        <v>76</v>
      </c>
      <c r="J76" s="38" t="s">
        <v>77</v>
      </c>
      <c r="K76" s="23"/>
    </row>
    <row r="77" spans="1:11">
      <c r="A77" s="34">
        <v>76</v>
      </c>
      <c r="B77" s="35">
        <v>46202</v>
      </c>
      <c r="C77" s="38" t="s">
        <v>189</v>
      </c>
      <c r="D77" s="37" t="s">
        <v>196</v>
      </c>
      <c r="F77" s="23" t="s">
        <v>5</v>
      </c>
      <c r="H77" s="37" t="s">
        <v>197</v>
      </c>
      <c r="I77" s="38" t="s">
        <v>76</v>
      </c>
      <c r="J77" s="38" t="s">
        <v>77</v>
      </c>
      <c r="K77" s="23"/>
    </row>
    <row r="78" spans="1:11">
      <c r="A78" s="34">
        <v>77</v>
      </c>
      <c r="B78" s="35">
        <v>46203</v>
      </c>
      <c r="C78" s="38" t="s">
        <v>189</v>
      </c>
      <c r="D78" s="37" t="s">
        <v>198</v>
      </c>
      <c r="F78" s="23" t="s">
        <v>5</v>
      </c>
      <c r="H78" s="37" t="s">
        <v>199</v>
      </c>
      <c r="I78" s="38" t="s">
        <v>76</v>
      </c>
      <c r="J78" s="38" t="s">
        <v>77</v>
      </c>
      <c r="K78" s="23"/>
    </row>
    <row r="79" spans="1:11">
      <c r="A79" s="34">
        <v>78</v>
      </c>
      <c r="B79" s="35">
        <v>46203</v>
      </c>
      <c r="C79" s="38" t="s">
        <v>189</v>
      </c>
      <c r="D79" s="37" t="s">
        <v>200</v>
      </c>
      <c r="F79" s="23" t="s">
        <v>5</v>
      </c>
      <c r="H79" s="37" t="s">
        <v>201</v>
      </c>
      <c r="I79" s="38" t="s">
        <v>76</v>
      </c>
      <c r="J79" s="38" t="s">
        <v>77</v>
      </c>
      <c r="K79" s="23"/>
    </row>
    <row r="80" spans="1:11">
      <c r="A80" s="34">
        <v>79</v>
      </c>
      <c r="B80" s="35">
        <v>46203</v>
      </c>
      <c r="C80" s="38" t="s">
        <v>189</v>
      </c>
      <c r="D80" s="37" t="s">
        <v>202</v>
      </c>
      <c r="F80" s="23" t="s">
        <v>5</v>
      </c>
      <c r="H80" s="37" t="s">
        <v>203</v>
      </c>
      <c r="I80" s="38" t="s">
        <v>76</v>
      </c>
      <c r="J80" s="38" t="s">
        <v>77</v>
      </c>
      <c r="K80" s="23"/>
    </row>
    <row r="81" spans="1:11">
      <c r="A81" s="34">
        <v>80</v>
      </c>
      <c r="B81" s="35">
        <v>46204</v>
      </c>
      <c r="C81" s="38" t="s">
        <v>189</v>
      </c>
      <c r="D81" s="37" t="s">
        <v>204</v>
      </c>
      <c r="F81" s="23" t="s">
        <v>5</v>
      </c>
      <c r="H81" s="37" t="s">
        <v>205</v>
      </c>
      <c r="I81" s="38" t="s">
        <v>76</v>
      </c>
      <c r="J81" s="38" t="s">
        <v>77</v>
      </c>
      <c r="K81" s="23"/>
    </row>
    <row r="82" spans="1:11">
      <c r="A82" s="34">
        <v>81</v>
      </c>
      <c r="B82" s="35">
        <v>46204</v>
      </c>
      <c r="C82" s="38" t="s">
        <v>189</v>
      </c>
      <c r="D82" s="37" t="s">
        <v>206</v>
      </c>
      <c r="F82" s="23" t="s">
        <v>5</v>
      </c>
      <c r="H82" s="37" t="s">
        <v>207</v>
      </c>
      <c r="I82" s="38" t="s">
        <v>76</v>
      </c>
      <c r="J82" s="38" t="s">
        <v>77</v>
      </c>
      <c r="K82" s="23"/>
    </row>
    <row r="83" spans="1:11">
      <c r="A83" s="34">
        <v>82</v>
      </c>
      <c r="B83" s="35">
        <v>46204</v>
      </c>
      <c r="C83" s="38" t="s">
        <v>189</v>
      </c>
      <c r="D83" s="37" t="s">
        <v>208</v>
      </c>
      <c r="F83" s="23" t="s">
        <v>5</v>
      </c>
      <c r="H83" s="37" t="s">
        <v>209</v>
      </c>
      <c r="I83" s="38" t="s">
        <v>76</v>
      </c>
      <c r="J83" s="38" t="s">
        <v>77</v>
      </c>
      <c r="K83" s="23"/>
    </row>
    <row r="84" spans="1:11">
      <c r="A84" s="34">
        <v>83</v>
      </c>
      <c r="B84" s="35">
        <v>46205</v>
      </c>
      <c r="C84" s="38" t="s">
        <v>189</v>
      </c>
      <c r="D84" s="37" t="s">
        <v>210</v>
      </c>
      <c r="F84" s="23" t="s">
        <v>5</v>
      </c>
      <c r="H84" s="37" t="s">
        <v>211</v>
      </c>
      <c r="I84" s="38" t="s">
        <v>76</v>
      </c>
      <c r="J84" s="38" t="s">
        <v>77</v>
      </c>
      <c r="K84" s="23"/>
    </row>
    <row r="85" spans="1:11">
      <c r="A85" s="34">
        <v>84</v>
      </c>
      <c r="B85" s="35">
        <v>46205</v>
      </c>
      <c r="C85" s="38" t="s">
        <v>189</v>
      </c>
      <c r="D85" s="37" t="s">
        <v>212</v>
      </c>
      <c r="F85" s="23" t="s">
        <v>5</v>
      </c>
      <c r="H85" s="37" t="s">
        <v>213</v>
      </c>
      <c r="I85" s="38" t="s">
        <v>76</v>
      </c>
      <c r="J85" s="38" t="s">
        <v>77</v>
      </c>
      <c r="K85" s="23"/>
    </row>
    <row r="86" spans="1:11">
      <c r="A86" s="34">
        <v>85</v>
      </c>
      <c r="B86" s="35">
        <v>46205</v>
      </c>
      <c r="C86" s="38" t="s">
        <v>189</v>
      </c>
      <c r="D86" s="37" t="s">
        <v>214</v>
      </c>
      <c r="F86" s="23" t="s">
        <v>5</v>
      </c>
      <c r="H86" s="37" t="s">
        <v>215</v>
      </c>
      <c r="I86" s="38" t="s">
        <v>76</v>
      </c>
      <c r="J86" s="38" t="s">
        <v>77</v>
      </c>
      <c r="K86" s="23"/>
    </row>
    <row r="87" spans="1:11">
      <c r="A87" s="34">
        <v>86</v>
      </c>
      <c r="B87" s="35">
        <v>46206</v>
      </c>
      <c r="C87" s="38" t="s">
        <v>189</v>
      </c>
      <c r="D87" s="37" t="s">
        <v>216</v>
      </c>
      <c r="F87" s="23" t="s">
        <v>5</v>
      </c>
      <c r="H87" s="37" t="s">
        <v>217</v>
      </c>
      <c r="I87" s="38" t="s">
        <v>76</v>
      </c>
      <c r="J87" s="38" t="s">
        <v>77</v>
      </c>
      <c r="K87" s="23"/>
    </row>
    <row r="88" spans="1:11">
      <c r="A88" s="34">
        <v>87</v>
      </c>
      <c r="B88" s="35">
        <v>46206</v>
      </c>
      <c r="C88" s="38" t="s">
        <v>189</v>
      </c>
      <c r="D88" s="37" t="s">
        <v>218</v>
      </c>
      <c r="F88" s="23" t="s">
        <v>5</v>
      </c>
      <c r="H88" s="37" t="s">
        <v>219</v>
      </c>
      <c r="I88" s="38" t="s">
        <v>76</v>
      </c>
      <c r="J88" s="38" t="s">
        <v>77</v>
      </c>
      <c r="K88" s="23"/>
    </row>
    <row r="89" spans="1:11">
      <c r="A89" s="34">
        <v>88</v>
      </c>
      <c r="B89" s="35">
        <v>46206</v>
      </c>
      <c r="C89" s="38" t="s">
        <v>189</v>
      </c>
      <c r="D89" s="37" t="s">
        <v>220</v>
      </c>
      <c r="F89" s="23" t="s">
        <v>5</v>
      </c>
      <c r="H89" s="37" t="s">
        <v>221</v>
      </c>
      <c r="I89" s="38" t="s">
        <v>76</v>
      </c>
      <c r="J89" s="38" t="s">
        <v>77</v>
      </c>
      <c r="K89" s="23"/>
    </row>
    <row r="90" spans="1:11">
      <c r="A90" s="25">
        <v>89</v>
      </c>
      <c r="B90" s="26">
        <v>46207</v>
      </c>
      <c r="C90" s="31" t="s">
        <v>189</v>
      </c>
      <c r="D90" s="28" t="s">
        <v>222</v>
      </c>
      <c r="E90" s="29"/>
      <c r="F90" s="40" t="s">
        <v>5</v>
      </c>
      <c r="G90" s="29"/>
      <c r="H90" s="28" t="s">
        <v>223</v>
      </c>
      <c r="I90" s="31" t="s">
        <v>76</v>
      </c>
      <c r="J90" s="31" t="s">
        <v>110</v>
      </c>
      <c r="K90" s="40"/>
    </row>
    <row r="91" spans="1:11">
      <c r="A91" s="25">
        <v>90</v>
      </c>
      <c r="B91" s="26">
        <v>46207</v>
      </c>
      <c r="C91" s="31" t="s">
        <v>189</v>
      </c>
      <c r="D91" s="28" t="s">
        <v>224</v>
      </c>
      <c r="E91" s="29"/>
      <c r="F91" s="40" t="s">
        <v>5</v>
      </c>
      <c r="G91" s="29"/>
      <c r="H91" s="28" t="s">
        <v>225</v>
      </c>
      <c r="I91" s="31" t="s">
        <v>76</v>
      </c>
      <c r="J91" s="31" t="s">
        <v>110</v>
      </c>
      <c r="K91" s="40"/>
    </row>
    <row r="92" spans="1:11">
      <c r="A92" s="25">
        <v>91</v>
      </c>
      <c r="B92" s="26">
        <v>46208</v>
      </c>
      <c r="C92" s="31" t="s">
        <v>189</v>
      </c>
      <c r="D92" s="28" t="s">
        <v>226</v>
      </c>
      <c r="E92" s="29"/>
      <c r="F92" s="40" t="s">
        <v>5</v>
      </c>
      <c r="G92" s="29"/>
      <c r="H92" s="28" t="s">
        <v>227</v>
      </c>
      <c r="I92" s="31" t="s">
        <v>76</v>
      </c>
      <c r="J92" s="31" t="s">
        <v>110</v>
      </c>
      <c r="K92" s="40"/>
    </row>
    <row r="93" spans="1:11">
      <c r="A93" s="25">
        <v>92</v>
      </c>
      <c r="B93" s="26">
        <v>46208</v>
      </c>
      <c r="C93" s="31" t="s">
        <v>189</v>
      </c>
      <c r="D93" s="28" t="s">
        <v>228</v>
      </c>
      <c r="E93" s="29"/>
      <c r="F93" s="40" t="s">
        <v>5</v>
      </c>
      <c r="G93" s="29"/>
      <c r="H93" s="28" t="s">
        <v>229</v>
      </c>
      <c r="I93" s="31" t="s">
        <v>76</v>
      </c>
      <c r="J93" s="31" t="s">
        <v>110</v>
      </c>
      <c r="K93" s="40"/>
    </row>
    <row r="94" spans="1:11">
      <c r="A94" s="25">
        <v>93</v>
      </c>
      <c r="B94" s="26">
        <v>46209</v>
      </c>
      <c r="C94" s="31" t="s">
        <v>189</v>
      </c>
      <c r="D94" s="28" t="s">
        <v>230</v>
      </c>
      <c r="E94" s="29"/>
      <c r="F94" s="40" t="s">
        <v>5</v>
      </c>
      <c r="G94" s="29"/>
      <c r="H94" s="28" t="s">
        <v>231</v>
      </c>
      <c r="I94" s="31" t="s">
        <v>76</v>
      </c>
      <c r="J94" s="31" t="s">
        <v>110</v>
      </c>
      <c r="K94" s="40"/>
    </row>
    <row r="95" spans="1:11">
      <c r="A95" s="25">
        <v>94</v>
      </c>
      <c r="B95" s="26">
        <v>46209</v>
      </c>
      <c r="C95" s="31" t="s">
        <v>189</v>
      </c>
      <c r="D95" s="28" t="s">
        <v>232</v>
      </c>
      <c r="E95" s="29"/>
      <c r="F95" s="40" t="s">
        <v>5</v>
      </c>
      <c r="G95" s="29"/>
      <c r="H95" s="28" t="s">
        <v>233</v>
      </c>
      <c r="I95" s="31" t="s">
        <v>76</v>
      </c>
      <c r="J95" s="31" t="s">
        <v>110</v>
      </c>
      <c r="K95" s="40"/>
    </row>
    <row r="96" spans="1:11">
      <c r="A96" s="25">
        <v>95</v>
      </c>
      <c r="B96" s="26">
        <v>46210</v>
      </c>
      <c r="C96" s="31" t="s">
        <v>189</v>
      </c>
      <c r="D96" s="28" t="s">
        <v>234</v>
      </c>
      <c r="E96" s="29"/>
      <c r="F96" s="40" t="s">
        <v>5</v>
      </c>
      <c r="G96" s="29"/>
      <c r="H96" s="28" t="s">
        <v>235</v>
      </c>
      <c r="I96" s="31" t="s">
        <v>76</v>
      </c>
      <c r="J96" s="31" t="s">
        <v>110</v>
      </c>
      <c r="K96" s="40"/>
    </row>
    <row r="97" spans="1:11">
      <c r="A97" s="25">
        <v>96</v>
      </c>
      <c r="B97" s="26">
        <v>46210</v>
      </c>
      <c r="C97" s="31" t="s">
        <v>189</v>
      </c>
      <c r="D97" s="28" t="s">
        <v>236</v>
      </c>
      <c r="E97" s="29"/>
      <c r="F97" s="40" t="s">
        <v>5</v>
      </c>
      <c r="G97" s="29"/>
      <c r="H97" s="28" t="s">
        <v>237</v>
      </c>
      <c r="I97" s="31" t="s">
        <v>76</v>
      </c>
      <c r="J97" s="31" t="s">
        <v>110</v>
      </c>
      <c r="K97" s="40"/>
    </row>
    <row r="98" spans="1:11">
      <c r="A98" s="34">
        <v>97</v>
      </c>
      <c r="B98" s="35">
        <v>46212</v>
      </c>
      <c r="C98" s="38" t="s">
        <v>189</v>
      </c>
      <c r="D98" s="37" t="s">
        <v>238</v>
      </c>
      <c r="F98" s="23" t="s">
        <v>5</v>
      </c>
      <c r="H98" s="37" t="s">
        <v>239</v>
      </c>
      <c r="I98" s="38" t="s">
        <v>76</v>
      </c>
      <c r="J98" s="38" t="s">
        <v>127</v>
      </c>
      <c r="K98" s="23"/>
    </row>
    <row r="99" spans="1:11">
      <c r="A99" s="34">
        <v>98</v>
      </c>
      <c r="B99" s="35">
        <v>46213</v>
      </c>
      <c r="C99" s="38" t="s">
        <v>189</v>
      </c>
      <c r="D99" s="37" t="s">
        <v>240</v>
      </c>
      <c r="F99" s="23" t="s">
        <v>5</v>
      </c>
      <c r="H99" s="37" t="s">
        <v>241</v>
      </c>
      <c r="I99" s="38" t="s">
        <v>76</v>
      </c>
      <c r="J99" s="38" t="s">
        <v>127</v>
      </c>
      <c r="K99" s="23"/>
    </row>
    <row r="100" spans="1:11">
      <c r="A100" s="34">
        <v>99</v>
      </c>
      <c r="B100" s="35">
        <v>46215</v>
      </c>
      <c r="C100" s="38" t="s">
        <v>189</v>
      </c>
      <c r="D100" s="37" t="s">
        <v>242</v>
      </c>
      <c r="F100" s="23" t="s">
        <v>5</v>
      </c>
      <c r="H100" s="37" t="s">
        <v>243</v>
      </c>
      <c r="I100" s="38" t="s">
        <v>76</v>
      </c>
      <c r="J100" s="38" t="s">
        <v>127</v>
      </c>
      <c r="K100" s="23"/>
    </row>
    <row r="101" spans="1:11">
      <c r="A101" s="34">
        <v>100</v>
      </c>
      <c r="B101" s="35">
        <v>46215</v>
      </c>
      <c r="C101" s="38" t="s">
        <v>189</v>
      </c>
      <c r="D101" s="37" t="s">
        <v>244</v>
      </c>
      <c r="F101" s="23" t="s">
        <v>5</v>
      </c>
      <c r="H101" s="37" t="s">
        <v>245</v>
      </c>
      <c r="I101" s="38" t="s">
        <v>76</v>
      </c>
      <c r="J101" s="38" t="s">
        <v>127</v>
      </c>
      <c r="K101" s="23"/>
    </row>
    <row r="102" spans="1:11">
      <c r="A102" s="25">
        <v>101</v>
      </c>
      <c r="B102" s="26">
        <v>46217</v>
      </c>
      <c r="C102" s="31" t="s">
        <v>189</v>
      </c>
      <c r="D102" s="28" t="s">
        <v>246</v>
      </c>
      <c r="E102" s="29"/>
      <c r="F102" s="40" t="s">
        <v>5</v>
      </c>
      <c r="G102" s="29"/>
      <c r="H102" s="28" t="s">
        <v>247</v>
      </c>
      <c r="I102" s="31" t="s">
        <v>76</v>
      </c>
      <c r="J102" s="31" t="s">
        <v>136</v>
      </c>
      <c r="K102" s="40"/>
    </row>
    <row r="103" spans="1:11">
      <c r="A103" s="25">
        <v>102</v>
      </c>
      <c r="B103" s="26">
        <v>46218</v>
      </c>
      <c r="C103" s="31" t="s">
        <v>189</v>
      </c>
      <c r="D103" s="28" t="s">
        <v>248</v>
      </c>
      <c r="E103" s="29"/>
      <c r="F103" s="40" t="s">
        <v>5</v>
      </c>
      <c r="G103" s="29"/>
      <c r="H103" s="28" t="s">
        <v>249</v>
      </c>
      <c r="I103" s="31" t="s">
        <v>76</v>
      </c>
      <c r="J103" s="31" t="s">
        <v>136</v>
      </c>
      <c r="K103" s="40"/>
    </row>
    <row r="104" spans="1:11">
      <c r="A104" s="34">
        <v>103</v>
      </c>
      <c r="B104" s="35">
        <v>46221</v>
      </c>
      <c r="C104" s="38" t="s">
        <v>189</v>
      </c>
      <c r="D104" s="37" t="s">
        <v>250</v>
      </c>
      <c r="F104" s="23" t="s">
        <v>5</v>
      </c>
      <c r="H104" s="37" t="s">
        <v>251</v>
      </c>
      <c r="I104" s="38" t="s">
        <v>76</v>
      </c>
      <c r="J104" s="38" t="s">
        <v>252</v>
      </c>
      <c r="K104" s="23"/>
    </row>
    <row r="105" spans="1:11">
      <c r="A105" s="25">
        <v>104</v>
      </c>
      <c r="B105" s="26">
        <v>46222</v>
      </c>
      <c r="C105" s="31" t="s">
        <v>189</v>
      </c>
      <c r="D105" s="28" t="s">
        <v>253</v>
      </c>
      <c r="E105" s="29"/>
      <c r="F105" s="40" t="s">
        <v>5</v>
      </c>
      <c r="G105" s="29"/>
      <c r="H105" s="28" t="s">
        <v>254</v>
      </c>
      <c r="I105" s="31" t="s">
        <v>76</v>
      </c>
      <c r="J105" s="31" t="s">
        <v>144</v>
      </c>
      <c r="K105" s="40"/>
    </row>
    <row r="106" spans="1:11">
      <c r="A106" s="41"/>
      <c r="B106" s="41"/>
      <c r="C106" s="23"/>
      <c r="D106" s="23"/>
      <c r="F106" s="23"/>
      <c r="H106" s="23"/>
      <c r="I106" s="23"/>
      <c r="J106" s="23"/>
      <c r="K106" s="23"/>
    </row>
    <row r="107" spans="1:11">
      <c r="A107" s="41"/>
      <c r="B107" s="41"/>
      <c r="C107" s="23"/>
      <c r="D107" s="23"/>
      <c r="F107" s="23"/>
      <c r="H107" s="23"/>
      <c r="I107" s="23"/>
      <c r="J107" s="23"/>
      <c r="K107" s="23"/>
    </row>
    <row r="108" spans="1:11">
      <c r="A108" s="41"/>
      <c r="B108" s="41"/>
      <c r="C108" s="23"/>
      <c r="D108" s="23"/>
      <c r="F108" s="23"/>
      <c r="H108" s="23"/>
      <c r="I108" s="23"/>
      <c r="J108" s="23"/>
      <c r="K108" s="23"/>
    </row>
    <row r="109" spans="1:11">
      <c r="A109" s="41"/>
      <c r="B109" s="41"/>
      <c r="C109" s="23"/>
      <c r="D109" s="23"/>
      <c r="F109" s="23"/>
      <c r="H109" s="23"/>
      <c r="I109" s="23"/>
      <c r="J109" s="23"/>
      <c r="K109" s="23"/>
    </row>
    <row r="110" spans="1:11">
      <c r="A110" s="41"/>
      <c r="B110" s="41"/>
      <c r="C110" s="23"/>
      <c r="D110" s="23"/>
      <c r="F110" s="23"/>
      <c r="H110" s="23"/>
      <c r="I110" s="23"/>
      <c r="J110" s="23"/>
      <c r="K110" s="23"/>
    </row>
    <row r="111" spans="1:11">
      <c r="A111" s="41"/>
      <c r="B111" s="41"/>
      <c r="C111" s="23"/>
      <c r="D111" s="23"/>
      <c r="F111" s="23"/>
      <c r="H111" s="23"/>
      <c r="I111" s="23"/>
      <c r="J111" s="23"/>
      <c r="K111" s="23"/>
    </row>
    <row r="112" spans="1:11">
      <c r="A112" s="41"/>
      <c r="B112" s="41"/>
      <c r="C112" s="23"/>
      <c r="D112" s="23"/>
      <c r="F112" s="23"/>
      <c r="H112" s="23"/>
      <c r="I112" s="23"/>
      <c r="J112" s="23"/>
      <c r="K112" s="23"/>
    </row>
    <row r="113" spans="1:11">
      <c r="A113" s="41"/>
      <c r="B113" s="41"/>
      <c r="C113" s="23"/>
      <c r="D113" s="23"/>
      <c r="F113" s="23"/>
      <c r="H113" s="23"/>
      <c r="I113" s="23"/>
      <c r="J113" s="23"/>
      <c r="K113" s="23"/>
    </row>
    <row r="114" spans="1:11">
      <c r="A114" s="41"/>
      <c r="B114" s="41"/>
      <c r="C114" s="23"/>
      <c r="D114" s="23"/>
      <c r="F114" s="23"/>
      <c r="H114" s="23"/>
      <c r="I114" s="23"/>
      <c r="J114" s="23"/>
      <c r="K114" s="23"/>
    </row>
    <row r="115" spans="1:11">
      <c r="A115" s="41"/>
      <c r="B115" s="41"/>
      <c r="C115" s="23"/>
      <c r="D115" s="23"/>
      <c r="F115" s="23"/>
      <c r="H115" s="23"/>
      <c r="I115" s="23"/>
      <c r="J115" s="23"/>
      <c r="K115" s="23"/>
    </row>
    <row r="116" spans="1:11">
      <c r="A116" s="41"/>
      <c r="B116" s="41"/>
      <c r="C116" s="23"/>
      <c r="D116" s="23"/>
      <c r="F116" s="23"/>
      <c r="H116" s="23"/>
      <c r="I116" s="23"/>
      <c r="J116" s="23"/>
      <c r="K116" s="23"/>
    </row>
    <row r="117" spans="1:11">
      <c r="A117" s="41"/>
      <c r="B117" s="41"/>
      <c r="C117" s="23"/>
      <c r="D117" s="23"/>
      <c r="F117" s="23"/>
      <c r="H117" s="23"/>
      <c r="I117" s="23"/>
      <c r="J117" s="23"/>
      <c r="K117" s="23"/>
    </row>
    <row r="118" spans="1:11">
      <c r="A118" s="41"/>
      <c r="B118" s="41"/>
      <c r="C118" s="23"/>
      <c r="D118" s="23"/>
      <c r="F118" s="23"/>
      <c r="H118" s="23"/>
      <c r="I118" s="23"/>
      <c r="J118" s="23"/>
      <c r="K118" s="23"/>
    </row>
    <row r="119" spans="1:11">
      <c r="A119" s="41"/>
      <c r="B119" s="41"/>
      <c r="C119" s="23"/>
      <c r="D119" s="23"/>
      <c r="F119" s="23"/>
      <c r="H119" s="23"/>
      <c r="I119" s="23"/>
      <c r="J119" s="23"/>
      <c r="K119" s="23"/>
    </row>
    <row r="120" spans="1:11">
      <c r="A120" s="41"/>
      <c r="B120" s="41"/>
      <c r="C120" s="23"/>
      <c r="D120" s="23"/>
      <c r="F120" s="23"/>
      <c r="H120" s="23"/>
      <c r="I120" s="23"/>
      <c r="J120" s="23"/>
      <c r="K120" s="23"/>
    </row>
    <row r="121" spans="1:11">
      <c r="A121" s="41"/>
      <c r="B121" s="41"/>
      <c r="C121" s="23"/>
      <c r="D121" s="23"/>
      <c r="F121" s="23"/>
      <c r="H121" s="23"/>
      <c r="I121" s="23"/>
      <c r="J121" s="23"/>
      <c r="K121" s="23"/>
    </row>
    <row r="122" spans="1:11">
      <c r="A122" s="41"/>
      <c r="B122" s="41"/>
      <c r="C122" s="23"/>
      <c r="D122" s="23"/>
      <c r="F122" s="23"/>
      <c r="H122" s="23"/>
      <c r="I122" s="23"/>
      <c r="J122" s="23"/>
      <c r="K122" s="23"/>
    </row>
    <row r="123" spans="1:11">
      <c r="A123" s="41"/>
      <c r="B123" s="41"/>
      <c r="C123" s="23"/>
      <c r="D123" s="23"/>
      <c r="F123" s="23"/>
      <c r="H123" s="23"/>
      <c r="I123" s="23"/>
      <c r="J123" s="23"/>
      <c r="K123" s="23"/>
    </row>
    <row r="124" spans="1:11">
      <c r="A124" s="41"/>
      <c r="B124" s="41"/>
      <c r="C124" s="23"/>
      <c r="D124" s="23"/>
      <c r="F124" s="23"/>
      <c r="H124" s="23"/>
      <c r="I124" s="23"/>
      <c r="J124" s="23"/>
      <c r="K124" s="23"/>
    </row>
    <row r="125" spans="1:11">
      <c r="A125" s="41"/>
      <c r="B125" s="41"/>
      <c r="C125" s="23"/>
      <c r="D125" s="23"/>
      <c r="F125" s="23"/>
      <c r="H125" s="23"/>
      <c r="I125" s="23"/>
      <c r="J125" s="23"/>
      <c r="K125" s="23"/>
    </row>
    <row r="126" spans="1:11">
      <c r="A126" s="41"/>
      <c r="B126" s="41"/>
      <c r="C126" s="23"/>
      <c r="D126" s="23"/>
      <c r="F126" s="23"/>
      <c r="H126" s="23"/>
      <c r="I126" s="23"/>
      <c r="J126" s="23"/>
      <c r="K126" s="23"/>
    </row>
    <row r="127" spans="1:11">
      <c r="A127" s="41"/>
      <c r="B127" s="41"/>
      <c r="C127" s="23"/>
      <c r="D127" s="23"/>
      <c r="F127" s="23"/>
      <c r="H127" s="23"/>
      <c r="I127" s="23"/>
      <c r="J127" s="23"/>
      <c r="K127" s="23"/>
    </row>
    <row r="128" spans="1:11">
      <c r="A128" s="41"/>
      <c r="B128" s="41"/>
      <c r="C128" s="23"/>
      <c r="D128" s="23"/>
      <c r="F128" s="23"/>
      <c r="H128" s="23"/>
      <c r="I128" s="23"/>
      <c r="J128" s="23"/>
      <c r="K128" s="23"/>
    </row>
    <row r="129" spans="1:11">
      <c r="A129" s="41"/>
      <c r="B129" s="41"/>
      <c r="C129" s="23"/>
      <c r="D129" s="23"/>
      <c r="F129" s="23"/>
      <c r="H129" s="23"/>
      <c r="I129" s="23"/>
      <c r="J129" s="23"/>
      <c r="K129" s="23"/>
    </row>
    <row r="130" spans="1:11">
      <c r="A130" s="41"/>
      <c r="B130" s="41"/>
      <c r="C130" s="23"/>
      <c r="D130" s="23"/>
      <c r="F130" s="23"/>
      <c r="H130" s="23"/>
      <c r="I130" s="23"/>
      <c r="J130" s="23"/>
      <c r="K130" s="23"/>
    </row>
    <row r="131" spans="1:11">
      <c r="A131" s="41"/>
      <c r="B131" s="41"/>
      <c r="C131" s="23"/>
      <c r="D131" s="23"/>
      <c r="F131" s="23"/>
      <c r="H131" s="23"/>
      <c r="I131" s="23"/>
      <c r="J131" s="23"/>
      <c r="K131" s="23"/>
    </row>
    <row r="132" spans="1:11">
      <c r="A132" s="41"/>
      <c r="B132" s="41"/>
      <c r="C132" s="23"/>
      <c r="D132" s="23"/>
      <c r="F132" s="23"/>
      <c r="H132" s="23"/>
      <c r="I132" s="23"/>
      <c r="J132" s="23"/>
      <c r="K132" s="23"/>
    </row>
    <row r="133" spans="1:11">
      <c r="A133" s="41"/>
      <c r="B133" s="41"/>
      <c r="C133" s="23"/>
      <c r="D133" s="23"/>
      <c r="F133" s="23"/>
      <c r="H133" s="23"/>
      <c r="I133" s="23"/>
      <c r="J133" s="23"/>
      <c r="K133" s="23"/>
    </row>
    <row r="134" spans="1:11">
      <c r="A134" s="41"/>
      <c r="B134" s="41"/>
      <c r="C134" s="23"/>
      <c r="D134" s="23"/>
      <c r="F134" s="23"/>
      <c r="H134" s="23"/>
      <c r="I134" s="23"/>
      <c r="J134" s="23"/>
      <c r="K134" s="23"/>
    </row>
    <row r="135" spans="1:11">
      <c r="A135" s="41"/>
      <c r="B135" s="41"/>
      <c r="C135" s="23"/>
      <c r="D135" s="23"/>
      <c r="F135" s="23"/>
      <c r="H135" s="23"/>
      <c r="I135" s="23"/>
      <c r="J135" s="23"/>
      <c r="K135" s="23"/>
    </row>
    <row r="136" spans="1:11">
      <c r="A136" s="41"/>
      <c r="B136" s="41"/>
      <c r="C136" s="23"/>
      <c r="D136" s="23"/>
      <c r="F136" s="23"/>
      <c r="H136" s="23"/>
      <c r="I136" s="23"/>
      <c r="J136" s="23"/>
      <c r="K136" s="23"/>
    </row>
    <row r="137" spans="1:11">
      <c r="A137" s="41"/>
      <c r="B137" s="41"/>
      <c r="C137" s="23"/>
      <c r="D137" s="23"/>
      <c r="F137" s="23"/>
      <c r="H137" s="23"/>
      <c r="I137" s="23"/>
      <c r="J137" s="23"/>
      <c r="K137" s="23"/>
    </row>
    <row r="138" spans="1:11">
      <c r="A138" s="41"/>
      <c r="B138" s="41"/>
      <c r="C138" s="23"/>
      <c r="D138" s="23"/>
      <c r="F138" s="23"/>
      <c r="H138" s="23"/>
      <c r="I138" s="23"/>
      <c r="J138" s="23"/>
      <c r="K138" s="23"/>
    </row>
    <row r="139" spans="1:11">
      <c r="A139" s="41"/>
      <c r="B139" s="41"/>
      <c r="C139" s="23"/>
      <c r="D139" s="23"/>
      <c r="F139" s="23"/>
      <c r="H139" s="23"/>
      <c r="I139" s="23"/>
      <c r="J139" s="23"/>
      <c r="K139" s="23"/>
    </row>
    <row r="140" spans="1:11">
      <c r="A140" s="41"/>
      <c r="B140" s="41"/>
      <c r="C140" s="23"/>
      <c r="D140" s="23"/>
      <c r="F140" s="23"/>
      <c r="H140" s="23"/>
      <c r="I140" s="23"/>
      <c r="J140" s="23"/>
      <c r="K140" s="23"/>
    </row>
    <row r="141" spans="1:11">
      <c r="A141" s="41"/>
      <c r="B141" s="41"/>
      <c r="C141" s="23"/>
      <c r="D141" s="23"/>
      <c r="F141" s="23"/>
      <c r="H141" s="23"/>
      <c r="I141" s="23"/>
      <c r="J141" s="23"/>
      <c r="K141" s="23"/>
    </row>
    <row r="142" spans="1:11">
      <c r="A142" s="41"/>
      <c r="B142" s="41"/>
      <c r="C142" s="23"/>
      <c r="D142" s="23"/>
      <c r="F142" s="23"/>
      <c r="H142" s="23"/>
      <c r="I142" s="23"/>
      <c r="J142" s="23"/>
      <c r="K142" s="23"/>
    </row>
    <row r="143" spans="1:11">
      <c r="A143" s="41"/>
      <c r="B143" s="41"/>
      <c r="C143" s="23"/>
      <c r="D143" s="23"/>
      <c r="F143" s="23"/>
      <c r="H143" s="23"/>
      <c r="I143" s="23"/>
      <c r="J143" s="23"/>
      <c r="K143" s="23"/>
    </row>
    <row r="144" spans="1:11">
      <c r="A144" s="41"/>
      <c r="B144" s="41"/>
      <c r="C144" s="23"/>
      <c r="D144" s="23"/>
      <c r="F144" s="23"/>
      <c r="H144" s="23"/>
      <c r="I144" s="23"/>
      <c r="J144" s="23"/>
      <c r="K144" s="23"/>
    </row>
    <row r="145" spans="1:11">
      <c r="A145" s="41"/>
      <c r="B145" s="41"/>
      <c r="C145" s="23"/>
      <c r="D145" s="23"/>
      <c r="F145" s="23"/>
      <c r="H145" s="23"/>
      <c r="I145" s="23"/>
      <c r="J145" s="23"/>
      <c r="K145" s="23"/>
    </row>
    <row r="146" spans="1:11">
      <c r="A146" s="41"/>
      <c r="B146" s="41"/>
      <c r="C146" s="23"/>
      <c r="D146" s="23"/>
      <c r="F146" s="23"/>
      <c r="H146" s="23"/>
      <c r="I146" s="23"/>
      <c r="J146" s="23"/>
      <c r="K146" s="23"/>
    </row>
    <row r="147" spans="1:11">
      <c r="A147" s="41"/>
      <c r="B147" s="41"/>
      <c r="C147" s="23"/>
      <c r="D147" s="23"/>
      <c r="F147" s="23"/>
      <c r="H147" s="23"/>
      <c r="I147" s="23"/>
      <c r="J147" s="23"/>
      <c r="K147" s="23"/>
    </row>
    <row r="148" spans="1:11">
      <c r="A148" s="41"/>
      <c r="B148" s="41"/>
      <c r="C148" s="23"/>
      <c r="D148" s="23"/>
      <c r="F148" s="23"/>
      <c r="H148" s="23"/>
      <c r="I148" s="23"/>
      <c r="J148" s="23"/>
      <c r="K148" s="23"/>
    </row>
    <row r="149" spans="1:11">
      <c r="A149" s="41"/>
      <c r="B149" s="41"/>
      <c r="C149" s="23"/>
      <c r="D149" s="23"/>
      <c r="F149" s="23"/>
      <c r="H149" s="23"/>
      <c r="I149" s="23"/>
      <c r="J149" s="23"/>
      <c r="K149" s="23"/>
    </row>
    <row r="150" spans="1:11">
      <c r="A150" s="41"/>
      <c r="B150" s="41"/>
      <c r="C150" s="23"/>
      <c r="D150" s="23"/>
      <c r="F150" s="23"/>
      <c r="H150" s="23"/>
      <c r="I150" s="23"/>
      <c r="J150" s="23"/>
      <c r="K150" s="23"/>
    </row>
    <row r="151" spans="1:11">
      <c r="A151" s="41"/>
      <c r="B151" s="41"/>
      <c r="C151" s="23"/>
      <c r="D151" s="23"/>
      <c r="F151" s="23"/>
      <c r="H151" s="23"/>
      <c r="I151" s="23"/>
      <c r="J151" s="23"/>
      <c r="K151" s="23"/>
    </row>
    <row r="152" spans="1:11">
      <c r="A152" s="41"/>
      <c r="B152" s="41"/>
      <c r="C152" s="23"/>
      <c r="D152" s="23"/>
      <c r="F152" s="23"/>
      <c r="H152" s="23"/>
      <c r="I152" s="23"/>
      <c r="J152" s="23"/>
      <c r="K152" s="23"/>
    </row>
    <row r="153" spans="1:11">
      <c r="A153" s="41"/>
      <c r="B153" s="41"/>
      <c r="C153" s="23"/>
      <c r="D153" s="23"/>
      <c r="F153" s="23"/>
      <c r="H153" s="23"/>
      <c r="I153" s="23"/>
      <c r="J153" s="23"/>
      <c r="K153" s="23"/>
    </row>
    <row r="154" spans="1:11">
      <c r="A154" s="41"/>
      <c r="B154" s="41"/>
      <c r="C154" s="23"/>
      <c r="D154" s="23"/>
      <c r="F154" s="23"/>
      <c r="H154" s="23"/>
      <c r="I154" s="23"/>
      <c r="J154" s="23"/>
      <c r="K154" s="23"/>
    </row>
    <row r="155" spans="1:11">
      <c r="A155" s="41"/>
      <c r="B155" s="41"/>
      <c r="C155" s="23"/>
      <c r="D155" s="23"/>
      <c r="F155" s="23"/>
      <c r="H155" s="23"/>
      <c r="I155" s="23"/>
      <c r="J155" s="23"/>
      <c r="K155" s="23"/>
    </row>
    <row r="156" spans="1:11">
      <c r="A156" s="41"/>
      <c r="B156" s="41"/>
      <c r="C156" s="23"/>
      <c r="D156" s="23"/>
      <c r="F156" s="23"/>
      <c r="H156" s="23"/>
      <c r="I156" s="23"/>
      <c r="J156" s="23"/>
      <c r="K156" s="23"/>
    </row>
    <row r="157" spans="1:11">
      <c r="A157" s="41"/>
      <c r="B157" s="41"/>
      <c r="C157" s="23"/>
      <c r="D157" s="23"/>
      <c r="F157" s="23"/>
      <c r="H157" s="23"/>
      <c r="I157" s="23"/>
      <c r="J157" s="23"/>
      <c r="K157" s="23"/>
    </row>
    <row r="158" spans="1:11">
      <c r="A158" s="41"/>
      <c r="B158" s="41"/>
      <c r="C158" s="23"/>
      <c r="D158" s="23"/>
      <c r="F158" s="23"/>
      <c r="H158" s="23"/>
      <c r="I158" s="23"/>
      <c r="J158" s="23"/>
      <c r="K158" s="23"/>
    </row>
    <row r="159" spans="1:11">
      <c r="A159" s="41"/>
      <c r="B159" s="41"/>
      <c r="C159" s="23"/>
      <c r="D159" s="23"/>
      <c r="F159" s="23"/>
      <c r="H159" s="23"/>
      <c r="I159" s="23"/>
      <c r="J159" s="23"/>
      <c r="K159" s="23"/>
    </row>
    <row r="160" spans="1:11">
      <c r="A160" s="41"/>
      <c r="B160" s="41"/>
      <c r="C160" s="23"/>
      <c r="D160" s="23"/>
      <c r="F160" s="23"/>
      <c r="H160" s="23"/>
      <c r="I160" s="23"/>
      <c r="J160" s="23"/>
      <c r="K160" s="23"/>
    </row>
    <row r="161" spans="1:11">
      <c r="A161" s="41"/>
      <c r="B161" s="41"/>
      <c r="C161" s="23"/>
      <c r="D161" s="23"/>
      <c r="F161" s="23"/>
      <c r="H161" s="23"/>
      <c r="I161" s="23"/>
      <c r="J161" s="23"/>
      <c r="K161" s="23"/>
    </row>
    <row r="162" spans="1:11">
      <c r="A162" s="41"/>
      <c r="B162" s="41"/>
      <c r="C162" s="23"/>
      <c r="D162" s="23"/>
      <c r="F162" s="23"/>
      <c r="H162" s="23"/>
      <c r="I162" s="23"/>
      <c r="J162" s="23"/>
      <c r="K162" s="23"/>
    </row>
    <row r="163" spans="1:11">
      <c r="A163" s="41"/>
      <c r="B163" s="41"/>
      <c r="C163" s="23"/>
      <c r="D163" s="23"/>
      <c r="F163" s="23"/>
      <c r="H163" s="23"/>
      <c r="I163" s="23"/>
      <c r="J163" s="23"/>
      <c r="K163" s="23"/>
    </row>
    <row r="164" spans="1:11">
      <c r="A164" s="41"/>
      <c r="B164" s="41"/>
      <c r="C164" s="23"/>
      <c r="D164" s="23"/>
      <c r="F164" s="23"/>
      <c r="H164" s="23"/>
      <c r="I164" s="23"/>
      <c r="J164" s="23"/>
      <c r="K164" s="23"/>
    </row>
    <row r="165" spans="1:11">
      <c r="A165" s="41"/>
      <c r="B165" s="41"/>
      <c r="C165" s="23"/>
      <c r="D165" s="23"/>
      <c r="F165" s="23"/>
      <c r="H165" s="23"/>
      <c r="I165" s="23"/>
      <c r="J165" s="23"/>
      <c r="K165" s="23"/>
    </row>
    <row r="166" spans="1:11">
      <c r="A166" s="41"/>
      <c r="B166" s="41"/>
      <c r="C166" s="23"/>
      <c r="D166" s="23"/>
      <c r="F166" s="23"/>
      <c r="H166" s="23"/>
      <c r="I166" s="23"/>
      <c r="J166" s="23"/>
      <c r="K166" s="23"/>
    </row>
    <row r="167" spans="1:11">
      <c r="A167" s="41"/>
      <c r="B167" s="41"/>
      <c r="C167" s="23"/>
      <c r="D167" s="23"/>
      <c r="F167" s="23"/>
      <c r="H167" s="23"/>
      <c r="I167" s="23"/>
      <c r="J167" s="23"/>
      <c r="K167" s="23"/>
    </row>
    <row r="168" spans="1:11">
      <c r="A168" s="41"/>
      <c r="B168" s="41"/>
      <c r="C168" s="23"/>
      <c r="D168" s="23"/>
      <c r="F168" s="23"/>
      <c r="H168" s="23"/>
      <c r="I168" s="23"/>
      <c r="J168" s="23"/>
      <c r="K168" s="23"/>
    </row>
    <row r="169" spans="1:11">
      <c r="A169" s="41"/>
      <c r="B169" s="41"/>
      <c r="C169" s="23"/>
      <c r="D169" s="23"/>
      <c r="F169" s="23"/>
      <c r="H169" s="23"/>
      <c r="I169" s="23"/>
      <c r="J169" s="23"/>
      <c r="K169" s="23"/>
    </row>
    <row r="170" spans="1:11">
      <c r="A170" s="41"/>
      <c r="B170" s="41"/>
      <c r="C170" s="23"/>
      <c r="D170" s="23"/>
      <c r="F170" s="23"/>
      <c r="H170" s="23"/>
      <c r="I170" s="23"/>
      <c r="J170" s="23"/>
      <c r="K170" s="23"/>
    </row>
    <row r="171" spans="1:11">
      <c r="A171" s="41"/>
      <c r="B171" s="41"/>
      <c r="C171" s="23"/>
      <c r="D171" s="23"/>
      <c r="F171" s="23"/>
      <c r="H171" s="23"/>
      <c r="I171" s="23"/>
      <c r="J171" s="23"/>
      <c r="K171" s="23"/>
    </row>
    <row r="172" spans="1:11">
      <c r="A172" s="41"/>
      <c r="B172" s="41"/>
      <c r="C172" s="23"/>
      <c r="D172" s="23"/>
      <c r="F172" s="23"/>
      <c r="H172" s="23"/>
      <c r="I172" s="23"/>
      <c r="J172" s="23"/>
      <c r="K172" s="23"/>
    </row>
    <row r="173" spans="1:11">
      <c r="A173" s="41"/>
      <c r="B173" s="41"/>
      <c r="C173" s="23"/>
      <c r="D173" s="23"/>
      <c r="F173" s="23"/>
      <c r="H173" s="23"/>
      <c r="I173" s="23"/>
      <c r="J173" s="23"/>
      <c r="K173" s="23"/>
    </row>
    <row r="174" spans="1:11">
      <c r="A174" s="41"/>
      <c r="B174" s="41"/>
      <c r="C174" s="23"/>
      <c r="D174" s="23"/>
      <c r="F174" s="23"/>
      <c r="H174" s="23"/>
      <c r="I174" s="23"/>
      <c r="J174" s="23"/>
      <c r="K174" s="23"/>
    </row>
    <row r="175" spans="1:11">
      <c r="A175" s="41"/>
      <c r="B175" s="41"/>
      <c r="C175" s="23"/>
      <c r="D175" s="23"/>
      <c r="F175" s="23"/>
      <c r="H175" s="23"/>
      <c r="I175" s="23"/>
      <c r="J175" s="23"/>
      <c r="K175" s="23"/>
    </row>
    <row r="176" spans="1:11">
      <c r="A176" s="41"/>
      <c r="B176" s="41"/>
      <c r="C176" s="23"/>
      <c r="D176" s="23"/>
      <c r="F176" s="23"/>
      <c r="H176" s="23"/>
      <c r="I176" s="23"/>
      <c r="J176" s="23"/>
      <c r="K176" s="23"/>
    </row>
    <row r="177" spans="1:11">
      <c r="A177" s="41"/>
      <c r="B177" s="41"/>
      <c r="C177" s="23"/>
      <c r="D177" s="23"/>
      <c r="F177" s="23"/>
      <c r="H177" s="23"/>
      <c r="I177" s="23"/>
      <c r="J177" s="23"/>
      <c r="K177" s="23"/>
    </row>
    <row r="178" spans="1:11">
      <c r="A178" s="41"/>
      <c r="B178" s="41"/>
      <c r="C178" s="23"/>
      <c r="D178" s="23"/>
      <c r="F178" s="23"/>
      <c r="H178" s="23"/>
      <c r="I178" s="23"/>
      <c r="J178" s="23"/>
      <c r="K178" s="23"/>
    </row>
    <row r="179" spans="1:11">
      <c r="A179" s="41"/>
      <c r="B179" s="41"/>
      <c r="C179" s="23"/>
      <c r="D179" s="23"/>
      <c r="F179" s="23"/>
      <c r="H179" s="23"/>
      <c r="I179" s="23"/>
      <c r="J179" s="23"/>
      <c r="K179" s="23"/>
    </row>
    <row r="180" spans="1:11">
      <c r="A180" s="41"/>
      <c r="B180" s="41"/>
      <c r="C180" s="23"/>
      <c r="D180" s="23"/>
      <c r="F180" s="23"/>
      <c r="H180" s="23"/>
      <c r="I180" s="23"/>
      <c r="J180" s="23"/>
      <c r="K180" s="23"/>
    </row>
    <row r="181" spans="1:11">
      <c r="A181" s="41"/>
      <c r="B181" s="41"/>
      <c r="C181" s="23"/>
      <c r="D181" s="23"/>
      <c r="F181" s="23"/>
      <c r="H181" s="23"/>
      <c r="I181" s="23"/>
      <c r="J181" s="23"/>
      <c r="K181" s="23"/>
    </row>
    <row r="182" spans="1:11">
      <c r="A182" s="41"/>
      <c r="B182" s="41"/>
      <c r="C182" s="23"/>
      <c r="D182" s="23"/>
      <c r="F182" s="23"/>
      <c r="H182" s="23"/>
      <c r="I182" s="23"/>
      <c r="J182" s="23"/>
      <c r="K182" s="23"/>
    </row>
    <row r="183" spans="1:11">
      <c r="A183" s="41"/>
      <c r="B183" s="41"/>
      <c r="C183" s="23"/>
      <c r="D183" s="23"/>
      <c r="F183" s="23"/>
      <c r="H183" s="23"/>
      <c r="I183" s="23"/>
      <c r="J183" s="23"/>
      <c r="K183" s="23"/>
    </row>
    <row r="184" spans="1:11">
      <c r="A184" s="41"/>
      <c r="B184" s="41"/>
      <c r="C184" s="23"/>
      <c r="D184" s="23"/>
      <c r="F184" s="23"/>
      <c r="H184" s="23"/>
      <c r="I184" s="23"/>
      <c r="J184" s="23"/>
      <c r="K184" s="23"/>
    </row>
    <row r="185" spans="1:11">
      <c r="A185" s="41"/>
      <c r="B185" s="41"/>
      <c r="C185" s="23"/>
      <c r="D185" s="23"/>
      <c r="F185" s="23"/>
      <c r="H185" s="23"/>
      <c r="I185" s="23"/>
      <c r="J185" s="23"/>
      <c r="K185" s="23"/>
    </row>
    <row r="186" spans="1:11">
      <c r="A186" s="41"/>
      <c r="B186" s="41"/>
      <c r="C186" s="23"/>
      <c r="D186" s="23"/>
      <c r="F186" s="23"/>
      <c r="H186" s="23"/>
      <c r="I186" s="23"/>
      <c r="J186" s="23"/>
      <c r="K186" s="23"/>
    </row>
    <row r="187" spans="1:11">
      <c r="A187" s="41"/>
      <c r="B187" s="41"/>
      <c r="C187" s="23"/>
      <c r="D187" s="23"/>
      <c r="F187" s="23"/>
      <c r="H187" s="23"/>
      <c r="I187" s="23"/>
      <c r="J187" s="23"/>
      <c r="K187" s="23"/>
    </row>
    <row r="188" spans="1:11">
      <c r="A188" s="41"/>
      <c r="B188" s="41"/>
      <c r="C188" s="23"/>
      <c r="D188" s="23"/>
      <c r="F188" s="23"/>
      <c r="H188" s="23"/>
      <c r="I188" s="23"/>
      <c r="J188" s="23"/>
      <c r="K188" s="23"/>
    </row>
    <row r="189" spans="1:11">
      <c r="A189" s="41"/>
      <c r="B189" s="41"/>
      <c r="C189" s="23"/>
      <c r="D189" s="23"/>
      <c r="F189" s="23"/>
      <c r="H189" s="23"/>
      <c r="I189" s="23"/>
      <c r="J189" s="23"/>
      <c r="K189" s="23"/>
    </row>
    <row r="190" spans="1:11">
      <c r="A190" s="41"/>
      <c r="B190" s="41"/>
      <c r="C190" s="23"/>
      <c r="D190" s="23"/>
      <c r="F190" s="23"/>
      <c r="H190" s="23"/>
      <c r="I190" s="23"/>
      <c r="J190" s="23"/>
      <c r="K190" s="23"/>
    </row>
    <row r="191" spans="1:11">
      <c r="A191" s="41"/>
      <c r="B191" s="41"/>
      <c r="C191" s="23"/>
      <c r="D191" s="23"/>
      <c r="F191" s="23"/>
      <c r="H191" s="23"/>
      <c r="I191" s="23"/>
      <c r="J191" s="23"/>
      <c r="K191" s="23"/>
    </row>
    <row r="192" spans="1:11">
      <c r="A192" s="41"/>
      <c r="B192" s="41"/>
      <c r="C192" s="23"/>
      <c r="D192" s="23"/>
      <c r="F192" s="23"/>
      <c r="H192" s="23"/>
      <c r="I192" s="23"/>
      <c r="J192" s="23"/>
      <c r="K192" s="23"/>
    </row>
    <row r="193" spans="1:11">
      <c r="A193" s="41"/>
      <c r="B193" s="41"/>
      <c r="C193" s="23"/>
      <c r="D193" s="23"/>
      <c r="F193" s="23"/>
      <c r="H193" s="23"/>
      <c r="I193" s="23"/>
      <c r="J193" s="23"/>
      <c r="K193" s="23"/>
    </row>
    <row r="194" spans="1:11">
      <c r="A194" s="41"/>
      <c r="B194" s="41"/>
      <c r="C194" s="23"/>
      <c r="D194" s="23"/>
      <c r="F194" s="23"/>
      <c r="H194" s="23"/>
      <c r="I194" s="23"/>
      <c r="J194" s="23"/>
      <c r="K194" s="23"/>
    </row>
    <row r="195" spans="1:11">
      <c r="A195" s="41"/>
      <c r="B195" s="41"/>
      <c r="C195" s="23"/>
      <c r="D195" s="23"/>
      <c r="F195" s="23"/>
      <c r="H195" s="23"/>
      <c r="I195" s="23"/>
      <c r="J195" s="23"/>
      <c r="K195" s="23"/>
    </row>
    <row r="196" spans="1:11">
      <c r="A196" s="41"/>
      <c r="B196" s="41"/>
      <c r="C196" s="23"/>
      <c r="D196" s="23"/>
      <c r="F196" s="23"/>
      <c r="H196" s="23"/>
      <c r="I196" s="23"/>
      <c r="J196" s="23"/>
      <c r="K196" s="23"/>
    </row>
    <row r="197" spans="1:11">
      <c r="A197" s="41"/>
      <c r="B197" s="41"/>
      <c r="C197" s="23"/>
      <c r="D197" s="23"/>
      <c r="F197" s="23"/>
      <c r="H197" s="23"/>
      <c r="I197" s="23"/>
      <c r="J197" s="23"/>
      <c r="K197" s="23"/>
    </row>
    <row r="198" spans="1:11">
      <c r="A198" s="41"/>
      <c r="B198" s="41"/>
      <c r="C198" s="23"/>
      <c r="D198" s="23"/>
      <c r="F198" s="23"/>
      <c r="H198" s="23"/>
      <c r="I198" s="23"/>
      <c r="J198" s="23"/>
      <c r="K198" s="23"/>
    </row>
    <row r="199" spans="1:11">
      <c r="A199" s="41"/>
      <c r="B199" s="41"/>
      <c r="C199" s="23"/>
      <c r="D199" s="23"/>
      <c r="F199" s="23"/>
      <c r="H199" s="23"/>
      <c r="I199" s="23"/>
      <c r="J199" s="23"/>
      <c r="K199" s="23"/>
    </row>
    <row r="200" spans="1:11">
      <c r="A200" s="41"/>
      <c r="B200" s="41"/>
      <c r="C200" s="23"/>
      <c r="D200" s="23"/>
      <c r="F200" s="23"/>
      <c r="H200" s="23"/>
      <c r="I200" s="23"/>
      <c r="J200" s="23"/>
      <c r="K200" s="23"/>
    </row>
    <row r="201" spans="1:11">
      <c r="A201" s="41"/>
      <c r="B201" s="41"/>
      <c r="C201" s="23"/>
      <c r="D201" s="23"/>
      <c r="F201" s="23"/>
      <c r="H201" s="23"/>
      <c r="I201" s="23"/>
      <c r="J201" s="23"/>
      <c r="K201" s="23"/>
    </row>
    <row r="202" spans="1:11">
      <c r="A202" s="41"/>
      <c r="B202" s="41"/>
      <c r="C202" s="23"/>
      <c r="D202" s="23"/>
      <c r="F202" s="23"/>
      <c r="H202" s="23"/>
      <c r="I202" s="23"/>
      <c r="J202" s="23"/>
      <c r="K202" s="23"/>
    </row>
    <row r="203" spans="1:11">
      <c r="A203" s="41"/>
      <c r="B203" s="41"/>
      <c r="C203" s="23"/>
      <c r="D203" s="23"/>
      <c r="F203" s="23"/>
      <c r="H203" s="23"/>
      <c r="I203" s="23"/>
      <c r="J203" s="23"/>
      <c r="K203" s="23"/>
    </row>
    <row r="204" spans="1:11">
      <c r="A204" s="41"/>
      <c r="B204" s="41"/>
      <c r="C204" s="23"/>
      <c r="D204" s="23"/>
      <c r="F204" s="23"/>
      <c r="H204" s="23"/>
      <c r="I204" s="23"/>
      <c r="J204" s="23"/>
      <c r="K204" s="23"/>
    </row>
    <row r="205" spans="1:11">
      <c r="A205" s="41"/>
      <c r="B205" s="41"/>
      <c r="C205" s="23"/>
      <c r="D205" s="23"/>
      <c r="F205" s="23"/>
      <c r="H205" s="23"/>
      <c r="I205" s="23"/>
      <c r="J205" s="23"/>
      <c r="K205" s="23"/>
    </row>
    <row r="206" spans="1:11">
      <c r="A206" s="41"/>
      <c r="B206" s="41"/>
      <c r="C206" s="23"/>
      <c r="D206" s="23"/>
      <c r="F206" s="23"/>
      <c r="H206" s="23"/>
      <c r="I206" s="23"/>
      <c r="J206" s="23"/>
      <c r="K206" s="23"/>
    </row>
    <row r="207" spans="1:11">
      <c r="A207" s="41"/>
      <c r="B207" s="41"/>
      <c r="C207" s="23"/>
      <c r="D207" s="23"/>
      <c r="F207" s="23"/>
      <c r="H207" s="23"/>
      <c r="I207" s="23"/>
      <c r="J207" s="23"/>
      <c r="K207" s="23"/>
    </row>
    <row r="208" spans="1:11">
      <c r="A208" s="41"/>
      <c r="B208" s="41"/>
      <c r="C208" s="23"/>
      <c r="D208" s="23"/>
      <c r="F208" s="23"/>
      <c r="H208" s="23"/>
      <c r="I208" s="23"/>
      <c r="J208" s="23"/>
      <c r="K208" s="23"/>
    </row>
    <row r="209" spans="1:11">
      <c r="A209" s="41"/>
      <c r="B209" s="41"/>
      <c r="C209" s="23"/>
      <c r="D209" s="23"/>
      <c r="F209" s="23"/>
      <c r="H209" s="23"/>
      <c r="I209" s="23"/>
      <c r="J209" s="23"/>
      <c r="K209" s="23"/>
    </row>
    <row r="210" spans="1:11">
      <c r="A210" s="41"/>
      <c r="B210" s="41"/>
      <c r="C210" s="23"/>
      <c r="D210" s="23"/>
      <c r="F210" s="23"/>
      <c r="H210" s="23"/>
      <c r="I210" s="23"/>
      <c r="J210" s="23"/>
      <c r="K210" s="23"/>
    </row>
    <row r="211" spans="1:11">
      <c r="A211" s="41"/>
      <c r="B211" s="41"/>
      <c r="C211" s="23"/>
      <c r="D211" s="23"/>
      <c r="F211" s="23"/>
      <c r="H211" s="23"/>
      <c r="I211" s="23"/>
      <c r="J211" s="23"/>
      <c r="K211" s="23"/>
    </row>
    <row r="212" spans="1:11">
      <c r="A212" s="41"/>
      <c r="B212" s="41"/>
      <c r="C212" s="23"/>
      <c r="D212" s="23"/>
      <c r="F212" s="23"/>
      <c r="H212" s="23"/>
      <c r="I212" s="23"/>
      <c r="J212" s="23"/>
      <c r="K212" s="23"/>
    </row>
    <row r="213" spans="1:11">
      <c r="A213" s="41"/>
      <c r="B213" s="41"/>
      <c r="C213" s="23"/>
      <c r="D213" s="23"/>
      <c r="F213" s="23"/>
      <c r="H213" s="23"/>
      <c r="I213" s="23"/>
      <c r="J213" s="23"/>
      <c r="K213" s="23"/>
    </row>
    <row r="214" spans="1:11">
      <c r="A214" s="41"/>
      <c r="B214" s="41"/>
      <c r="C214" s="23"/>
      <c r="D214" s="23"/>
      <c r="F214" s="23"/>
      <c r="H214" s="23"/>
      <c r="I214" s="23"/>
      <c r="J214" s="23"/>
      <c r="K214" s="23"/>
    </row>
    <row r="215" spans="1:11">
      <c r="A215" s="41"/>
      <c r="B215" s="41"/>
      <c r="C215" s="23"/>
      <c r="D215" s="23"/>
      <c r="F215" s="23"/>
      <c r="H215" s="23"/>
      <c r="I215" s="23"/>
      <c r="J215" s="23"/>
      <c r="K215" s="23"/>
    </row>
    <row r="216" spans="1:11">
      <c r="A216" s="41"/>
      <c r="B216" s="41"/>
      <c r="C216" s="23"/>
      <c r="D216" s="23"/>
      <c r="F216" s="23"/>
      <c r="H216" s="23"/>
      <c r="I216" s="23"/>
      <c r="J216" s="23"/>
      <c r="K216" s="23"/>
    </row>
    <row r="217" spans="1:11">
      <c r="A217" s="41"/>
      <c r="B217" s="41"/>
      <c r="C217" s="23"/>
      <c r="D217" s="23"/>
      <c r="F217" s="23"/>
      <c r="H217" s="23"/>
      <c r="I217" s="23"/>
      <c r="J217" s="23"/>
      <c r="K217" s="23"/>
    </row>
    <row r="218" spans="1:11">
      <c r="A218" s="41"/>
      <c r="B218" s="41"/>
      <c r="C218" s="23"/>
      <c r="D218" s="23"/>
      <c r="F218" s="23"/>
      <c r="H218" s="23"/>
      <c r="I218" s="23"/>
      <c r="J218" s="23"/>
      <c r="K218" s="23"/>
    </row>
    <row r="219" spans="1:11">
      <c r="A219" s="41"/>
      <c r="B219" s="41"/>
      <c r="C219" s="23"/>
      <c r="D219" s="23"/>
      <c r="F219" s="23"/>
      <c r="H219" s="23"/>
      <c r="I219" s="23"/>
      <c r="J219" s="23"/>
      <c r="K219" s="23"/>
    </row>
    <row r="220" spans="1:11">
      <c r="A220" s="41"/>
      <c r="B220" s="41"/>
      <c r="C220" s="23"/>
      <c r="D220" s="23"/>
      <c r="F220" s="23"/>
      <c r="H220" s="23"/>
      <c r="I220" s="23"/>
      <c r="J220" s="23"/>
      <c r="K220" s="23"/>
    </row>
    <row r="221" spans="1:11">
      <c r="A221" s="41"/>
      <c r="B221" s="41"/>
      <c r="C221" s="23"/>
      <c r="D221" s="23"/>
      <c r="F221" s="23"/>
      <c r="H221" s="23"/>
      <c r="I221" s="23"/>
      <c r="J221" s="23"/>
      <c r="K221" s="23"/>
    </row>
    <row r="222" spans="1:11">
      <c r="A222" s="41"/>
      <c r="B222" s="41"/>
      <c r="C222" s="23"/>
      <c r="D222" s="23"/>
      <c r="F222" s="23"/>
      <c r="H222" s="23"/>
      <c r="I222" s="23"/>
      <c r="J222" s="23"/>
      <c r="K222" s="23"/>
    </row>
    <row r="223" spans="1:11">
      <c r="A223" s="41"/>
      <c r="B223" s="41"/>
      <c r="C223" s="23"/>
      <c r="D223" s="23"/>
      <c r="F223" s="23"/>
      <c r="H223" s="23"/>
      <c r="I223" s="23"/>
      <c r="J223" s="23"/>
      <c r="K223" s="23"/>
    </row>
    <row r="224" spans="1:11">
      <c r="A224" s="41"/>
      <c r="B224" s="41"/>
      <c r="C224" s="23"/>
      <c r="D224" s="23"/>
      <c r="F224" s="23"/>
      <c r="H224" s="23"/>
      <c r="I224" s="23"/>
      <c r="J224" s="23"/>
      <c r="K224" s="23"/>
    </row>
    <row r="225" spans="1:11">
      <c r="A225" s="41"/>
      <c r="B225" s="41"/>
      <c r="C225" s="23"/>
      <c r="D225" s="23"/>
      <c r="F225" s="23"/>
      <c r="H225" s="23"/>
      <c r="I225" s="23"/>
      <c r="J225" s="23"/>
      <c r="K225" s="23"/>
    </row>
    <row r="226" spans="1:11">
      <c r="A226" s="41"/>
      <c r="B226" s="41"/>
      <c r="C226" s="23"/>
      <c r="D226" s="23"/>
      <c r="F226" s="23"/>
      <c r="H226" s="23"/>
      <c r="I226" s="23"/>
      <c r="J226" s="23"/>
      <c r="K226" s="23"/>
    </row>
    <row r="227" spans="1:11">
      <c r="A227" s="41"/>
      <c r="B227" s="41"/>
      <c r="C227" s="23"/>
      <c r="D227" s="23"/>
      <c r="F227" s="23"/>
      <c r="H227" s="23"/>
      <c r="I227" s="23"/>
      <c r="J227" s="23"/>
      <c r="K227" s="23"/>
    </row>
    <row r="228" spans="1:11">
      <c r="A228" s="41"/>
      <c r="B228" s="41"/>
      <c r="C228" s="23"/>
      <c r="D228" s="23"/>
      <c r="F228" s="23"/>
      <c r="H228" s="23"/>
      <c r="I228" s="23"/>
      <c r="J228" s="23"/>
      <c r="K228" s="23"/>
    </row>
    <row r="229" spans="1:11">
      <c r="A229" s="41"/>
      <c r="B229" s="41"/>
      <c r="C229" s="23"/>
      <c r="D229" s="23"/>
      <c r="F229" s="23"/>
      <c r="H229" s="23"/>
      <c r="I229" s="23"/>
      <c r="J229" s="23"/>
      <c r="K229" s="23"/>
    </row>
    <row r="230" spans="1:11">
      <c r="A230" s="41"/>
      <c r="B230" s="41"/>
      <c r="C230" s="23"/>
      <c r="D230" s="23"/>
      <c r="F230" s="23"/>
      <c r="H230" s="23"/>
      <c r="I230" s="23"/>
      <c r="J230" s="23"/>
      <c r="K230" s="23"/>
    </row>
    <row r="231" spans="1:11">
      <c r="A231" s="41"/>
      <c r="B231" s="41"/>
      <c r="C231" s="23"/>
      <c r="D231" s="23"/>
      <c r="F231" s="23"/>
      <c r="H231" s="23"/>
      <c r="I231" s="23"/>
      <c r="J231" s="23"/>
      <c r="K231" s="23"/>
    </row>
    <row r="232" spans="1:11">
      <c r="A232" s="41"/>
      <c r="B232" s="41"/>
      <c r="C232" s="23"/>
      <c r="D232" s="23"/>
      <c r="F232" s="23"/>
      <c r="H232" s="23"/>
      <c r="I232" s="23"/>
      <c r="J232" s="23"/>
      <c r="K232" s="23"/>
    </row>
    <row r="233" spans="1:11">
      <c r="A233" s="41"/>
      <c r="B233" s="41"/>
      <c r="C233" s="23"/>
      <c r="D233" s="23"/>
      <c r="F233" s="23"/>
      <c r="H233" s="23"/>
      <c r="I233" s="23"/>
      <c r="J233" s="23"/>
      <c r="K233" s="23"/>
    </row>
    <row r="234" spans="1:11">
      <c r="A234" s="41"/>
      <c r="B234" s="41"/>
      <c r="C234" s="23"/>
      <c r="D234" s="23"/>
      <c r="F234" s="23"/>
      <c r="H234" s="23"/>
      <c r="I234" s="23"/>
      <c r="J234" s="23"/>
      <c r="K234" s="23"/>
    </row>
    <row r="235" spans="1:11">
      <c r="A235" s="41"/>
      <c r="B235" s="41"/>
      <c r="C235" s="23"/>
      <c r="D235" s="23"/>
      <c r="F235" s="23"/>
      <c r="H235" s="23"/>
      <c r="I235" s="23"/>
      <c r="J235" s="23"/>
      <c r="K235" s="23"/>
    </row>
    <row r="236" spans="1:11">
      <c r="A236" s="41"/>
      <c r="B236" s="41"/>
      <c r="C236" s="23"/>
      <c r="D236" s="23"/>
      <c r="F236" s="23"/>
      <c r="H236" s="23"/>
      <c r="I236" s="23"/>
      <c r="J236" s="23"/>
      <c r="K236" s="23"/>
    </row>
    <row r="237" spans="1:11">
      <c r="A237" s="41"/>
      <c r="B237" s="41"/>
      <c r="C237" s="23"/>
      <c r="D237" s="23"/>
      <c r="F237" s="23"/>
      <c r="H237" s="23"/>
      <c r="I237" s="23"/>
      <c r="J237" s="23"/>
      <c r="K237" s="23"/>
    </row>
    <row r="238" spans="1:11">
      <c r="A238" s="41"/>
      <c r="B238" s="41"/>
      <c r="C238" s="23"/>
      <c r="D238" s="23"/>
      <c r="F238" s="23"/>
      <c r="H238" s="23"/>
      <c r="I238" s="23"/>
      <c r="J238" s="23"/>
      <c r="K238" s="23"/>
    </row>
    <row r="239" spans="1:11">
      <c r="A239" s="41"/>
      <c r="B239" s="41"/>
      <c r="C239" s="23"/>
      <c r="D239" s="23"/>
      <c r="F239" s="23"/>
      <c r="H239" s="23"/>
      <c r="I239" s="23"/>
      <c r="J239" s="23"/>
      <c r="K239" s="23"/>
    </row>
    <row r="240" spans="1:11">
      <c r="A240" s="41"/>
      <c r="B240" s="41"/>
      <c r="C240" s="23"/>
      <c r="D240" s="23"/>
      <c r="F240" s="23"/>
      <c r="H240" s="23"/>
      <c r="I240" s="23"/>
      <c r="J240" s="23"/>
      <c r="K240" s="23"/>
    </row>
    <row r="241" spans="1:11">
      <c r="A241" s="41"/>
      <c r="B241" s="41"/>
      <c r="C241" s="23"/>
      <c r="D241" s="23"/>
      <c r="F241" s="23"/>
      <c r="H241" s="23"/>
      <c r="I241" s="23"/>
      <c r="J241" s="23"/>
      <c r="K241" s="23"/>
    </row>
    <row r="242" spans="1:11">
      <c r="A242" s="41"/>
      <c r="B242" s="41"/>
      <c r="C242" s="23"/>
      <c r="D242" s="23"/>
      <c r="F242" s="23"/>
      <c r="H242" s="23"/>
      <c r="I242" s="23"/>
      <c r="J242" s="23"/>
      <c r="K242" s="23"/>
    </row>
    <row r="243" spans="1:11">
      <c r="A243" s="41"/>
      <c r="B243" s="41"/>
      <c r="C243" s="23"/>
      <c r="D243" s="23"/>
      <c r="F243" s="23"/>
      <c r="H243" s="23"/>
      <c r="I243" s="23"/>
      <c r="J243" s="23"/>
      <c r="K243" s="23"/>
    </row>
    <row r="244" spans="1:11">
      <c r="A244" s="41"/>
      <c r="B244" s="41"/>
      <c r="C244" s="23"/>
      <c r="D244" s="23"/>
      <c r="F244" s="23"/>
      <c r="H244" s="23"/>
      <c r="I244" s="23"/>
      <c r="J244" s="23"/>
      <c r="K244" s="23"/>
    </row>
    <row r="245" spans="1:11">
      <c r="A245" s="41"/>
      <c r="B245" s="41"/>
      <c r="C245" s="23"/>
      <c r="D245" s="23"/>
      <c r="F245" s="23"/>
      <c r="H245" s="23"/>
      <c r="I245" s="23"/>
      <c r="J245" s="23"/>
      <c r="K245" s="23"/>
    </row>
    <row r="246" spans="1:11">
      <c r="A246" s="41"/>
      <c r="B246" s="41"/>
      <c r="C246" s="23"/>
      <c r="D246" s="23"/>
      <c r="F246" s="23"/>
      <c r="H246" s="23"/>
      <c r="I246" s="23"/>
      <c r="J246" s="23"/>
      <c r="K246" s="23"/>
    </row>
    <row r="247" spans="1:11">
      <c r="A247" s="41"/>
      <c r="B247" s="41"/>
      <c r="C247" s="23"/>
      <c r="D247" s="23"/>
      <c r="F247" s="23"/>
      <c r="H247" s="23"/>
      <c r="I247" s="23"/>
      <c r="J247" s="23"/>
      <c r="K247" s="23"/>
    </row>
    <row r="248" spans="1:11">
      <c r="A248" s="41"/>
      <c r="B248" s="41"/>
      <c r="C248" s="23"/>
      <c r="D248" s="23"/>
      <c r="F248" s="23"/>
      <c r="H248" s="23"/>
      <c r="I248" s="23"/>
      <c r="J248" s="23"/>
      <c r="K248" s="23"/>
    </row>
    <row r="249" spans="1:11">
      <c r="A249" s="41"/>
      <c r="B249" s="41"/>
      <c r="C249" s="23"/>
      <c r="D249" s="23"/>
      <c r="F249" s="23"/>
      <c r="H249" s="23"/>
      <c r="I249" s="23"/>
      <c r="J249" s="23"/>
      <c r="K249" s="23"/>
    </row>
    <row r="250" spans="1:11">
      <c r="A250" s="41"/>
      <c r="B250" s="41"/>
      <c r="C250" s="23"/>
      <c r="D250" s="23"/>
      <c r="F250" s="23"/>
      <c r="H250" s="23"/>
      <c r="I250" s="23"/>
      <c r="J250" s="23"/>
      <c r="K250" s="23"/>
    </row>
    <row r="251" spans="1:11">
      <c r="A251" s="41"/>
      <c r="B251" s="41"/>
      <c r="C251" s="23"/>
      <c r="D251" s="23"/>
      <c r="F251" s="23"/>
      <c r="H251" s="23"/>
      <c r="I251" s="23"/>
      <c r="J251" s="23"/>
      <c r="K251" s="23"/>
    </row>
    <row r="252" spans="1:11">
      <c r="A252" s="41"/>
      <c r="B252" s="41"/>
      <c r="C252" s="23"/>
      <c r="D252" s="23"/>
      <c r="F252" s="23"/>
      <c r="H252" s="23"/>
      <c r="I252" s="23"/>
      <c r="J252" s="23"/>
      <c r="K252" s="23"/>
    </row>
    <row r="253" spans="1:11">
      <c r="A253" s="41"/>
      <c r="B253" s="41"/>
      <c r="C253" s="23"/>
      <c r="D253" s="23"/>
      <c r="F253" s="23"/>
      <c r="H253" s="23"/>
      <c r="I253" s="23"/>
      <c r="J253" s="23"/>
      <c r="K253" s="23"/>
    </row>
    <row r="254" spans="1:11">
      <c r="A254" s="41"/>
      <c r="B254" s="41"/>
      <c r="C254" s="23"/>
      <c r="D254" s="23"/>
      <c r="F254" s="23"/>
      <c r="H254" s="23"/>
      <c r="I254" s="23"/>
      <c r="J254" s="23"/>
      <c r="K254" s="23"/>
    </row>
    <row r="255" spans="1:11">
      <c r="A255" s="41"/>
      <c r="B255" s="41"/>
      <c r="C255" s="23"/>
      <c r="D255" s="23"/>
      <c r="F255" s="23"/>
      <c r="H255" s="23"/>
      <c r="I255" s="23"/>
      <c r="J255" s="23"/>
      <c r="K255" s="23"/>
    </row>
    <row r="256" spans="1:11">
      <c r="A256" s="41"/>
      <c r="B256" s="41"/>
      <c r="C256" s="23"/>
      <c r="D256" s="23"/>
      <c r="F256" s="23"/>
      <c r="H256" s="23"/>
      <c r="I256" s="23"/>
      <c r="J256" s="23"/>
      <c r="K256" s="23"/>
    </row>
    <row r="257" spans="1:11">
      <c r="A257" s="41"/>
      <c r="B257" s="41"/>
      <c r="C257" s="23"/>
      <c r="D257" s="23"/>
      <c r="F257" s="23"/>
      <c r="H257" s="23"/>
      <c r="I257" s="23"/>
      <c r="J257" s="23"/>
      <c r="K257" s="23"/>
    </row>
    <row r="258" spans="1:11">
      <c r="A258" s="41"/>
      <c r="B258" s="41"/>
      <c r="C258" s="23"/>
      <c r="D258" s="23"/>
      <c r="F258" s="23"/>
      <c r="H258" s="23"/>
      <c r="I258" s="23"/>
      <c r="J258" s="23"/>
      <c r="K258" s="23"/>
    </row>
    <row r="259" spans="1:11">
      <c r="A259" s="41"/>
      <c r="B259" s="41"/>
      <c r="C259" s="23"/>
      <c r="D259" s="23"/>
      <c r="F259" s="23"/>
      <c r="H259" s="23"/>
      <c r="I259" s="23"/>
      <c r="J259" s="23"/>
      <c r="K259" s="23"/>
    </row>
    <row r="260" spans="1:11">
      <c r="A260" s="41"/>
      <c r="B260" s="41"/>
      <c r="C260" s="23"/>
      <c r="D260" s="23"/>
      <c r="F260" s="23"/>
      <c r="H260" s="23"/>
      <c r="I260" s="23"/>
      <c r="J260" s="23"/>
      <c r="K260" s="23"/>
    </row>
    <row r="261" spans="1:11">
      <c r="A261" s="41"/>
      <c r="B261" s="41"/>
      <c r="C261" s="23"/>
      <c r="D261" s="23"/>
      <c r="F261" s="23"/>
      <c r="H261" s="23"/>
      <c r="I261" s="23"/>
      <c r="J261" s="23"/>
      <c r="K261" s="23"/>
    </row>
    <row r="262" spans="1:11">
      <c r="A262" s="41"/>
      <c r="B262" s="41"/>
      <c r="C262" s="23"/>
      <c r="D262" s="23"/>
      <c r="F262" s="23"/>
      <c r="H262" s="23"/>
      <c r="I262" s="23"/>
      <c r="J262" s="23"/>
      <c r="K262" s="23"/>
    </row>
    <row r="263" spans="1:11">
      <c r="A263" s="41"/>
      <c r="B263" s="41"/>
      <c r="C263" s="23"/>
      <c r="D263" s="23"/>
      <c r="F263" s="23"/>
      <c r="H263" s="23"/>
      <c r="I263" s="23"/>
      <c r="J263" s="23"/>
      <c r="K263" s="23"/>
    </row>
    <row r="264" spans="1:11">
      <c r="A264" s="41"/>
      <c r="B264" s="41"/>
      <c r="C264" s="23"/>
      <c r="D264" s="23"/>
      <c r="F264" s="23"/>
      <c r="H264" s="23"/>
      <c r="I264" s="23"/>
      <c r="J264" s="23"/>
      <c r="K264" s="23"/>
    </row>
    <row r="265" spans="1:11">
      <c r="A265" s="41"/>
      <c r="B265" s="41"/>
      <c r="C265" s="23"/>
      <c r="D265" s="23"/>
      <c r="F265" s="23"/>
      <c r="H265" s="23"/>
      <c r="I265" s="23"/>
      <c r="J265" s="23"/>
      <c r="K265" s="23"/>
    </row>
    <row r="266" spans="1:11">
      <c r="A266" s="41"/>
      <c r="B266" s="41"/>
      <c r="C266" s="23"/>
      <c r="D266" s="23"/>
      <c r="F266" s="23"/>
      <c r="H266" s="23"/>
      <c r="I266" s="23"/>
      <c r="J266" s="23"/>
      <c r="K266" s="23"/>
    </row>
    <row r="267" spans="1:11">
      <c r="A267" s="41"/>
      <c r="B267" s="41"/>
      <c r="C267" s="23"/>
      <c r="D267" s="23"/>
      <c r="F267" s="23"/>
      <c r="H267" s="23"/>
      <c r="I267" s="23"/>
      <c r="J267" s="23"/>
      <c r="K267" s="23"/>
    </row>
    <row r="268" spans="1:11">
      <c r="A268" s="41"/>
      <c r="B268" s="41"/>
      <c r="C268" s="23"/>
      <c r="D268" s="23"/>
      <c r="F268" s="23"/>
      <c r="H268" s="23"/>
      <c r="I268" s="23"/>
      <c r="J268" s="23"/>
      <c r="K268" s="23"/>
    </row>
    <row r="269" spans="1:11">
      <c r="A269" s="41"/>
      <c r="B269" s="41"/>
      <c r="C269" s="23"/>
      <c r="D269" s="23"/>
      <c r="F269" s="23"/>
      <c r="H269" s="23"/>
      <c r="I269" s="23"/>
      <c r="J269" s="23"/>
      <c r="K269" s="23"/>
    </row>
    <row r="270" spans="1:11">
      <c r="A270" s="41"/>
      <c r="B270" s="41"/>
      <c r="C270" s="23"/>
      <c r="D270" s="23"/>
      <c r="F270" s="23"/>
      <c r="H270" s="23"/>
      <c r="I270" s="23"/>
      <c r="J270" s="23"/>
      <c r="K270" s="23"/>
    </row>
    <row r="271" spans="1:11">
      <c r="A271" s="41"/>
      <c r="B271" s="41"/>
      <c r="C271" s="23"/>
      <c r="D271" s="23"/>
      <c r="F271" s="23"/>
      <c r="H271" s="23"/>
      <c r="I271" s="23"/>
      <c r="J271" s="23"/>
      <c r="K271" s="23"/>
    </row>
    <row r="272" spans="1:11">
      <c r="A272" s="41"/>
      <c r="B272" s="41"/>
      <c r="C272" s="23"/>
      <c r="D272" s="23"/>
      <c r="F272" s="23"/>
      <c r="H272" s="23"/>
      <c r="I272" s="23"/>
      <c r="J272" s="23"/>
      <c r="K272" s="23"/>
    </row>
    <row r="273" spans="1:11">
      <c r="A273" s="41"/>
      <c r="B273" s="41"/>
      <c r="C273" s="23"/>
      <c r="D273" s="23"/>
      <c r="F273" s="23"/>
      <c r="H273" s="23"/>
      <c r="I273" s="23"/>
      <c r="J273" s="23"/>
      <c r="K273" s="23"/>
    </row>
    <row r="274" spans="1:11">
      <c r="A274" s="41"/>
      <c r="B274" s="41"/>
      <c r="C274" s="23"/>
      <c r="D274" s="23"/>
      <c r="F274" s="23"/>
      <c r="H274" s="23"/>
      <c r="I274" s="23"/>
      <c r="J274" s="23"/>
      <c r="K274" s="23"/>
    </row>
    <row r="275" spans="1:11">
      <c r="A275" s="41"/>
      <c r="B275" s="41"/>
      <c r="C275" s="23"/>
      <c r="D275" s="23"/>
      <c r="F275" s="23"/>
      <c r="H275" s="23"/>
      <c r="I275" s="23"/>
      <c r="J275" s="23"/>
      <c r="K275" s="23"/>
    </row>
    <row r="276" spans="1:11">
      <c r="A276" s="41"/>
      <c r="B276" s="41"/>
      <c r="C276" s="23"/>
      <c r="D276" s="23"/>
      <c r="F276" s="23"/>
      <c r="H276" s="23"/>
      <c r="I276" s="23"/>
      <c r="J276" s="23"/>
      <c r="K276" s="23"/>
    </row>
    <row r="277" spans="1:11">
      <c r="A277" s="41"/>
      <c r="B277" s="41"/>
      <c r="C277" s="23"/>
      <c r="D277" s="23"/>
      <c r="F277" s="23"/>
      <c r="H277" s="23"/>
      <c r="I277" s="23"/>
      <c r="J277" s="23"/>
      <c r="K277" s="23"/>
    </row>
    <row r="278" spans="1:11">
      <c r="A278" s="41"/>
      <c r="B278" s="41"/>
      <c r="C278" s="23"/>
      <c r="D278" s="23"/>
      <c r="F278" s="23"/>
      <c r="H278" s="23"/>
      <c r="I278" s="23"/>
      <c r="J278" s="23"/>
      <c r="K278" s="23"/>
    </row>
    <row r="279" spans="1:11">
      <c r="A279" s="41"/>
      <c r="B279" s="41"/>
      <c r="C279" s="23"/>
      <c r="D279" s="23"/>
      <c r="F279" s="23"/>
      <c r="H279" s="23"/>
      <c r="I279" s="23"/>
      <c r="J279" s="23"/>
      <c r="K279" s="23"/>
    </row>
    <row r="280" spans="1:11">
      <c r="A280" s="41"/>
      <c r="B280" s="41"/>
      <c r="C280" s="23"/>
      <c r="D280" s="23"/>
      <c r="F280" s="23"/>
      <c r="H280" s="23"/>
      <c r="I280" s="23"/>
      <c r="J280" s="23"/>
      <c r="K280" s="23"/>
    </row>
    <row r="281" spans="1:11">
      <c r="A281" s="41"/>
      <c r="B281" s="41"/>
      <c r="C281" s="23"/>
      <c r="D281" s="23"/>
      <c r="F281" s="23"/>
      <c r="H281" s="23"/>
      <c r="I281" s="23"/>
      <c r="J281" s="23"/>
      <c r="K281" s="23"/>
    </row>
    <row r="282" spans="1:11">
      <c r="A282" s="41"/>
      <c r="B282" s="41"/>
      <c r="C282" s="23"/>
      <c r="D282" s="23"/>
      <c r="F282" s="23"/>
      <c r="H282" s="23"/>
      <c r="I282" s="23"/>
      <c r="J282" s="23"/>
      <c r="K282" s="23"/>
    </row>
    <row r="283" spans="1:11">
      <c r="A283" s="41"/>
      <c r="B283" s="41"/>
      <c r="C283" s="23"/>
      <c r="D283" s="23"/>
      <c r="F283" s="23"/>
      <c r="H283" s="23"/>
      <c r="I283" s="23"/>
      <c r="J283" s="23"/>
      <c r="K283" s="23"/>
    </row>
    <row r="284" spans="1:11">
      <c r="A284" s="41"/>
      <c r="B284" s="41"/>
      <c r="C284" s="23"/>
      <c r="D284" s="23"/>
      <c r="F284" s="23"/>
      <c r="H284" s="23"/>
      <c r="I284" s="23"/>
      <c r="J284" s="23"/>
      <c r="K284" s="23"/>
    </row>
    <row r="285" spans="1:11">
      <c r="A285" s="41"/>
      <c r="B285" s="41"/>
      <c r="C285" s="23"/>
      <c r="D285" s="23"/>
      <c r="F285" s="23"/>
      <c r="H285" s="23"/>
      <c r="I285" s="23"/>
      <c r="J285" s="23"/>
      <c r="K285" s="23"/>
    </row>
    <row r="286" spans="1:11">
      <c r="A286" s="41"/>
      <c r="B286" s="41"/>
      <c r="C286" s="23"/>
      <c r="D286" s="23"/>
      <c r="F286" s="23"/>
      <c r="H286" s="23"/>
      <c r="I286" s="23"/>
      <c r="J286" s="23"/>
      <c r="K286" s="23"/>
    </row>
    <row r="287" spans="1:11">
      <c r="A287" s="41"/>
      <c r="B287" s="41"/>
      <c r="C287" s="23"/>
      <c r="D287" s="23"/>
      <c r="F287" s="23"/>
      <c r="H287" s="23"/>
      <c r="I287" s="23"/>
      <c r="J287" s="23"/>
      <c r="K287" s="23"/>
    </row>
    <row r="288" spans="1:11">
      <c r="A288" s="41"/>
      <c r="B288" s="41"/>
      <c r="C288" s="23"/>
      <c r="D288" s="23"/>
      <c r="F288" s="23"/>
      <c r="H288" s="23"/>
      <c r="I288" s="23"/>
      <c r="J288" s="23"/>
      <c r="K288" s="23"/>
    </row>
    <row r="289" spans="1:11">
      <c r="A289" s="41"/>
      <c r="B289" s="41"/>
      <c r="C289" s="23"/>
      <c r="D289" s="23"/>
      <c r="F289" s="23"/>
      <c r="H289" s="23"/>
      <c r="I289" s="23"/>
      <c r="J289" s="23"/>
      <c r="K289" s="23"/>
    </row>
    <row r="290" spans="1:11">
      <c r="A290" s="41"/>
      <c r="B290" s="41"/>
      <c r="C290" s="23"/>
      <c r="D290" s="23"/>
      <c r="F290" s="23"/>
      <c r="H290" s="23"/>
      <c r="I290" s="23"/>
      <c r="J290" s="23"/>
      <c r="K290" s="23"/>
    </row>
    <row r="291" spans="1:11">
      <c r="A291" s="41"/>
      <c r="B291" s="41"/>
      <c r="C291" s="23"/>
      <c r="D291" s="23"/>
      <c r="F291" s="23"/>
      <c r="H291" s="23"/>
      <c r="I291" s="23"/>
      <c r="J291" s="23"/>
      <c r="K291" s="23"/>
    </row>
    <row r="292" spans="1:11">
      <c r="A292" s="41"/>
      <c r="B292" s="41"/>
      <c r="C292" s="23"/>
      <c r="D292" s="23"/>
      <c r="F292" s="23"/>
      <c r="H292" s="23"/>
      <c r="I292" s="23"/>
      <c r="J292" s="23"/>
      <c r="K292" s="23"/>
    </row>
    <row r="293" spans="1:11">
      <c r="A293" s="41"/>
      <c r="B293" s="41"/>
      <c r="C293" s="23"/>
      <c r="D293" s="23"/>
      <c r="F293" s="23"/>
      <c r="H293" s="23"/>
      <c r="I293" s="23"/>
      <c r="J293" s="23"/>
      <c r="K293" s="23"/>
    </row>
    <row r="294" spans="1:11">
      <c r="A294" s="41"/>
      <c r="B294" s="41"/>
      <c r="C294" s="23"/>
      <c r="D294" s="23"/>
      <c r="F294" s="23"/>
      <c r="H294" s="23"/>
      <c r="I294" s="23"/>
      <c r="J294" s="23"/>
      <c r="K294" s="23"/>
    </row>
    <row r="295" spans="1:11">
      <c r="A295" s="41"/>
      <c r="B295" s="41"/>
      <c r="C295" s="23"/>
      <c r="D295" s="23"/>
      <c r="F295" s="23"/>
      <c r="H295" s="23"/>
      <c r="I295" s="23"/>
      <c r="J295" s="23"/>
      <c r="K295" s="23"/>
    </row>
    <row r="296" spans="1:11">
      <c r="A296" s="41"/>
      <c r="B296" s="41"/>
      <c r="C296" s="23"/>
      <c r="D296" s="23"/>
      <c r="F296" s="23"/>
      <c r="H296" s="23"/>
      <c r="I296" s="23"/>
      <c r="J296" s="23"/>
      <c r="K296" s="23"/>
    </row>
    <row r="297" spans="1:11">
      <c r="A297" s="41"/>
      <c r="B297" s="41"/>
      <c r="C297" s="23"/>
      <c r="D297" s="23"/>
      <c r="F297" s="23"/>
      <c r="H297" s="23"/>
      <c r="I297" s="23"/>
      <c r="J297" s="23"/>
      <c r="K297" s="23"/>
    </row>
    <row r="298" spans="1:11">
      <c r="A298" s="41"/>
      <c r="B298" s="41"/>
      <c r="C298" s="23"/>
      <c r="D298" s="23"/>
      <c r="F298" s="23"/>
      <c r="H298" s="23"/>
      <c r="I298" s="23"/>
      <c r="J298" s="23"/>
      <c r="K298" s="23"/>
    </row>
    <row r="299" spans="1:11">
      <c r="A299" s="41"/>
      <c r="B299" s="41"/>
      <c r="C299" s="23"/>
      <c r="D299" s="23"/>
      <c r="F299" s="23"/>
      <c r="H299" s="23"/>
      <c r="I299" s="23"/>
      <c r="J299" s="23"/>
      <c r="K299" s="23"/>
    </row>
    <row r="300" spans="1:11">
      <c r="A300" s="41"/>
      <c r="B300" s="41"/>
      <c r="C300" s="23"/>
      <c r="D300" s="23"/>
      <c r="F300" s="23"/>
      <c r="H300" s="23"/>
      <c r="I300" s="23"/>
      <c r="J300" s="23"/>
      <c r="K300" s="23"/>
    </row>
    <row r="301" spans="1:11">
      <c r="A301" s="41"/>
      <c r="B301" s="41"/>
      <c r="C301" s="23"/>
      <c r="D301" s="23"/>
      <c r="F301" s="23"/>
      <c r="H301" s="23"/>
      <c r="I301" s="23"/>
      <c r="J301" s="23"/>
      <c r="K301" s="23"/>
    </row>
    <row r="302" spans="1:11">
      <c r="A302" s="41"/>
      <c r="B302" s="41"/>
      <c r="C302" s="23"/>
      <c r="D302" s="23"/>
      <c r="F302" s="23"/>
      <c r="H302" s="23"/>
      <c r="I302" s="23"/>
      <c r="J302" s="23"/>
      <c r="K302" s="23"/>
    </row>
    <row r="303" spans="1:11">
      <c r="A303" s="41"/>
      <c r="B303" s="41"/>
      <c r="C303" s="23"/>
      <c r="D303" s="23"/>
      <c r="F303" s="23"/>
      <c r="H303" s="23"/>
      <c r="I303" s="23"/>
      <c r="J303" s="23"/>
      <c r="K303" s="23"/>
    </row>
    <row r="304" spans="1:11">
      <c r="A304" s="41"/>
      <c r="B304" s="41"/>
      <c r="C304" s="23"/>
      <c r="D304" s="23"/>
      <c r="F304" s="23"/>
      <c r="H304" s="23"/>
      <c r="I304" s="23"/>
      <c r="J304" s="23"/>
      <c r="K304" s="23"/>
    </row>
    <row r="305" spans="1:11">
      <c r="A305" s="41"/>
      <c r="B305" s="41"/>
      <c r="C305" s="23"/>
      <c r="D305" s="23"/>
      <c r="F305" s="23"/>
      <c r="H305" s="23"/>
      <c r="I305" s="23"/>
      <c r="J305" s="23"/>
      <c r="K305" s="23"/>
    </row>
    <row r="306" spans="1:11">
      <c r="A306" s="41"/>
      <c r="B306" s="41"/>
      <c r="C306" s="23"/>
      <c r="D306" s="23"/>
      <c r="F306" s="23"/>
      <c r="H306" s="23"/>
      <c r="I306" s="23"/>
      <c r="J306" s="23"/>
      <c r="K306" s="23"/>
    </row>
    <row r="307" spans="1:11">
      <c r="A307" s="41"/>
      <c r="B307" s="41"/>
      <c r="C307" s="23"/>
      <c r="D307" s="23"/>
      <c r="F307" s="23"/>
      <c r="H307" s="23"/>
      <c r="I307" s="23"/>
      <c r="J307" s="23"/>
      <c r="K307" s="23"/>
    </row>
    <row r="308" spans="1:11">
      <c r="A308" s="41"/>
      <c r="B308" s="41"/>
      <c r="C308" s="23"/>
      <c r="D308" s="23"/>
      <c r="F308" s="23"/>
      <c r="H308" s="23"/>
      <c r="I308" s="23"/>
      <c r="J308" s="23"/>
      <c r="K308" s="23"/>
    </row>
    <row r="309" spans="1:11">
      <c r="A309" s="41"/>
      <c r="B309" s="41"/>
      <c r="C309" s="23"/>
      <c r="D309" s="23"/>
      <c r="F309" s="23"/>
      <c r="H309" s="23"/>
      <c r="I309" s="23"/>
      <c r="J309" s="23"/>
      <c r="K309" s="23"/>
    </row>
    <row r="310" spans="1:11">
      <c r="A310" s="41"/>
      <c r="B310" s="41"/>
      <c r="C310" s="23"/>
      <c r="D310" s="23"/>
      <c r="F310" s="23"/>
      <c r="H310" s="23"/>
      <c r="I310" s="23"/>
      <c r="J310" s="23"/>
      <c r="K310" s="23"/>
    </row>
    <row r="311" spans="1:11">
      <c r="A311" s="41"/>
      <c r="B311" s="41"/>
      <c r="C311" s="23"/>
      <c r="D311" s="23"/>
      <c r="F311" s="23"/>
      <c r="H311" s="23"/>
      <c r="I311" s="23"/>
      <c r="J311" s="23"/>
      <c r="K311" s="23"/>
    </row>
    <row r="312" spans="1:11">
      <c r="A312" s="41"/>
      <c r="B312" s="41"/>
      <c r="C312" s="23"/>
      <c r="D312" s="23"/>
      <c r="F312" s="23"/>
      <c r="H312" s="23"/>
      <c r="I312" s="23"/>
      <c r="J312" s="23"/>
      <c r="K312" s="23"/>
    </row>
    <row r="313" spans="1:11">
      <c r="A313" s="41"/>
      <c r="B313" s="41"/>
      <c r="C313" s="23"/>
      <c r="D313" s="23"/>
      <c r="F313" s="23"/>
      <c r="H313" s="23"/>
      <c r="I313" s="23"/>
      <c r="J313" s="23"/>
      <c r="K313" s="23"/>
    </row>
    <row r="314" spans="1:11">
      <c r="A314" s="41"/>
      <c r="B314" s="41"/>
      <c r="C314" s="23"/>
      <c r="D314" s="23"/>
      <c r="F314" s="23"/>
      <c r="H314" s="23"/>
      <c r="I314" s="23"/>
      <c r="J314" s="23"/>
      <c r="K314" s="23"/>
    </row>
    <row r="315" spans="1:11">
      <c r="A315" s="41"/>
      <c r="B315" s="41"/>
      <c r="C315" s="23"/>
      <c r="D315" s="23"/>
      <c r="F315" s="23"/>
      <c r="H315" s="23"/>
      <c r="I315" s="23"/>
      <c r="J315" s="23"/>
      <c r="K315" s="23"/>
    </row>
    <row r="316" spans="1:11">
      <c r="A316" s="41"/>
      <c r="B316" s="41"/>
      <c r="C316" s="23"/>
      <c r="D316" s="23"/>
      <c r="F316" s="23"/>
      <c r="H316" s="23"/>
      <c r="I316" s="23"/>
      <c r="J316" s="23"/>
      <c r="K316" s="23"/>
    </row>
    <row r="317" spans="1:11">
      <c r="A317" s="41"/>
      <c r="B317" s="41"/>
      <c r="C317" s="23"/>
      <c r="D317" s="23"/>
      <c r="F317" s="23"/>
      <c r="H317" s="23"/>
      <c r="I317" s="23"/>
      <c r="J317" s="23"/>
      <c r="K317" s="23"/>
    </row>
    <row r="318" spans="1:11">
      <c r="A318" s="41"/>
      <c r="B318" s="41"/>
      <c r="C318" s="23"/>
      <c r="D318" s="23"/>
      <c r="F318" s="23"/>
      <c r="H318" s="23"/>
      <c r="I318" s="23"/>
      <c r="J318" s="23"/>
      <c r="K318" s="23"/>
    </row>
    <row r="319" spans="1:11">
      <c r="A319" s="41"/>
      <c r="B319" s="41"/>
      <c r="C319" s="23"/>
      <c r="D319" s="23"/>
      <c r="F319" s="23"/>
      <c r="H319" s="23"/>
      <c r="I319" s="23"/>
      <c r="J319" s="23"/>
      <c r="K319" s="23"/>
    </row>
    <row r="320" spans="1:11">
      <c r="A320" s="41"/>
      <c r="B320" s="41"/>
      <c r="C320" s="23"/>
      <c r="D320" s="23"/>
      <c r="F320" s="23"/>
      <c r="H320" s="23"/>
      <c r="I320" s="23"/>
      <c r="J320" s="23"/>
      <c r="K320" s="23"/>
    </row>
    <row r="321" spans="1:11">
      <c r="A321" s="41"/>
      <c r="B321" s="41"/>
      <c r="C321" s="23"/>
      <c r="D321" s="23"/>
      <c r="F321" s="23"/>
      <c r="H321" s="23"/>
      <c r="I321" s="23"/>
      <c r="J321" s="23"/>
      <c r="K321" s="23"/>
    </row>
    <row r="322" spans="1:11">
      <c r="A322" s="41"/>
      <c r="B322" s="41"/>
      <c r="C322" s="23"/>
      <c r="D322" s="23"/>
      <c r="F322" s="23"/>
      <c r="H322" s="23"/>
      <c r="I322" s="23"/>
      <c r="J322" s="23"/>
      <c r="K322" s="23"/>
    </row>
    <row r="323" spans="1:11">
      <c r="A323" s="41"/>
      <c r="B323" s="41"/>
      <c r="C323" s="23"/>
      <c r="D323" s="23"/>
      <c r="F323" s="23"/>
      <c r="H323" s="23"/>
      <c r="I323" s="23"/>
      <c r="J323" s="23"/>
      <c r="K323" s="23"/>
    </row>
    <row r="324" spans="1:11">
      <c r="A324" s="41"/>
      <c r="B324" s="41"/>
      <c r="C324" s="23"/>
      <c r="D324" s="23"/>
      <c r="F324" s="23"/>
      <c r="H324" s="23"/>
      <c r="I324" s="23"/>
      <c r="J324" s="23"/>
      <c r="K324" s="23"/>
    </row>
    <row r="325" spans="1:11">
      <c r="A325" s="41"/>
      <c r="B325" s="41"/>
      <c r="C325" s="23"/>
      <c r="D325" s="23"/>
      <c r="F325" s="23"/>
      <c r="H325" s="23"/>
      <c r="I325" s="23"/>
      <c r="J325" s="23"/>
      <c r="K325" s="23"/>
    </row>
    <row r="326" spans="1:11">
      <c r="A326" s="41"/>
      <c r="B326" s="41"/>
      <c r="C326" s="23"/>
      <c r="D326" s="23"/>
      <c r="F326" s="23"/>
      <c r="H326" s="23"/>
      <c r="I326" s="23"/>
      <c r="J326" s="23"/>
      <c r="K326" s="23"/>
    </row>
    <row r="327" spans="1:11">
      <c r="A327" s="41"/>
      <c r="B327" s="41"/>
      <c r="C327" s="23"/>
      <c r="D327" s="23"/>
      <c r="F327" s="23"/>
      <c r="H327" s="23"/>
      <c r="I327" s="23"/>
      <c r="J327" s="23"/>
      <c r="K327" s="23"/>
    </row>
    <row r="328" spans="1:11">
      <c r="A328" s="41"/>
      <c r="B328" s="41"/>
      <c r="C328" s="23"/>
      <c r="D328" s="23"/>
      <c r="F328" s="23"/>
      <c r="H328" s="23"/>
      <c r="I328" s="23"/>
      <c r="J328" s="23"/>
      <c r="K328" s="23"/>
    </row>
    <row r="329" spans="1:11">
      <c r="A329" s="41"/>
      <c r="B329" s="41"/>
      <c r="C329" s="23"/>
      <c r="D329" s="23"/>
      <c r="F329" s="23"/>
      <c r="H329" s="23"/>
      <c r="I329" s="23"/>
      <c r="J329" s="23"/>
      <c r="K329" s="23"/>
    </row>
    <row r="330" spans="1:11">
      <c r="A330" s="41"/>
      <c r="B330" s="41"/>
      <c r="C330" s="23"/>
      <c r="D330" s="23"/>
      <c r="F330" s="23"/>
      <c r="H330" s="23"/>
      <c r="I330" s="23"/>
      <c r="J330" s="23"/>
      <c r="K330" s="23"/>
    </row>
    <row r="331" spans="1:11">
      <c r="A331" s="41"/>
      <c r="B331" s="41"/>
      <c r="C331" s="23"/>
      <c r="D331" s="23"/>
      <c r="F331" s="23"/>
      <c r="H331" s="23"/>
      <c r="I331" s="23"/>
      <c r="J331" s="23"/>
      <c r="K331" s="23"/>
    </row>
    <row r="332" spans="1:11">
      <c r="A332" s="41"/>
      <c r="B332" s="41"/>
      <c r="C332" s="23"/>
      <c r="D332" s="23"/>
      <c r="F332" s="23"/>
      <c r="H332" s="23"/>
      <c r="I332" s="23"/>
      <c r="J332" s="23"/>
      <c r="K332" s="23"/>
    </row>
    <row r="333" spans="1:11">
      <c r="A333" s="41"/>
      <c r="B333" s="41"/>
      <c r="C333" s="23"/>
      <c r="D333" s="23"/>
      <c r="F333" s="23"/>
      <c r="H333" s="23"/>
      <c r="I333" s="23"/>
      <c r="J333" s="23"/>
      <c r="K333" s="23"/>
    </row>
    <row r="334" spans="1:11">
      <c r="A334" s="41"/>
      <c r="B334" s="41"/>
      <c r="C334" s="23"/>
      <c r="D334" s="23"/>
      <c r="F334" s="23"/>
      <c r="H334" s="23"/>
      <c r="I334" s="23"/>
      <c r="J334" s="23"/>
      <c r="K334" s="23"/>
    </row>
    <row r="335" spans="1:11">
      <c r="A335" s="41"/>
      <c r="B335" s="41"/>
      <c r="C335" s="23"/>
      <c r="D335" s="23"/>
      <c r="F335" s="23"/>
      <c r="H335" s="23"/>
      <c r="I335" s="23"/>
      <c r="J335" s="23"/>
      <c r="K335" s="23"/>
    </row>
    <row r="336" spans="1:11">
      <c r="A336" s="41"/>
      <c r="B336" s="41"/>
      <c r="C336" s="23"/>
      <c r="D336" s="23"/>
      <c r="F336" s="23"/>
      <c r="H336" s="23"/>
      <c r="I336" s="23"/>
      <c r="J336" s="23"/>
      <c r="K336" s="23"/>
    </row>
    <row r="337" spans="1:11">
      <c r="A337" s="41"/>
      <c r="B337" s="41"/>
      <c r="C337" s="23"/>
      <c r="D337" s="23"/>
      <c r="F337" s="23"/>
      <c r="H337" s="23"/>
      <c r="I337" s="23"/>
      <c r="J337" s="23"/>
      <c r="K337" s="23"/>
    </row>
    <row r="338" spans="1:11">
      <c r="A338" s="41"/>
      <c r="B338" s="41"/>
      <c r="C338" s="23"/>
      <c r="D338" s="23"/>
      <c r="F338" s="23"/>
      <c r="H338" s="23"/>
      <c r="I338" s="23"/>
      <c r="J338" s="23"/>
      <c r="K338" s="23"/>
    </row>
    <row r="339" spans="1:11">
      <c r="A339" s="41"/>
      <c r="B339" s="41"/>
      <c r="C339" s="23"/>
      <c r="D339" s="23"/>
      <c r="F339" s="23"/>
      <c r="H339" s="23"/>
      <c r="I339" s="23"/>
      <c r="J339" s="23"/>
      <c r="K339" s="23"/>
    </row>
    <row r="340" spans="1:11">
      <c r="A340" s="41"/>
      <c r="B340" s="41"/>
      <c r="C340" s="23"/>
      <c r="D340" s="23"/>
      <c r="F340" s="23"/>
      <c r="H340" s="23"/>
      <c r="I340" s="23"/>
      <c r="J340" s="23"/>
      <c r="K340" s="23"/>
    </row>
    <row r="341" spans="1:11">
      <c r="A341" s="41"/>
      <c r="B341" s="41"/>
      <c r="C341" s="23"/>
      <c r="D341" s="23"/>
      <c r="F341" s="23"/>
      <c r="H341" s="23"/>
      <c r="I341" s="23"/>
      <c r="J341" s="23"/>
      <c r="K341" s="23"/>
    </row>
    <row r="342" spans="1:11">
      <c r="A342" s="41"/>
      <c r="B342" s="41"/>
      <c r="C342" s="23"/>
      <c r="D342" s="23"/>
      <c r="F342" s="23"/>
      <c r="H342" s="23"/>
      <c r="I342" s="23"/>
      <c r="J342" s="23"/>
      <c r="K342" s="23"/>
    </row>
    <row r="343" spans="1:11">
      <c r="A343" s="41"/>
      <c r="B343" s="41"/>
      <c r="C343" s="23"/>
      <c r="D343" s="23"/>
      <c r="F343" s="23"/>
      <c r="H343" s="23"/>
      <c r="I343" s="23"/>
      <c r="J343" s="23"/>
      <c r="K343" s="23"/>
    </row>
    <row r="344" spans="1:11">
      <c r="A344" s="41"/>
      <c r="B344" s="41"/>
      <c r="C344" s="23"/>
      <c r="D344" s="23"/>
      <c r="F344" s="23"/>
      <c r="H344" s="23"/>
      <c r="I344" s="23"/>
      <c r="J344" s="23"/>
      <c r="K344" s="23"/>
    </row>
    <row r="345" spans="1:11">
      <c r="A345" s="41"/>
      <c r="B345" s="41"/>
      <c r="C345" s="23"/>
      <c r="D345" s="23"/>
      <c r="F345" s="23"/>
      <c r="H345" s="23"/>
      <c r="I345" s="23"/>
      <c r="J345" s="23"/>
      <c r="K345" s="23"/>
    </row>
    <row r="346" spans="1:11">
      <c r="A346" s="41"/>
      <c r="B346" s="41"/>
      <c r="C346" s="23"/>
      <c r="D346" s="23"/>
      <c r="F346" s="23"/>
      <c r="H346" s="23"/>
      <c r="I346" s="23"/>
      <c r="J346" s="23"/>
      <c r="K346" s="23"/>
    </row>
    <row r="347" spans="1:11">
      <c r="A347" s="41"/>
      <c r="B347" s="41"/>
      <c r="C347" s="23"/>
      <c r="D347" s="23"/>
      <c r="F347" s="23"/>
      <c r="H347" s="23"/>
      <c r="I347" s="23"/>
      <c r="J347" s="23"/>
      <c r="K347" s="23"/>
    </row>
    <row r="348" spans="1:11">
      <c r="A348" s="41"/>
      <c r="B348" s="41"/>
      <c r="C348" s="23"/>
      <c r="D348" s="23"/>
      <c r="F348" s="23"/>
      <c r="H348" s="23"/>
      <c r="I348" s="23"/>
      <c r="J348" s="23"/>
      <c r="K348" s="23"/>
    </row>
    <row r="349" spans="1:11">
      <c r="A349" s="41"/>
      <c r="B349" s="41"/>
      <c r="C349" s="23"/>
      <c r="D349" s="23"/>
      <c r="F349" s="23"/>
      <c r="H349" s="23"/>
      <c r="I349" s="23"/>
      <c r="J349" s="23"/>
      <c r="K349" s="23"/>
    </row>
    <row r="350" spans="1:11">
      <c r="A350" s="41"/>
      <c r="B350" s="41"/>
      <c r="C350" s="23"/>
      <c r="D350" s="23"/>
      <c r="F350" s="23"/>
      <c r="H350" s="23"/>
      <c r="I350" s="23"/>
      <c r="J350" s="23"/>
      <c r="K350" s="23"/>
    </row>
    <row r="351" spans="1:11">
      <c r="A351" s="41"/>
      <c r="B351" s="41"/>
      <c r="C351" s="23"/>
      <c r="D351" s="23"/>
      <c r="F351" s="23"/>
      <c r="H351" s="23"/>
      <c r="I351" s="23"/>
      <c r="J351" s="23"/>
      <c r="K351" s="23"/>
    </row>
    <row r="352" spans="1:11">
      <c r="A352" s="41"/>
      <c r="B352" s="41"/>
      <c r="C352" s="23"/>
      <c r="D352" s="23"/>
      <c r="F352" s="23"/>
      <c r="H352" s="23"/>
      <c r="I352" s="23"/>
      <c r="J352" s="23"/>
      <c r="K352" s="23"/>
    </row>
    <row r="353" spans="1:11">
      <c r="A353" s="41"/>
      <c r="B353" s="41"/>
      <c r="C353" s="23"/>
      <c r="D353" s="23"/>
      <c r="F353" s="23"/>
      <c r="H353" s="23"/>
      <c r="I353" s="23"/>
      <c r="J353" s="23"/>
      <c r="K353" s="23"/>
    </row>
    <row r="354" spans="1:11">
      <c r="A354" s="41"/>
      <c r="B354" s="41"/>
      <c r="C354" s="23"/>
      <c r="D354" s="23"/>
      <c r="F354" s="23"/>
      <c r="H354" s="23"/>
      <c r="I354" s="23"/>
      <c r="J354" s="23"/>
      <c r="K354" s="23"/>
    </row>
    <row r="355" spans="1:11">
      <c r="A355" s="41"/>
      <c r="B355" s="41"/>
      <c r="C355" s="23"/>
      <c r="D355" s="23"/>
      <c r="F355" s="23"/>
      <c r="H355" s="23"/>
      <c r="I355" s="23"/>
      <c r="J355" s="23"/>
      <c r="K355" s="23"/>
    </row>
    <row r="356" spans="1:11">
      <c r="A356" s="41"/>
      <c r="B356" s="41"/>
      <c r="C356" s="23"/>
      <c r="D356" s="23"/>
      <c r="F356" s="23"/>
      <c r="H356" s="23"/>
      <c r="I356" s="23"/>
      <c r="J356" s="23"/>
      <c r="K356" s="23"/>
    </row>
    <row r="357" spans="1:11">
      <c r="A357" s="41"/>
      <c r="B357" s="41"/>
      <c r="C357" s="23"/>
      <c r="D357" s="23"/>
      <c r="F357" s="23"/>
      <c r="H357" s="23"/>
      <c r="I357" s="23"/>
      <c r="J357" s="23"/>
      <c r="K357" s="23"/>
    </row>
    <row r="358" spans="1:11">
      <c r="A358" s="41"/>
      <c r="B358" s="41"/>
      <c r="C358" s="23"/>
      <c r="D358" s="23"/>
      <c r="F358" s="23"/>
      <c r="H358" s="23"/>
      <c r="I358" s="23"/>
      <c r="J358" s="23"/>
      <c r="K358" s="23"/>
    </row>
    <row r="359" spans="1:11">
      <c r="A359" s="41"/>
      <c r="B359" s="41"/>
      <c r="C359" s="23"/>
      <c r="D359" s="23"/>
      <c r="F359" s="23"/>
      <c r="H359" s="23"/>
      <c r="I359" s="23"/>
      <c r="J359" s="23"/>
      <c r="K359" s="23"/>
    </row>
    <row r="360" spans="1:11">
      <c r="A360" s="41"/>
      <c r="B360" s="41"/>
      <c r="C360" s="23"/>
      <c r="D360" s="23"/>
      <c r="F360" s="23"/>
      <c r="H360" s="23"/>
      <c r="I360" s="23"/>
      <c r="J360" s="23"/>
      <c r="K360" s="23"/>
    </row>
    <row r="361" spans="1:11">
      <c r="A361" s="41"/>
      <c r="B361" s="41"/>
      <c r="C361" s="23"/>
      <c r="D361" s="23"/>
      <c r="F361" s="23"/>
      <c r="H361" s="23"/>
      <c r="I361" s="23"/>
      <c r="J361" s="23"/>
      <c r="K361" s="23"/>
    </row>
    <row r="362" spans="1:11">
      <c r="A362" s="41"/>
      <c r="B362" s="41"/>
      <c r="C362" s="23"/>
      <c r="D362" s="23"/>
      <c r="F362" s="23"/>
      <c r="H362" s="23"/>
      <c r="I362" s="23"/>
      <c r="J362" s="23"/>
      <c r="K362" s="23"/>
    </row>
    <row r="363" spans="1:11">
      <c r="A363" s="41"/>
      <c r="B363" s="41"/>
      <c r="C363" s="23"/>
      <c r="D363" s="23"/>
      <c r="F363" s="23"/>
      <c r="H363" s="23"/>
      <c r="I363" s="23"/>
      <c r="J363" s="23"/>
      <c r="K363" s="23"/>
    </row>
    <row r="364" spans="1:11">
      <c r="A364" s="41"/>
      <c r="B364" s="41"/>
      <c r="C364" s="23"/>
      <c r="D364" s="23"/>
      <c r="F364" s="23"/>
      <c r="H364" s="23"/>
      <c r="I364" s="23"/>
      <c r="J364" s="23"/>
      <c r="K364" s="23"/>
    </row>
    <row r="365" spans="1:11">
      <c r="A365" s="41"/>
      <c r="B365" s="41"/>
      <c r="C365" s="23"/>
      <c r="D365" s="23"/>
      <c r="F365" s="23"/>
      <c r="H365" s="23"/>
      <c r="I365" s="23"/>
      <c r="J365" s="23"/>
      <c r="K365" s="23"/>
    </row>
    <row r="366" spans="1:11">
      <c r="A366" s="41"/>
      <c r="B366" s="41"/>
      <c r="C366" s="23"/>
      <c r="D366" s="23"/>
      <c r="F366" s="23"/>
      <c r="H366" s="23"/>
      <c r="I366" s="23"/>
      <c r="J366" s="23"/>
      <c r="K366" s="23"/>
    </row>
    <row r="367" spans="1:11">
      <c r="A367" s="41"/>
      <c r="B367" s="41"/>
      <c r="C367" s="23"/>
      <c r="D367" s="23"/>
      <c r="F367" s="23"/>
      <c r="H367" s="23"/>
      <c r="I367" s="23"/>
      <c r="J367" s="23"/>
      <c r="K367" s="23"/>
    </row>
    <row r="368" spans="1:11">
      <c r="A368" s="41"/>
      <c r="B368" s="41"/>
      <c r="C368" s="23"/>
      <c r="D368" s="23"/>
      <c r="F368" s="23"/>
      <c r="H368" s="23"/>
      <c r="I368" s="23"/>
      <c r="J368" s="23"/>
      <c r="K368" s="23"/>
    </row>
    <row r="369" spans="1:11">
      <c r="A369" s="41"/>
      <c r="B369" s="41"/>
      <c r="C369" s="23"/>
      <c r="D369" s="23"/>
      <c r="F369" s="23"/>
      <c r="H369" s="23"/>
      <c r="I369" s="23"/>
      <c r="J369" s="23"/>
      <c r="K369" s="23"/>
    </row>
    <row r="370" spans="1:11">
      <c r="A370" s="41"/>
      <c r="B370" s="41"/>
      <c r="C370" s="23"/>
      <c r="D370" s="23"/>
      <c r="F370" s="23"/>
      <c r="H370" s="23"/>
      <c r="I370" s="23"/>
      <c r="J370" s="23"/>
      <c r="K370" s="23"/>
    </row>
    <row r="371" spans="1:11">
      <c r="A371" s="41"/>
      <c r="B371" s="41"/>
      <c r="C371" s="23"/>
      <c r="D371" s="23"/>
      <c r="F371" s="23"/>
      <c r="H371" s="23"/>
      <c r="I371" s="23"/>
      <c r="J371" s="23"/>
      <c r="K371" s="23"/>
    </row>
    <row r="372" spans="1:11">
      <c r="A372" s="41"/>
      <c r="B372" s="41"/>
      <c r="C372" s="23"/>
      <c r="D372" s="23"/>
      <c r="F372" s="23"/>
      <c r="H372" s="23"/>
      <c r="I372" s="23"/>
      <c r="J372" s="23"/>
      <c r="K372" s="23"/>
    </row>
    <row r="373" spans="1:11">
      <c r="A373" s="41"/>
      <c r="B373" s="41"/>
      <c r="C373" s="23"/>
      <c r="D373" s="23"/>
      <c r="F373" s="23"/>
      <c r="H373" s="23"/>
      <c r="I373" s="23"/>
      <c r="J373" s="23"/>
      <c r="K373" s="23"/>
    </row>
    <row r="374" spans="1:11">
      <c r="A374" s="41"/>
      <c r="B374" s="41"/>
      <c r="C374" s="23"/>
      <c r="D374" s="23"/>
      <c r="F374" s="23"/>
      <c r="H374" s="23"/>
      <c r="I374" s="23"/>
      <c r="J374" s="23"/>
      <c r="K374" s="23"/>
    </row>
    <row r="375" spans="1:11">
      <c r="A375" s="41"/>
      <c r="B375" s="41"/>
      <c r="C375" s="23"/>
      <c r="D375" s="23"/>
      <c r="F375" s="23"/>
      <c r="H375" s="23"/>
      <c r="I375" s="23"/>
      <c r="J375" s="23"/>
      <c r="K375" s="23"/>
    </row>
    <row r="376" spans="1:11">
      <c r="A376" s="41"/>
      <c r="B376" s="41"/>
      <c r="C376" s="23"/>
      <c r="D376" s="23"/>
      <c r="F376" s="23"/>
      <c r="H376" s="23"/>
      <c r="I376" s="23"/>
      <c r="J376" s="23"/>
      <c r="K376" s="23"/>
    </row>
    <row r="377" spans="1:11">
      <c r="A377" s="41"/>
      <c r="B377" s="41"/>
      <c r="C377" s="23"/>
      <c r="D377" s="23"/>
      <c r="F377" s="23"/>
      <c r="H377" s="23"/>
      <c r="I377" s="23"/>
      <c r="J377" s="23"/>
      <c r="K377" s="23"/>
    </row>
    <row r="378" spans="1:11">
      <c r="A378" s="41"/>
      <c r="B378" s="41"/>
      <c r="C378" s="23"/>
      <c r="D378" s="23"/>
      <c r="F378" s="23"/>
      <c r="H378" s="23"/>
      <c r="I378" s="23"/>
      <c r="J378" s="23"/>
      <c r="K378" s="23"/>
    </row>
    <row r="379" spans="1:11">
      <c r="A379" s="41"/>
      <c r="B379" s="41"/>
      <c r="C379" s="23"/>
      <c r="D379" s="23"/>
      <c r="F379" s="23"/>
      <c r="H379" s="23"/>
      <c r="I379" s="23"/>
      <c r="J379" s="23"/>
      <c r="K379" s="23"/>
    </row>
    <row r="380" spans="1:11">
      <c r="A380" s="41"/>
      <c r="B380" s="41"/>
      <c r="C380" s="23"/>
      <c r="D380" s="23"/>
      <c r="F380" s="23"/>
      <c r="H380" s="23"/>
      <c r="I380" s="23"/>
      <c r="J380" s="23"/>
      <c r="K380" s="23"/>
    </row>
    <row r="381" spans="1:11">
      <c r="A381" s="41"/>
      <c r="B381" s="41"/>
      <c r="C381" s="23"/>
      <c r="D381" s="23"/>
      <c r="F381" s="23"/>
      <c r="H381" s="23"/>
      <c r="I381" s="23"/>
      <c r="J381" s="23"/>
      <c r="K381" s="23"/>
    </row>
    <row r="382" spans="1:11">
      <c r="A382" s="41"/>
      <c r="B382" s="41"/>
      <c r="C382" s="23"/>
      <c r="D382" s="23"/>
      <c r="F382" s="23"/>
      <c r="H382" s="23"/>
      <c r="I382" s="23"/>
      <c r="J382" s="23"/>
      <c r="K382" s="23"/>
    </row>
    <row r="383" spans="1:11">
      <c r="A383" s="41"/>
      <c r="B383" s="41"/>
      <c r="C383" s="23"/>
      <c r="D383" s="23"/>
      <c r="F383" s="23"/>
      <c r="H383" s="23"/>
      <c r="I383" s="23"/>
      <c r="J383" s="23"/>
      <c r="K383" s="23"/>
    </row>
    <row r="384" spans="1:11">
      <c r="A384" s="41"/>
      <c r="B384" s="41"/>
      <c r="C384" s="23"/>
      <c r="D384" s="23"/>
      <c r="F384" s="23"/>
      <c r="H384" s="23"/>
      <c r="I384" s="23"/>
      <c r="J384" s="23"/>
      <c r="K384" s="23"/>
    </row>
    <row r="385" spans="1:11">
      <c r="A385" s="41"/>
      <c r="B385" s="41"/>
      <c r="C385" s="23"/>
      <c r="D385" s="23"/>
      <c r="F385" s="23"/>
      <c r="H385" s="23"/>
      <c r="I385" s="23"/>
      <c r="J385" s="23"/>
      <c r="K385" s="23"/>
    </row>
    <row r="386" spans="1:11">
      <c r="A386" s="41"/>
      <c r="B386" s="41"/>
      <c r="C386" s="23"/>
      <c r="D386" s="23"/>
      <c r="F386" s="23"/>
      <c r="H386" s="23"/>
      <c r="I386" s="23"/>
      <c r="J386" s="23"/>
      <c r="K386" s="23"/>
    </row>
    <row r="387" spans="1:11">
      <c r="A387" s="41"/>
      <c r="B387" s="41"/>
      <c r="C387" s="23"/>
      <c r="D387" s="23"/>
      <c r="F387" s="23"/>
      <c r="H387" s="23"/>
      <c r="I387" s="23"/>
      <c r="J387" s="23"/>
      <c r="K387" s="23"/>
    </row>
    <row r="388" spans="1:11">
      <c r="A388" s="41"/>
      <c r="B388" s="41"/>
      <c r="C388" s="23"/>
      <c r="D388" s="23"/>
      <c r="F388" s="23"/>
      <c r="H388" s="23"/>
      <c r="I388" s="23"/>
      <c r="J388" s="23"/>
      <c r="K388" s="23"/>
    </row>
    <row r="389" spans="1:11">
      <c r="A389" s="41"/>
      <c r="B389" s="41"/>
      <c r="C389" s="23"/>
      <c r="D389" s="23"/>
      <c r="F389" s="23"/>
      <c r="H389" s="23"/>
      <c r="I389" s="23"/>
      <c r="J389" s="23"/>
      <c r="K389" s="23"/>
    </row>
    <row r="390" spans="1:11">
      <c r="A390" s="41"/>
      <c r="B390" s="41"/>
      <c r="C390" s="23"/>
      <c r="D390" s="23"/>
      <c r="F390" s="23"/>
      <c r="H390" s="23"/>
      <c r="I390" s="23"/>
      <c r="J390" s="23"/>
      <c r="K390" s="23"/>
    </row>
    <row r="391" spans="1:11">
      <c r="A391" s="41"/>
      <c r="B391" s="41"/>
      <c r="C391" s="23"/>
      <c r="D391" s="23"/>
      <c r="F391" s="23"/>
      <c r="H391" s="23"/>
      <c r="I391" s="23"/>
      <c r="J391" s="23"/>
      <c r="K391" s="23"/>
    </row>
    <row r="392" spans="1:11">
      <c r="A392" s="41"/>
      <c r="B392" s="41"/>
      <c r="C392" s="23"/>
      <c r="D392" s="23"/>
      <c r="F392" s="23"/>
      <c r="H392" s="23"/>
      <c r="I392" s="23"/>
      <c r="J392" s="23"/>
      <c r="K392" s="23"/>
    </row>
    <row r="393" spans="1:11">
      <c r="A393" s="41"/>
      <c r="B393" s="41"/>
      <c r="C393" s="23"/>
      <c r="D393" s="23"/>
      <c r="F393" s="23"/>
      <c r="H393" s="23"/>
      <c r="I393" s="23"/>
      <c r="J393" s="23"/>
      <c r="K393" s="23"/>
    </row>
    <row r="394" spans="1:11">
      <c r="A394" s="41"/>
      <c r="B394" s="41"/>
      <c r="C394" s="23"/>
      <c r="D394" s="23"/>
      <c r="F394" s="23"/>
      <c r="H394" s="23"/>
      <c r="I394" s="23"/>
      <c r="J394" s="23"/>
      <c r="K394" s="23"/>
    </row>
    <row r="395" spans="1:11">
      <c r="A395" s="41"/>
      <c r="B395" s="41"/>
      <c r="C395" s="23"/>
      <c r="D395" s="23"/>
      <c r="F395" s="23"/>
      <c r="H395" s="23"/>
      <c r="I395" s="23"/>
      <c r="J395" s="23"/>
      <c r="K395" s="23"/>
    </row>
    <row r="396" spans="1:11">
      <c r="A396" s="41"/>
      <c r="B396" s="41"/>
      <c r="C396" s="23"/>
      <c r="D396" s="23"/>
      <c r="F396" s="23"/>
      <c r="H396" s="23"/>
      <c r="I396" s="23"/>
      <c r="J396" s="23"/>
      <c r="K396" s="23"/>
    </row>
    <row r="397" spans="1:11">
      <c r="A397" s="41"/>
      <c r="B397" s="41"/>
      <c r="C397" s="23"/>
      <c r="D397" s="23"/>
      <c r="F397" s="23"/>
      <c r="H397" s="23"/>
      <c r="I397" s="23"/>
      <c r="J397" s="23"/>
      <c r="K397" s="23"/>
    </row>
    <row r="398" spans="1:11">
      <c r="A398" s="41"/>
      <c r="B398" s="41"/>
      <c r="C398" s="23"/>
      <c r="D398" s="23"/>
      <c r="F398" s="23"/>
      <c r="H398" s="23"/>
      <c r="I398" s="23"/>
      <c r="J398" s="23"/>
      <c r="K398" s="23"/>
    </row>
    <row r="399" spans="1:11">
      <c r="A399" s="41"/>
      <c r="B399" s="41"/>
      <c r="C399" s="23"/>
      <c r="D399" s="23"/>
      <c r="F399" s="23"/>
      <c r="H399" s="23"/>
      <c r="I399" s="23"/>
      <c r="J399" s="23"/>
      <c r="K399" s="23"/>
    </row>
    <row r="400" spans="1:11">
      <c r="A400" s="41"/>
      <c r="B400" s="41"/>
      <c r="C400" s="23"/>
      <c r="D400" s="23"/>
      <c r="F400" s="23"/>
      <c r="H400" s="23"/>
      <c r="I400" s="23"/>
      <c r="J400" s="23"/>
      <c r="K400" s="23"/>
    </row>
    <row r="401" spans="1:11">
      <c r="A401" s="41"/>
      <c r="B401" s="41"/>
      <c r="C401" s="23"/>
      <c r="D401" s="23"/>
      <c r="F401" s="23"/>
      <c r="H401" s="23"/>
      <c r="I401" s="23"/>
      <c r="J401" s="23"/>
      <c r="K401" s="23"/>
    </row>
    <row r="402" spans="1:11">
      <c r="A402" s="41"/>
      <c r="B402" s="41"/>
      <c r="C402" s="23"/>
      <c r="D402" s="23"/>
      <c r="F402" s="23"/>
      <c r="H402" s="23"/>
      <c r="I402" s="23"/>
      <c r="J402" s="23"/>
      <c r="K402" s="23"/>
    </row>
    <row r="403" spans="1:11">
      <c r="A403" s="41"/>
      <c r="B403" s="41"/>
      <c r="C403" s="23"/>
      <c r="D403" s="23"/>
      <c r="F403" s="23"/>
      <c r="H403" s="23"/>
      <c r="I403" s="23"/>
      <c r="J403" s="23"/>
      <c r="K403" s="23"/>
    </row>
    <row r="404" spans="1:11">
      <c r="A404" s="41"/>
      <c r="B404" s="41"/>
      <c r="C404" s="23"/>
      <c r="D404" s="23"/>
      <c r="F404" s="23"/>
      <c r="H404" s="23"/>
      <c r="I404" s="23"/>
      <c r="J404" s="23"/>
      <c r="K404" s="23"/>
    </row>
    <row r="405" spans="1:11">
      <c r="A405" s="41"/>
      <c r="B405" s="41"/>
      <c r="C405" s="23"/>
      <c r="D405" s="23"/>
      <c r="F405" s="23"/>
      <c r="H405" s="23"/>
      <c r="I405" s="23"/>
      <c r="J405" s="23"/>
      <c r="K405" s="23"/>
    </row>
    <row r="406" spans="1:11">
      <c r="A406" s="41"/>
      <c r="B406" s="41"/>
      <c r="C406" s="23"/>
      <c r="D406" s="23"/>
      <c r="F406" s="23"/>
      <c r="H406" s="23"/>
      <c r="I406" s="23"/>
      <c r="J406" s="23"/>
      <c r="K406" s="23"/>
    </row>
    <row r="407" spans="1:11">
      <c r="A407" s="41"/>
      <c r="B407" s="41"/>
      <c r="C407" s="23"/>
      <c r="D407" s="23"/>
      <c r="F407" s="23"/>
      <c r="H407" s="23"/>
      <c r="I407" s="23"/>
      <c r="J407" s="23"/>
      <c r="K407" s="23"/>
    </row>
    <row r="408" spans="1:11">
      <c r="A408" s="41"/>
      <c r="B408" s="41"/>
      <c r="C408" s="23"/>
      <c r="D408" s="23"/>
      <c r="F408" s="23"/>
      <c r="H408" s="23"/>
      <c r="I408" s="23"/>
      <c r="J408" s="23"/>
      <c r="K408" s="23"/>
    </row>
    <row r="409" spans="1:11">
      <c r="A409" s="41"/>
      <c r="B409" s="41"/>
      <c r="C409" s="23"/>
      <c r="D409" s="23"/>
      <c r="F409" s="23"/>
      <c r="H409" s="23"/>
      <c r="I409" s="23"/>
      <c r="J409" s="23"/>
      <c r="K409" s="23"/>
    </row>
    <row r="410" spans="1:11">
      <c r="A410" s="41"/>
      <c r="B410" s="41"/>
      <c r="C410" s="23"/>
      <c r="D410" s="23"/>
      <c r="F410" s="23"/>
      <c r="H410" s="23"/>
      <c r="I410" s="23"/>
      <c r="J410" s="23"/>
      <c r="K410" s="23"/>
    </row>
    <row r="411" spans="1:11">
      <c r="A411" s="41"/>
      <c r="B411" s="41"/>
      <c r="C411" s="23"/>
      <c r="D411" s="23"/>
      <c r="F411" s="23"/>
      <c r="H411" s="23"/>
      <c r="I411" s="23"/>
      <c r="J411" s="23"/>
      <c r="K411" s="23"/>
    </row>
    <row r="412" spans="1:11">
      <c r="A412" s="41"/>
      <c r="B412" s="41"/>
      <c r="C412" s="23"/>
      <c r="D412" s="23"/>
      <c r="F412" s="23"/>
      <c r="H412" s="23"/>
      <c r="I412" s="23"/>
      <c r="J412" s="23"/>
      <c r="K412" s="23"/>
    </row>
    <row r="413" spans="1:11">
      <c r="A413" s="41"/>
      <c r="B413" s="41"/>
      <c r="C413" s="23"/>
      <c r="D413" s="23"/>
      <c r="F413" s="23"/>
      <c r="H413" s="23"/>
      <c r="I413" s="23"/>
      <c r="J413" s="23"/>
      <c r="K413" s="23"/>
    </row>
    <row r="414" spans="1:11">
      <c r="A414" s="41"/>
      <c r="B414" s="41"/>
      <c r="C414" s="23"/>
      <c r="D414" s="23"/>
      <c r="F414" s="23"/>
      <c r="H414" s="23"/>
      <c r="I414" s="23"/>
      <c r="J414" s="23"/>
      <c r="K414" s="23"/>
    </row>
    <row r="415" spans="1:11">
      <c r="A415" s="41"/>
      <c r="B415" s="41"/>
      <c r="C415" s="23"/>
      <c r="D415" s="23"/>
      <c r="F415" s="23"/>
      <c r="H415" s="23"/>
      <c r="I415" s="23"/>
      <c r="J415" s="23"/>
      <c r="K415" s="23"/>
    </row>
    <row r="416" spans="1:11">
      <c r="A416" s="41"/>
      <c r="B416" s="41"/>
      <c r="C416" s="23"/>
      <c r="D416" s="23"/>
      <c r="F416" s="23"/>
      <c r="H416" s="23"/>
      <c r="I416" s="23"/>
      <c r="J416" s="23"/>
      <c r="K416" s="23"/>
    </row>
    <row r="417" spans="1:11">
      <c r="A417" s="41"/>
      <c r="B417" s="41"/>
      <c r="C417" s="23"/>
      <c r="D417" s="23"/>
      <c r="F417" s="23"/>
      <c r="H417" s="23"/>
      <c r="I417" s="23"/>
      <c r="J417" s="23"/>
      <c r="K417" s="23"/>
    </row>
    <row r="418" spans="1:11">
      <c r="A418" s="41"/>
      <c r="B418" s="41"/>
      <c r="C418" s="23"/>
      <c r="D418" s="23"/>
      <c r="F418" s="23"/>
      <c r="H418" s="23"/>
      <c r="I418" s="23"/>
      <c r="J418" s="23"/>
      <c r="K418" s="23"/>
    </row>
    <row r="419" spans="1:11">
      <c r="A419" s="41"/>
      <c r="B419" s="41"/>
      <c r="C419" s="23"/>
      <c r="D419" s="23"/>
      <c r="F419" s="23"/>
      <c r="H419" s="23"/>
      <c r="I419" s="23"/>
      <c r="J419" s="23"/>
      <c r="K419" s="23"/>
    </row>
    <row r="420" spans="1:11">
      <c r="A420" s="41"/>
      <c r="B420" s="41"/>
      <c r="C420" s="23"/>
      <c r="D420" s="23"/>
      <c r="F420" s="23"/>
      <c r="H420" s="23"/>
      <c r="I420" s="23"/>
      <c r="J420" s="23"/>
      <c r="K420" s="23"/>
    </row>
    <row r="421" spans="1:11">
      <c r="A421" s="41"/>
      <c r="B421" s="41"/>
      <c r="C421" s="23"/>
      <c r="D421" s="23"/>
      <c r="F421" s="23"/>
      <c r="H421" s="23"/>
      <c r="I421" s="23"/>
      <c r="J421" s="23"/>
      <c r="K421" s="23"/>
    </row>
    <row r="422" spans="1:11">
      <c r="A422" s="41"/>
      <c r="B422" s="41"/>
      <c r="C422" s="23"/>
      <c r="D422" s="23"/>
      <c r="F422" s="23"/>
      <c r="H422" s="23"/>
      <c r="I422" s="23"/>
      <c r="J422" s="23"/>
      <c r="K422" s="23"/>
    </row>
    <row r="423" spans="1:11">
      <c r="A423" s="41"/>
      <c r="B423" s="41"/>
      <c r="C423" s="23"/>
      <c r="D423" s="23"/>
      <c r="F423" s="23"/>
      <c r="H423" s="23"/>
      <c r="I423" s="23"/>
      <c r="J423" s="23"/>
      <c r="K423" s="23"/>
    </row>
    <row r="424" spans="1:11">
      <c r="A424" s="41"/>
      <c r="B424" s="41"/>
      <c r="C424" s="23"/>
      <c r="D424" s="23"/>
      <c r="F424" s="23"/>
      <c r="H424" s="23"/>
      <c r="I424" s="23"/>
      <c r="J424" s="23"/>
      <c r="K424" s="23"/>
    </row>
    <row r="425" spans="1:11">
      <c r="A425" s="41"/>
      <c r="B425" s="41"/>
      <c r="C425" s="23"/>
      <c r="D425" s="23"/>
      <c r="F425" s="23"/>
      <c r="H425" s="23"/>
      <c r="I425" s="23"/>
      <c r="J425" s="23"/>
      <c r="K425" s="23"/>
    </row>
    <row r="426" spans="1:11">
      <c r="A426" s="41"/>
      <c r="B426" s="41"/>
      <c r="C426" s="23"/>
      <c r="D426" s="23"/>
      <c r="F426" s="23"/>
      <c r="H426" s="23"/>
      <c r="I426" s="23"/>
      <c r="J426" s="23"/>
      <c r="K426" s="23"/>
    </row>
    <row r="427" spans="1:11">
      <c r="A427" s="41"/>
      <c r="B427" s="41"/>
      <c r="C427" s="23"/>
      <c r="D427" s="23"/>
      <c r="F427" s="23"/>
      <c r="H427" s="23"/>
      <c r="I427" s="23"/>
      <c r="J427" s="23"/>
      <c r="K427" s="23"/>
    </row>
    <row r="428" spans="1:11">
      <c r="A428" s="41"/>
      <c r="B428" s="41"/>
      <c r="C428" s="23"/>
      <c r="D428" s="23"/>
      <c r="F428" s="23"/>
      <c r="H428" s="23"/>
      <c r="I428" s="23"/>
      <c r="J428" s="23"/>
      <c r="K428" s="23"/>
    </row>
    <row r="429" spans="1:11">
      <c r="A429" s="41"/>
      <c r="B429" s="41"/>
      <c r="C429" s="23"/>
      <c r="D429" s="23"/>
      <c r="F429" s="23"/>
      <c r="H429" s="23"/>
      <c r="I429" s="23"/>
      <c r="J429" s="23"/>
      <c r="K429" s="23"/>
    </row>
    <row r="430" spans="1:11">
      <c r="A430" s="41"/>
      <c r="B430" s="41"/>
      <c r="C430" s="23"/>
      <c r="D430" s="23"/>
      <c r="F430" s="23"/>
      <c r="H430" s="23"/>
      <c r="I430" s="23"/>
      <c r="J430" s="23"/>
      <c r="K430" s="23"/>
    </row>
    <row r="431" spans="1:11">
      <c r="A431" s="41"/>
      <c r="B431" s="41"/>
      <c r="C431" s="23"/>
      <c r="D431" s="23"/>
      <c r="F431" s="23"/>
      <c r="H431" s="23"/>
      <c r="I431" s="23"/>
      <c r="J431" s="23"/>
      <c r="K431" s="23"/>
    </row>
    <row r="432" spans="1:11">
      <c r="A432" s="41"/>
      <c r="B432" s="41"/>
      <c r="C432" s="23"/>
      <c r="D432" s="23"/>
      <c r="F432" s="23"/>
      <c r="H432" s="23"/>
      <c r="I432" s="23"/>
      <c r="J432" s="23"/>
      <c r="K432" s="23"/>
    </row>
    <row r="433" spans="1:11">
      <c r="A433" s="41"/>
      <c r="B433" s="41"/>
      <c r="C433" s="23"/>
      <c r="D433" s="23"/>
      <c r="F433" s="23"/>
      <c r="H433" s="23"/>
      <c r="I433" s="23"/>
      <c r="J433" s="23"/>
      <c r="K433" s="23"/>
    </row>
    <row r="434" spans="1:11">
      <c r="A434" s="41"/>
      <c r="B434" s="41"/>
      <c r="C434" s="23"/>
      <c r="D434" s="23"/>
      <c r="F434" s="23"/>
      <c r="H434" s="23"/>
      <c r="I434" s="23"/>
      <c r="J434" s="23"/>
      <c r="K434" s="23"/>
    </row>
    <row r="435" spans="1:11">
      <c r="A435" s="41"/>
      <c r="B435" s="41"/>
      <c r="C435" s="23"/>
      <c r="D435" s="23"/>
      <c r="F435" s="23"/>
      <c r="H435" s="23"/>
      <c r="I435" s="23"/>
      <c r="J435" s="23"/>
      <c r="K435" s="23"/>
    </row>
    <row r="436" spans="1:11">
      <c r="A436" s="41"/>
      <c r="B436" s="41"/>
      <c r="C436" s="23"/>
      <c r="D436" s="23"/>
      <c r="F436" s="23"/>
      <c r="H436" s="23"/>
      <c r="I436" s="23"/>
      <c r="J436" s="23"/>
      <c r="K436" s="23"/>
    </row>
    <row r="437" spans="1:11">
      <c r="A437" s="41"/>
      <c r="B437" s="41"/>
      <c r="C437" s="23"/>
      <c r="D437" s="23"/>
      <c r="F437" s="23"/>
      <c r="H437" s="23"/>
      <c r="I437" s="23"/>
      <c r="J437" s="23"/>
      <c r="K437" s="23"/>
    </row>
    <row r="438" spans="1:11">
      <c r="A438" s="41"/>
      <c r="B438" s="41"/>
      <c r="C438" s="23"/>
      <c r="D438" s="23"/>
      <c r="F438" s="23"/>
      <c r="H438" s="23"/>
      <c r="I438" s="23"/>
      <c r="J438" s="23"/>
      <c r="K438" s="23"/>
    </row>
    <row r="439" spans="1:11">
      <c r="A439" s="41"/>
      <c r="B439" s="41"/>
      <c r="C439" s="23"/>
      <c r="D439" s="23"/>
      <c r="F439" s="23"/>
      <c r="H439" s="23"/>
      <c r="I439" s="23"/>
      <c r="J439" s="23"/>
      <c r="K439" s="23"/>
    </row>
    <row r="440" spans="1:11">
      <c r="A440" s="41"/>
      <c r="B440" s="41"/>
      <c r="C440" s="23"/>
      <c r="D440" s="23"/>
      <c r="F440" s="23"/>
      <c r="H440" s="23"/>
      <c r="I440" s="23"/>
      <c r="J440" s="23"/>
      <c r="K440" s="23"/>
    </row>
    <row r="441" spans="1:11">
      <c r="A441" s="41"/>
      <c r="B441" s="41"/>
      <c r="C441" s="23"/>
      <c r="D441" s="23"/>
      <c r="F441" s="23"/>
      <c r="H441" s="23"/>
      <c r="I441" s="23"/>
      <c r="J441" s="23"/>
      <c r="K441" s="23"/>
    </row>
    <row r="442" spans="1:11">
      <c r="A442" s="41"/>
      <c r="B442" s="41"/>
      <c r="C442" s="23"/>
      <c r="D442" s="23"/>
      <c r="F442" s="23"/>
      <c r="H442" s="23"/>
      <c r="I442" s="23"/>
      <c r="J442" s="23"/>
      <c r="K442" s="23"/>
    </row>
    <row r="443" spans="1:11">
      <c r="A443" s="41"/>
      <c r="B443" s="41"/>
      <c r="C443" s="23"/>
      <c r="D443" s="23"/>
      <c r="F443" s="23"/>
      <c r="H443" s="23"/>
      <c r="I443" s="23"/>
      <c r="J443" s="23"/>
      <c r="K443" s="23"/>
    </row>
    <row r="444" spans="1:11">
      <c r="A444" s="41"/>
      <c r="B444" s="41"/>
      <c r="C444" s="23"/>
      <c r="D444" s="23"/>
      <c r="F444" s="23"/>
      <c r="H444" s="23"/>
      <c r="I444" s="23"/>
      <c r="J444" s="23"/>
      <c r="K444" s="23"/>
    </row>
    <row r="445" spans="1:11">
      <c r="A445" s="41"/>
      <c r="B445" s="41"/>
      <c r="C445" s="23"/>
      <c r="D445" s="23"/>
      <c r="F445" s="23"/>
      <c r="H445" s="23"/>
      <c r="I445" s="23"/>
      <c r="J445" s="23"/>
      <c r="K445" s="23"/>
    </row>
    <row r="446" spans="1:11">
      <c r="A446" s="41"/>
      <c r="B446" s="41"/>
      <c r="C446" s="23"/>
      <c r="D446" s="23"/>
      <c r="F446" s="23"/>
      <c r="H446" s="23"/>
      <c r="I446" s="23"/>
      <c r="J446" s="23"/>
      <c r="K446" s="23"/>
    </row>
    <row r="447" spans="1:11">
      <c r="A447" s="41"/>
      <c r="B447" s="41"/>
      <c r="C447" s="23"/>
      <c r="D447" s="23"/>
      <c r="F447" s="23"/>
      <c r="H447" s="23"/>
      <c r="I447" s="23"/>
      <c r="J447" s="23"/>
      <c r="K447" s="23"/>
    </row>
    <row r="448" spans="1:11">
      <c r="A448" s="41"/>
      <c r="B448" s="41"/>
      <c r="C448" s="23"/>
      <c r="D448" s="23"/>
      <c r="F448" s="23"/>
      <c r="H448" s="23"/>
      <c r="I448" s="23"/>
      <c r="J448" s="23"/>
      <c r="K448" s="23"/>
    </row>
    <row r="449" spans="1:11">
      <c r="A449" s="41"/>
      <c r="B449" s="41"/>
      <c r="C449" s="23"/>
      <c r="D449" s="23"/>
      <c r="F449" s="23"/>
      <c r="H449" s="23"/>
      <c r="I449" s="23"/>
      <c r="J449" s="23"/>
      <c r="K449" s="23"/>
    </row>
    <row r="450" spans="1:11">
      <c r="A450" s="41"/>
      <c r="B450" s="41"/>
      <c r="C450" s="23"/>
      <c r="D450" s="23"/>
      <c r="F450" s="23"/>
      <c r="H450" s="23"/>
      <c r="I450" s="23"/>
      <c r="J450" s="23"/>
      <c r="K450" s="23"/>
    </row>
    <row r="451" spans="1:11">
      <c r="A451" s="41"/>
      <c r="B451" s="41"/>
      <c r="C451" s="23"/>
      <c r="D451" s="23"/>
      <c r="F451" s="23"/>
      <c r="H451" s="23"/>
      <c r="I451" s="23"/>
      <c r="J451" s="23"/>
      <c r="K451" s="23"/>
    </row>
    <row r="452" spans="1:11">
      <c r="A452" s="41"/>
      <c r="B452" s="41"/>
      <c r="C452" s="23"/>
      <c r="D452" s="23"/>
      <c r="F452" s="23"/>
      <c r="H452" s="23"/>
      <c r="I452" s="23"/>
      <c r="J452" s="23"/>
      <c r="K452" s="23"/>
    </row>
    <row r="453" spans="1:11">
      <c r="A453" s="41"/>
      <c r="B453" s="41"/>
      <c r="C453" s="23"/>
      <c r="D453" s="23"/>
      <c r="F453" s="23"/>
      <c r="H453" s="23"/>
      <c r="I453" s="23"/>
      <c r="J453" s="23"/>
      <c r="K453" s="23"/>
    </row>
    <row r="454" spans="1:11">
      <c r="A454" s="41"/>
      <c r="B454" s="41"/>
      <c r="C454" s="23"/>
      <c r="D454" s="23"/>
      <c r="F454" s="23"/>
      <c r="H454" s="23"/>
      <c r="I454" s="23"/>
      <c r="J454" s="23"/>
      <c r="K454" s="23"/>
    </row>
    <row r="455" spans="1:11">
      <c r="A455" s="41"/>
      <c r="B455" s="41"/>
      <c r="C455" s="23"/>
      <c r="D455" s="23"/>
      <c r="F455" s="23"/>
      <c r="H455" s="23"/>
      <c r="I455" s="23"/>
      <c r="J455" s="23"/>
      <c r="K455" s="23"/>
    </row>
    <row r="456" spans="1:11">
      <c r="A456" s="41"/>
      <c r="B456" s="41"/>
      <c r="C456" s="23"/>
      <c r="D456" s="23"/>
      <c r="F456" s="23"/>
      <c r="H456" s="23"/>
      <c r="I456" s="23"/>
      <c r="J456" s="23"/>
      <c r="K456" s="23"/>
    </row>
    <row r="457" spans="1:11">
      <c r="A457" s="41"/>
      <c r="B457" s="41"/>
      <c r="C457" s="23"/>
      <c r="D457" s="23"/>
      <c r="F457" s="23"/>
      <c r="H457" s="23"/>
      <c r="I457" s="23"/>
      <c r="J457" s="23"/>
      <c r="K457" s="23"/>
    </row>
    <row r="458" spans="1:11">
      <c r="A458" s="41"/>
      <c r="B458" s="41"/>
      <c r="C458" s="23"/>
      <c r="D458" s="23"/>
      <c r="F458" s="23"/>
      <c r="H458" s="23"/>
      <c r="I458" s="23"/>
      <c r="J458" s="23"/>
      <c r="K458" s="23"/>
    </row>
    <row r="459" spans="1:11">
      <c r="A459" s="41"/>
      <c r="B459" s="41"/>
      <c r="C459" s="23"/>
      <c r="D459" s="23"/>
      <c r="F459" s="23"/>
      <c r="H459" s="23"/>
      <c r="I459" s="23"/>
      <c r="J459" s="23"/>
      <c r="K459" s="23"/>
    </row>
    <row r="460" spans="1:11">
      <c r="A460" s="41"/>
      <c r="B460" s="41"/>
      <c r="C460" s="23"/>
      <c r="D460" s="23"/>
      <c r="F460" s="23"/>
      <c r="H460" s="23"/>
      <c r="I460" s="23"/>
      <c r="J460" s="23"/>
      <c r="K460" s="23"/>
    </row>
    <row r="461" spans="1:11">
      <c r="A461" s="41"/>
      <c r="B461" s="41"/>
      <c r="C461" s="23"/>
      <c r="D461" s="23"/>
      <c r="F461" s="23"/>
      <c r="H461" s="23"/>
      <c r="I461" s="23"/>
      <c r="J461" s="23"/>
      <c r="K461" s="23"/>
    </row>
    <row r="462" spans="1:11">
      <c r="A462" s="41"/>
      <c r="B462" s="41"/>
      <c r="C462" s="23"/>
      <c r="D462" s="23"/>
      <c r="F462" s="23"/>
      <c r="H462" s="23"/>
      <c r="I462" s="23"/>
      <c r="J462" s="23"/>
      <c r="K462" s="23"/>
    </row>
    <row r="463" spans="1:11">
      <c r="A463" s="41"/>
      <c r="B463" s="41"/>
      <c r="C463" s="23"/>
      <c r="D463" s="23"/>
      <c r="F463" s="23"/>
      <c r="H463" s="23"/>
      <c r="I463" s="23"/>
      <c r="J463" s="23"/>
      <c r="K463" s="23"/>
    </row>
    <row r="464" spans="1:11">
      <c r="A464" s="41"/>
      <c r="B464" s="41"/>
      <c r="C464" s="23"/>
      <c r="D464" s="23"/>
      <c r="F464" s="23"/>
      <c r="H464" s="23"/>
      <c r="I464" s="23"/>
      <c r="J464" s="23"/>
      <c r="K464" s="23"/>
    </row>
    <row r="465" spans="1:11">
      <c r="A465" s="41"/>
      <c r="B465" s="41"/>
      <c r="C465" s="23"/>
      <c r="D465" s="23"/>
      <c r="F465" s="23"/>
      <c r="H465" s="23"/>
      <c r="I465" s="23"/>
      <c r="J465" s="23"/>
      <c r="K465" s="23"/>
    </row>
    <row r="466" spans="1:11">
      <c r="A466" s="41"/>
      <c r="B466" s="41"/>
      <c r="C466" s="23"/>
      <c r="D466" s="23"/>
      <c r="F466" s="23"/>
      <c r="H466" s="23"/>
      <c r="I466" s="23"/>
      <c r="J466" s="23"/>
      <c r="K466" s="23"/>
    </row>
    <row r="467" spans="1:11">
      <c r="A467" s="41"/>
      <c r="B467" s="41"/>
      <c r="C467" s="23"/>
      <c r="D467" s="23"/>
      <c r="F467" s="23"/>
      <c r="H467" s="23"/>
      <c r="I467" s="23"/>
      <c r="J467" s="23"/>
      <c r="K467" s="23"/>
    </row>
    <row r="468" spans="1:11">
      <c r="A468" s="41"/>
      <c r="B468" s="41"/>
      <c r="C468" s="23"/>
      <c r="D468" s="23"/>
      <c r="F468" s="23"/>
      <c r="H468" s="23"/>
      <c r="I468" s="23"/>
      <c r="J468" s="23"/>
      <c r="K468" s="23"/>
    </row>
    <row r="469" spans="1:11">
      <c r="A469" s="41"/>
      <c r="B469" s="41"/>
      <c r="C469" s="23"/>
      <c r="D469" s="23"/>
      <c r="F469" s="23"/>
      <c r="H469" s="23"/>
      <c r="I469" s="23"/>
      <c r="J469" s="23"/>
      <c r="K469" s="23"/>
    </row>
    <row r="470" spans="1:11">
      <c r="A470" s="41"/>
      <c r="B470" s="41"/>
      <c r="C470" s="23"/>
      <c r="D470" s="23"/>
      <c r="F470" s="23"/>
      <c r="H470" s="23"/>
      <c r="I470" s="23"/>
      <c r="J470" s="23"/>
      <c r="K470" s="23"/>
    </row>
    <row r="471" spans="1:11">
      <c r="A471" s="41"/>
      <c r="B471" s="41"/>
      <c r="C471" s="23"/>
      <c r="D471" s="23"/>
      <c r="F471" s="23"/>
      <c r="H471" s="23"/>
      <c r="I471" s="23"/>
      <c r="J471" s="23"/>
      <c r="K471" s="23"/>
    </row>
    <row r="472" spans="1:11">
      <c r="A472" s="41"/>
      <c r="B472" s="41"/>
      <c r="C472" s="23"/>
      <c r="D472" s="23"/>
      <c r="F472" s="23"/>
      <c r="H472" s="23"/>
      <c r="I472" s="23"/>
      <c r="J472" s="23"/>
      <c r="K472" s="23"/>
    </row>
    <row r="473" spans="1:11">
      <c r="A473" s="41"/>
      <c r="B473" s="41"/>
      <c r="C473" s="23"/>
      <c r="D473" s="23"/>
      <c r="F473" s="23"/>
      <c r="H473" s="23"/>
      <c r="I473" s="23"/>
      <c r="J473" s="23"/>
      <c r="K473" s="23"/>
    </row>
    <row r="474" spans="1:11">
      <c r="A474" s="41"/>
      <c r="B474" s="41"/>
      <c r="C474" s="23"/>
      <c r="D474" s="23"/>
      <c r="F474" s="23"/>
      <c r="H474" s="23"/>
      <c r="I474" s="23"/>
      <c r="J474" s="23"/>
      <c r="K474" s="23"/>
    </row>
    <row r="475" spans="1:11">
      <c r="A475" s="41"/>
      <c r="B475" s="41"/>
      <c r="C475" s="23"/>
      <c r="D475" s="23"/>
      <c r="F475" s="23"/>
      <c r="H475" s="23"/>
      <c r="I475" s="23"/>
      <c r="J475" s="23"/>
      <c r="K475" s="23"/>
    </row>
    <row r="476" spans="1:11">
      <c r="A476" s="41"/>
      <c r="B476" s="41"/>
      <c r="C476" s="23"/>
      <c r="D476" s="23"/>
      <c r="F476" s="23"/>
      <c r="H476" s="23"/>
      <c r="I476" s="23"/>
      <c r="J476" s="23"/>
      <c r="K476" s="23"/>
    </row>
    <row r="477" spans="1:11">
      <c r="A477" s="41"/>
      <c r="B477" s="41"/>
      <c r="C477" s="23"/>
      <c r="D477" s="23"/>
      <c r="F477" s="23"/>
      <c r="H477" s="23"/>
      <c r="I477" s="23"/>
      <c r="J477" s="23"/>
      <c r="K477" s="23"/>
    </row>
    <row r="478" spans="1:11">
      <c r="A478" s="41"/>
      <c r="B478" s="41"/>
      <c r="C478" s="23"/>
      <c r="D478" s="23"/>
      <c r="F478" s="23"/>
      <c r="H478" s="23"/>
      <c r="I478" s="23"/>
      <c r="J478" s="23"/>
      <c r="K478" s="23"/>
    </row>
    <row r="479" spans="1:11">
      <c r="A479" s="41"/>
      <c r="B479" s="41"/>
      <c r="C479" s="23"/>
      <c r="D479" s="23"/>
      <c r="F479" s="23"/>
      <c r="H479" s="23"/>
      <c r="I479" s="23"/>
      <c r="J479" s="23"/>
      <c r="K479" s="23"/>
    </row>
    <row r="480" spans="1:11">
      <c r="A480" s="41"/>
      <c r="B480" s="41"/>
      <c r="C480" s="23"/>
      <c r="D480" s="23"/>
      <c r="F480" s="23"/>
      <c r="H480" s="23"/>
      <c r="I480" s="23"/>
      <c r="J480" s="23"/>
      <c r="K480" s="23"/>
    </row>
    <row r="481" spans="1:11">
      <c r="A481" s="41"/>
      <c r="B481" s="41"/>
      <c r="C481" s="23"/>
      <c r="D481" s="23"/>
      <c r="F481" s="23"/>
      <c r="H481" s="23"/>
      <c r="I481" s="23"/>
      <c r="J481" s="23"/>
      <c r="K481" s="23"/>
    </row>
    <row r="482" spans="1:11">
      <c r="A482" s="41"/>
      <c r="B482" s="41"/>
      <c r="C482" s="23"/>
      <c r="D482" s="23"/>
      <c r="F482" s="23"/>
      <c r="H482" s="23"/>
      <c r="I482" s="23"/>
      <c r="J482" s="23"/>
      <c r="K482" s="23"/>
    </row>
    <row r="483" spans="1:11">
      <c r="A483" s="41"/>
      <c r="B483" s="41"/>
      <c r="C483" s="23"/>
      <c r="D483" s="23"/>
      <c r="F483" s="23"/>
      <c r="H483" s="23"/>
      <c r="I483" s="23"/>
      <c r="J483" s="23"/>
      <c r="K483" s="23"/>
    </row>
    <row r="484" spans="1:11">
      <c r="A484" s="41"/>
      <c r="B484" s="41"/>
      <c r="C484" s="23"/>
      <c r="D484" s="23"/>
      <c r="F484" s="23"/>
      <c r="H484" s="23"/>
      <c r="I484" s="23"/>
      <c r="J484" s="23"/>
      <c r="K484" s="23"/>
    </row>
    <row r="485" spans="1:11">
      <c r="A485" s="41"/>
      <c r="B485" s="41"/>
      <c r="C485" s="23"/>
      <c r="D485" s="23"/>
      <c r="F485" s="23"/>
      <c r="H485" s="23"/>
      <c r="I485" s="23"/>
      <c r="J485" s="23"/>
      <c r="K485" s="23"/>
    </row>
    <row r="486" spans="1:11">
      <c r="A486" s="41"/>
      <c r="B486" s="41"/>
      <c r="C486" s="23"/>
      <c r="D486" s="23"/>
      <c r="F486" s="23"/>
      <c r="H486" s="23"/>
      <c r="I486" s="23"/>
      <c r="J486" s="23"/>
      <c r="K486" s="23"/>
    </row>
    <row r="487" spans="1:11">
      <c r="A487" s="41"/>
      <c r="B487" s="41"/>
      <c r="C487" s="23"/>
      <c r="D487" s="23"/>
      <c r="F487" s="23"/>
      <c r="H487" s="23"/>
      <c r="I487" s="23"/>
      <c r="J487" s="23"/>
      <c r="K487" s="23"/>
    </row>
    <row r="488" spans="1:11">
      <c r="A488" s="41"/>
      <c r="B488" s="41"/>
      <c r="C488" s="23"/>
      <c r="D488" s="23"/>
      <c r="F488" s="23"/>
      <c r="H488" s="23"/>
      <c r="I488" s="23"/>
      <c r="J488" s="23"/>
      <c r="K488" s="23"/>
    </row>
    <row r="489" spans="1:11">
      <c r="A489" s="41"/>
      <c r="B489" s="41"/>
      <c r="C489" s="23"/>
      <c r="D489" s="23"/>
      <c r="F489" s="23"/>
      <c r="H489" s="23"/>
      <c r="I489" s="23"/>
      <c r="J489" s="23"/>
      <c r="K489" s="23"/>
    </row>
    <row r="490" spans="1:11">
      <c r="A490" s="41"/>
      <c r="B490" s="41"/>
      <c r="C490" s="23"/>
      <c r="D490" s="23"/>
      <c r="F490" s="23"/>
      <c r="H490" s="23"/>
      <c r="I490" s="23"/>
      <c r="J490" s="23"/>
      <c r="K490" s="23"/>
    </row>
    <row r="491" spans="1:11">
      <c r="A491" s="41"/>
      <c r="B491" s="41"/>
      <c r="C491" s="23"/>
      <c r="D491" s="23"/>
      <c r="F491" s="23"/>
      <c r="H491" s="23"/>
      <c r="I491" s="23"/>
      <c r="J491" s="23"/>
      <c r="K491" s="23"/>
    </row>
    <row r="492" spans="1:11">
      <c r="A492" s="41"/>
      <c r="B492" s="41"/>
      <c r="C492" s="23"/>
      <c r="D492" s="23"/>
      <c r="F492" s="23"/>
      <c r="H492" s="23"/>
      <c r="I492" s="23"/>
      <c r="J492" s="23"/>
      <c r="K492" s="23"/>
    </row>
    <row r="493" spans="1:11">
      <c r="A493" s="41"/>
      <c r="B493" s="41"/>
      <c r="C493" s="23"/>
      <c r="D493" s="23"/>
      <c r="F493" s="23"/>
      <c r="H493" s="23"/>
      <c r="I493" s="23"/>
      <c r="J493" s="23"/>
      <c r="K493" s="23"/>
    </row>
    <row r="494" spans="1:11">
      <c r="A494" s="41"/>
      <c r="B494" s="41"/>
      <c r="C494" s="23"/>
      <c r="D494" s="23"/>
      <c r="F494" s="23"/>
      <c r="H494" s="23"/>
      <c r="I494" s="23"/>
      <c r="J494" s="23"/>
      <c r="K494" s="23"/>
    </row>
    <row r="495" spans="1:11">
      <c r="A495" s="41"/>
      <c r="B495" s="41"/>
      <c r="C495" s="23"/>
      <c r="D495" s="23"/>
      <c r="F495" s="23"/>
      <c r="H495" s="23"/>
      <c r="I495" s="23"/>
      <c r="J495" s="23"/>
      <c r="K495" s="23"/>
    </row>
    <row r="496" spans="1:11">
      <c r="A496" s="41"/>
      <c r="B496" s="41"/>
      <c r="C496" s="23"/>
      <c r="D496" s="23"/>
      <c r="F496" s="23"/>
      <c r="H496" s="23"/>
      <c r="I496" s="23"/>
      <c r="J496" s="23"/>
      <c r="K496" s="23"/>
    </row>
    <row r="497" spans="1:11">
      <c r="A497" s="41"/>
      <c r="B497" s="41"/>
      <c r="C497" s="23"/>
      <c r="D497" s="23"/>
      <c r="F497" s="23"/>
      <c r="H497" s="23"/>
      <c r="I497" s="23"/>
      <c r="J497" s="23"/>
      <c r="K497" s="23"/>
    </row>
    <row r="498" spans="1:11">
      <c r="A498" s="41"/>
      <c r="B498" s="41"/>
      <c r="C498" s="23"/>
      <c r="D498" s="23"/>
      <c r="F498" s="23"/>
      <c r="H498" s="23"/>
      <c r="I498" s="23"/>
      <c r="J498" s="23"/>
      <c r="K498" s="23"/>
    </row>
    <row r="499" spans="1:11">
      <c r="A499" s="41"/>
      <c r="B499" s="41"/>
      <c r="C499" s="23"/>
      <c r="D499" s="23"/>
      <c r="F499" s="23"/>
      <c r="H499" s="23"/>
      <c r="I499" s="23"/>
      <c r="J499" s="23"/>
      <c r="K499" s="23"/>
    </row>
    <row r="500" spans="1:11">
      <c r="A500" s="41"/>
      <c r="B500" s="41"/>
      <c r="C500" s="23"/>
      <c r="D500" s="23"/>
      <c r="F500" s="23"/>
      <c r="H500" s="23"/>
      <c r="I500" s="23"/>
      <c r="J500" s="23"/>
      <c r="K500" s="23"/>
    </row>
    <row r="501" spans="1:11">
      <c r="A501" s="41"/>
      <c r="B501" s="41"/>
      <c r="C501" s="23"/>
      <c r="D501" s="23"/>
      <c r="F501" s="23"/>
      <c r="H501" s="23"/>
      <c r="I501" s="23"/>
      <c r="J501" s="23"/>
      <c r="K501" s="23"/>
    </row>
    <row r="502" spans="1:11">
      <c r="A502" s="41"/>
      <c r="B502" s="41"/>
      <c r="C502" s="23"/>
      <c r="D502" s="23"/>
      <c r="F502" s="23"/>
      <c r="H502" s="23"/>
      <c r="I502" s="23"/>
      <c r="J502" s="23"/>
      <c r="K502" s="23"/>
    </row>
    <row r="503" spans="1:11">
      <c r="A503" s="41"/>
      <c r="B503" s="41"/>
      <c r="C503" s="23"/>
      <c r="D503" s="23"/>
      <c r="F503" s="23"/>
      <c r="H503" s="23"/>
      <c r="I503" s="23"/>
      <c r="J503" s="23"/>
      <c r="K503" s="23"/>
    </row>
    <row r="504" spans="1:11">
      <c r="A504" s="41"/>
      <c r="B504" s="41"/>
      <c r="C504" s="23"/>
      <c r="D504" s="23"/>
      <c r="F504" s="23"/>
      <c r="H504" s="23"/>
      <c r="I504" s="23"/>
      <c r="J504" s="23"/>
      <c r="K504" s="23"/>
    </row>
    <row r="505" spans="1:11">
      <c r="A505" s="41"/>
      <c r="B505" s="41"/>
      <c r="C505" s="23"/>
      <c r="D505" s="23"/>
      <c r="F505" s="23"/>
      <c r="H505" s="23"/>
      <c r="I505" s="23"/>
      <c r="J505" s="23"/>
      <c r="K505" s="23"/>
    </row>
    <row r="506" spans="1:11">
      <c r="A506" s="41"/>
      <c r="B506" s="41"/>
      <c r="C506" s="23"/>
      <c r="D506" s="23"/>
      <c r="F506" s="23"/>
      <c r="H506" s="23"/>
      <c r="I506" s="23"/>
      <c r="J506" s="23"/>
      <c r="K506" s="23"/>
    </row>
    <row r="507" spans="1:11">
      <c r="A507" s="41"/>
      <c r="B507" s="41"/>
      <c r="C507" s="23"/>
      <c r="D507" s="23"/>
      <c r="F507" s="23"/>
      <c r="H507" s="23"/>
      <c r="I507" s="23"/>
      <c r="J507" s="23"/>
      <c r="K507" s="23"/>
    </row>
    <row r="508" spans="1:11">
      <c r="A508" s="41"/>
      <c r="B508" s="41"/>
      <c r="C508" s="23"/>
      <c r="D508" s="23"/>
      <c r="F508" s="23"/>
      <c r="H508" s="23"/>
      <c r="I508" s="23"/>
      <c r="J508" s="23"/>
      <c r="K508" s="23"/>
    </row>
    <row r="509" spans="1:11">
      <c r="A509" s="41"/>
      <c r="B509" s="41"/>
      <c r="C509" s="23"/>
      <c r="D509" s="23"/>
      <c r="F509" s="23"/>
      <c r="H509" s="23"/>
      <c r="I509" s="23"/>
      <c r="J509" s="23"/>
      <c r="K509" s="23"/>
    </row>
    <row r="510" spans="1:11">
      <c r="A510" s="41"/>
      <c r="B510" s="41"/>
      <c r="C510" s="23"/>
      <c r="D510" s="23"/>
      <c r="F510" s="23"/>
      <c r="H510" s="23"/>
      <c r="I510" s="23"/>
      <c r="J510" s="23"/>
      <c r="K510" s="23"/>
    </row>
    <row r="511" spans="1:11">
      <c r="A511" s="41"/>
      <c r="B511" s="41"/>
      <c r="C511" s="23"/>
      <c r="D511" s="23"/>
      <c r="F511" s="23"/>
      <c r="H511" s="23"/>
      <c r="I511" s="23"/>
      <c r="J511" s="23"/>
      <c r="K511" s="23"/>
    </row>
    <row r="512" spans="1:11">
      <c r="A512" s="41"/>
      <c r="B512" s="41"/>
      <c r="C512" s="23"/>
      <c r="D512" s="23"/>
      <c r="F512" s="23"/>
      <c r="H512" s="23"/>
      <c r="I512" s="23"/>
      <c r="J512" s="23"/>
      <c r="K512" s="23"/>
    </row>
    <row r="513" spans="1:11">
      <c r="A513" s="41"/>
      <c r="B513" s="41"/>
      <c r="C513" s="23"/>
      <c r="D513" s="23"/>
      <c r="F513" s="23"/>
      <c r="H513" s="23"/>
      <c r="I513" s="23"/>
      <c r="J513" s="23"/>
      <c r="K513" s="23"/>
    </row>
    <row r="514" spans="1:11">
      <c r="A514" s="41"/>
      <c r="B514" s="41"/>
      <c r="C514" s="23"/>
      <c r="D514" s="23"/>
      <c r="F514" s="23"/>
      <c r="H514" s="23"/>
      <c r="I514" s="23"/>
      <c r="J514" s="23"/>
      <c r="K514" s="23"/>
    </row>
    <row r="515" spans="1:11">
      <c r="A515" s="41"/>
      <c r="B515" s="41"/>
      <c r="C515" s="23"/>
      <c r="D515" s="23"/>
      <c r="F515" s="23"/>
      <c r="H515" s="23"/>
      <c r="I515" s="23"/>
      <c r="J515" s="23"/>
      <c r="K515" s="23"/>
    </row>
    <row r="516" spans="1:11">
      <c r="A516" s="41"/>
      <c r="B516" s="41"/>
      <c r="C516" s="23"/>
      <c r="D516" s="23"/>
      <c r="F516" s="23"/>
      <c r="H516" s="23"/>
      <c r="I516" s="23"/>
      <c r="J516" s="23"/>
      <c r="K516" s="23"/>
    </row>
    <row r="517" spans="1:11">
      <c r="A517" s="41"/>
      <c r="B517" s="41"/>
      <c r="C517" s="23"/>
      <c r="D517" s="23"/>
      <c r="F517" s="23"/>
      <c r="H517" s="23"/>
      <c r="I517" s="23"/>
      <c r="J517" s="23"/>
      <c r="K517" s="23"/>
    </row>
    <row r="518" spans="1:11">
      <c r="A518" s="41"/>
      <c r="B518" s="41"/>
      <c r="C518" s="23"/>
      <c r="D518" s="23"/>
      <c r="F518" s="23"/>
      <c r="H518" s="23"/>
      <c r="I518" s="23"/>
      <c r="J518" s="23"/>
      <c r="K518" s="23"/>
    </row>
    <row r="519" spans="1:11">
      <c r="A519" s="41"/>
      <c r="B519" s="41"/>
      <c r="C519" s="23"/>
      <c r="D519" s="23"/>
      <c r="F519" s="23"/>
      <c r="H519" s="23"/>
      <c r="I519" s="23"/>
      <c r="J519" s="23"/>
      <c r="K519" s="23"/>
    </row>
    <row r="520" spans="1:11">
      <c r="A520" s="41"/>
      <c r="B520" s="41"/>
      <c r="C520" s="23"/>
      <c r="D520" s="23"/>
      <c r="F520" s="23"/>
      <c r="H520" s="23"/>
      <c r="I520" s="23"/>
      <c r="J520" s="23"/>
      <c r="K520" s="23"/>
    </row>
    <row r="521" spans="1:11">
      <c r="A521" s="41"/>
      <c r="B521" s="41"/>
      <c r="C521" s="23"/>
      <c r="D521" s="23"/>
      <c r="F521" s="23"/>
      <c r="H521" s="23"/>
      <c r="I521" s="23"/>
      <c r="J521" s="23"/>
      <c r="K521" s="23"/>
    </row>
    <row r="522" spans="1:11">
      <c r="A522" s="41"/>
      <c r="B522" s="41"/>
      <c r="C522" s="23"/>
      <c r="D522" s="23"/>
      <c r="F522" s="23"/>
      <c r="H522" s="23"/>
      <c r="I522" s="23"/>
      <c r="J522" s="23"/>
      <c r="K522" s="23"/>
    </row>
    <row r="523" spans="1:11">
      <c r="A523" s="41"/>
      <c r="B523" s="41"/>
      <c r="C523" s="23"/>
      <c r="D523" s="23"/>
      <c r="F523" s="23"/>
      <c r="H523" s="23"/>
      <c r="I523" s="23"/>
      <c r="J523" s="23"/>
      <c r="K523" s="23"/>
    </row>
    <row r="524" spans="1:11">
      <c r="A524" s="41"/>
      <c r="B524" s="41"/>
      <c r="C524" s="23"/>
      <c r="D524" s="23"/>
      <c r="F524" s="23"/>
      <c r="H524" s="23"/>
      <c r="I524" s="23"/>
      <c r="J524" s="23"/>
      <c r="K524" s="23"/>
    </row>
    <row r="525" spans="1:11">
      <c r="A525" s="41"/>
      <c r="B525" s="41"/>
      <c r="C525" s="23"/>
      <c r="D525" s="23"/>
      <c r="F525" s="23"/>
      <c r="H525" s="23"/>
      <c r="I525" s="23"/>
      <c r="J525" s="23"/>
      <c r="K525" s="23"/>
    </row>
    <row r="526" spans="1:11">
      <c r="A526" s="41"/>
      <c r="B526" s="41"/>
      <c r="C526" s="23"/>
      <c r="D526" s="23"/>
      <c r="F526" s="23"/>
      <c r="H526" s="23"/>
      <c r="I526" s="23"/>
      <c r="J526" s="23"/>
      <c r="K526" s="23"/>
    </row>
    <row r="527" spans="1:11">
      <c r="A527" s="41"/>
      <c r="B527" s="41"/>
      <c r="C527" s="23"/>
      <c r="D527" s="23"/>
      <c r="F527" s="23"/>
      <c r="H527" s="23"/>
      <c r="I527" s="23"/>
      <c r="J527" s="23"/>
      <c r="K527" s="23"/>
    </row>
    <row r="528" spans="1:11">
      <c r="A528" s="41"/>
      <c r="B528" s="41"/>
      <c r="C528" s="23"/>
      <c r="D528" s="23"/>
      <c r="F528" s="23"/>
      <c r="H528" s="23"/>
      <c r="I528" s="23"/>
      <c r="J528" s="23"/>
      <c r="K528" s="23"/>
    </row>
    <row r="529" spans="1:11">
      <c r="A529" s="41"/>
      <c r="B529" s="41"/>
      <c r="C529" s="23"/>
      <c r="D529" s="23"/>
      <c r="F529" s="23"/>
      <c r="H529" s="23"/>
      <c r="I529" s="23"/>
      <c r="J529" s="23"/>
      <c r="K529" s="23"/>
    </row>
    <row r="530" spans="1:11">
      <c r="A530" s="41"/>
      <c r="B530" s="41"/>
      <c r="C530" s="23"/>
      <c r="D530" s="23"/>
      <c r="F530" s="23"/>
      <c r="H530" s="23"/>
      <c r="I530" s="23"/>
      <c r="J530" s="23"/>
      <c r="K530" s="23"/>
    </row>
    <row r="531" spans="1:11">
      <c r="A531" s="41"/>
      <c r="B531" s="41"/>
      <c r="C531" s="23"/>
      <c r="D531" s="23"/>
      <c r="F531" s="23"/>
      <c r="H531" s="23"/>
      <c r="I531" s="23"/>
      <c r="J531" s="23"/>
      <c r="K531" s="23"/>
    </row>
    <row r="532" spans="1:11">
      <c r="A532" s="41"/>
      <c r="B532" s="41"/>
      <c r="C532" s="23"/>
      <c r="D532" s="23"/>
      <c r="F532" s="23"/>
      <c r="H532" s="23"/>
      <c r="I532" s="23"/>
      <c r="J532" s="23"/>
      <c r="K532" s="23"/>
    </row>
    <row r="533" spans="1:11">
      <c r="A533" s="41"/>
      <c r="B533" s="41"/>
      <c r="C533" s="23"/>
      <c r="D533" s="23"/>
      <c r="F533" s="23"/>
      <c r="H533" s="23"/>
      <c r="I533" s="23"/>
      <c r="J533" s="23"/>
      <c r="K533" s="23"/>
    </row>
    <row r="534" spans="1:11">
      <c r="A534" s="41"/>
      <c r="B534" s="41"/>
      <c r="C534" s="23"/>
      <c r="D534" s="23"/>
      <c r="F534" s="23"/>
      <c r="H534" s="23"/>
      <c r="I534" s="23"/>
      <c r="J534" s="23"/>
      <c r="K534" s="23"/>
    </row>
    <row r="535" spans="1:11">
      <c r="A535" s="41"/>
      <c r="B535" s="41"/>
      <c r="C535" s="23"/>
      <c r="D535" s="23"/>
      <c r="F535" s="23"/>
      <c r="H535" s="23"/>
      <c r="I535" s="23"/>
      <c r="J535" s="23"/>
      <c r="K535" s="23"/>
    </row>
    <row r="536" spans="1:11">
      <c r="A536" s="41"/>
      <c r="B536" s="41"/>
      <c r="C536" s="23"/>
      <c r="D536" s="23"/>
      <c r="F536" s="23"/>
      <c r="H536" s="23"/>
      <c r="I536" s="23"/>
      <c r="J536" s="23"/>
      <c r="K536" s="23"/>
    </row>
    <row r="537" spans="1:11">
      <c r="A537" s="41"/>
      <c r="B537" s="41"/>
      <c r="C537" s="23"/>
      <c r="D537" s="23"/>
      <c r="F537" s="23"/>
      <c r="H537" s="23"/>
      <c r="I537" s="23"/>
      <c r="J537" s="23"/>
      <c r="K537" s="23"/>
    </row>
    <row r="538" spans="1:11">
      <c r="A538" s="41"/>
      <c r="B538" s="41"/>
      <c r="C538" s="23"/>
      <c r="D538" s="23"/>
      <c r="F538" s="23"/>
      <c r="H538" s="23"/>
      <c r="I538" s="23"/>
      <c r="J538" s="23"/>
      <c r="K538" s="23"/>
    </row>
    <row r="539" spans="1:11">
      <c r="A539" s="41"/>
      <c r="B539" s="41"/>
      <c r="C539" s="23"/>
      <c r="D539" s="23"/>
      <c r="F539" s="23"/>
      <c r="H539" s="23"/>
      <c r="I539" s="23"/>
      <c r="J539" s="23"/>
      <c r="K539" s="23"/>
    </row>
    <row r="540" spans="1:11">
      <c r="A540" s="41"/>
      <c r="B540" s="41"/>
      <c r="C540" s="23"/>
      <c r="D540" s="23"/>
      <c r="F540" s="23"/>
      <c r="H540" s="23"/>
      <c r="I540" s="23"/>
      <c r="J540" s="23"/>
      <c r="K540" s="23"/>
    </row>
    <row r="541" spans="1:11">
      <c r="A541" s="41"/>
      <c r="B541" s="41"/>
      <c r="C541" s="23"/>
      <c r="D541" s="23"/>
      <c r="F541" s="23"/>
      <c r="H541" s="23"/>
      <c r="I541" s="23"/>
      <c r="J541" s="23"/>
      <c r="K541" s="23"/>
    </row>
    <row r="542" spans="1:11">
      <c r="A542" s="41"/>
      <c r="B542" s="41"/>
      <c r="C542" s="23"/>
      <c r="D542" s="23"/>
      <c r="F542" s="23"/>
      <c r="H542" s="23"/>
      <c r="I542" s="23"/>
      <c r="J542" s="23"/>
      <c r="K542" s="23"/>
    </row>
    <row r="543" spans="1:11">
      <c r="A543" s="41"/>
      <c r="B543" s="41"/>
      <c r="C543" s="23"/>
      <c r="D543" s="23"/>
      <c r="F543" s="23"/>
      <c r="H543" s="23"/>
      <c r="I543" s="23"/>
      <c r="J543" s="23"/>
      <c r="K543" s="23"/>
    </row>
    <row r="544" spans="1:11">
      <c r="A544" s="41"/>
      <c r="B544" s="41"/>
      <c r="C544" s="23"/>
      <c r="D544" s="23"/>
      <c r="F544" s="23"/>
      <c r="H544" s="23"/>
      <c r="I544" s="23"/>
      <c r="J544" s="23"/>
      <c r="K544" s="23"/>
    </row>
    <row r="545" spans="1:11">
      <c r="A545" s="41"/>
      <c r="B545" s="41"/>
      <c r="C545" s="23"/>
      <c r="D545" s="23"/>
      <c r="F545" s="23"/>
      <c r="H545" s="23"/>
      <c r="I545" s="23"/>
      <c r="J545" s="23"/>
      <c r="K545" s="23"/>
    </row>
    <row r="546" spans="1:11">
      <c r="A546" s="41"/>
      <c r="B546" s="41"/>
      <c r="C546" s="23"/>
      <c r="D546" s="23"/>
      <c r="F546" s="23"/>
      <c r="H546" s="23"/>
      <c r="I546" s="23"/>
      <c r="J546" s="23"/>
      <c r="K546" s="23"/>
    </row>
    <row r="547" spans="1:11">
      <c r="A547" s="41"/>
      <c r="B547" s="41"/>
      <c r="C547" s="23"/>
      <c r="D547" s="23"/>
      <c r="F547" s="23"/>
      <c r="H547" s="23"/>
      <c r="I547" s="23"/>
      <c r="J547" s="23"/>
      <c r="K547" s="23"/>
    </row>
    <row r="548" spans="1:11">
      <c r="A548" s="41"/>
      <c r="B548" s="41"/>
      <c r="C548" s="23"/>
      <c r="D548" s="23"/>
      <c r="F548" s="23"/>
      <c r="H548" s="23"/>
      <c r="I548" s="23"/>
      <c r="J548" s="23"/>
      <c r="K548" s="23"/>
    </row>
    <row r="549" spans="1:11">
      <c r="A549" s="41"/>
      <c r="B549" s="41"/>
      <c r="C549" s="23"/>
      <c r="D549" s="23"/>
      <c r="F549" s="23"/>
      <c r="H549" s="23"/>
      <c r="I549" s="23"/>
      <c r="J549" s="23"/>
      <c r="K549" s="23"/>
    </row>
    <row r="550" spans="1:11">
      <c r="A550" s="41"/>
      <c r="B550" s="41"/>
      <c r="C550" s="23"/>
      <c r="D550" s="23"/>
      <c r="F550" s="23"/>
      <c r="H550" s="23"/>
      <c r="I550" s="23"/>
      <c r="J550" s="23"/>
      <c r="K550" s="23"/>
    </row>
    <row r="551" spans="1:11">
      <c r="A551" s="41"/>
      <c r="B551" s="41"/>
      <c r="C551" s="23"/>
      <c r="D551" s="23"/>
      <c r="F551" s="23"/>
      <c r="H551" s="23"/>
      <c r="I551" s="23"/>
      <c r="J551" s="23"/>
      <c r="K551" s="23"/>
    </row>
    <row r="552" spans="1:11">
      <c r="A552" s="41"/>
      <c r="B552" s="41"/>
      <c r="C552" s="23"/>
      <c r="D552" s="23"/>
      <c r="F552" s="23"/>
      <c r="H552" s="23"/>
      <c r="I552" s="23"/>
      <c r="J552" s="23"/>
      <c r="K552" s="23"/>
    </row>
    <row r="553" spans="1:11">
      <c r="A553" s="41"/>
      <c r="B553" s="41"/>
      <c r="C553" s="23"/>
      <c r="D553" s="23"/>
      <c r="F553" s="23"/>
      <c r="H553" s="23"/>
      <c r="I553" s="23"/>
      <c r="J553" s="23"/>
      <c r="K553" s="23"/>
    </row>
    <row r="554" spans="1:11">
      <c r="A554" s="41"/>
      <c r="B554" s="41"/>
      <c r="C554" s="23"/>
      <c r="D554" s="23"/>
      <c r="F554" s="23"/>
      <c r="H554" s="23"/>
      <c r="I554" s="23"/>
      <c r="J554" s="23"/>
      <c r="K554" s="23"/>
    </row>
    <row r="555" spans="1:11">
      <c r="A555" s="41"/>
      <c r="B555" s="41"/>
      <c r="C555" s="23"/>
      <c r="D555" s="23"/>
      <c r="F555" s="23"/>
      <c r="H555" s="23"/>
      <c r="I555" s="23"/>
      <c r="J555" s="23"/>
      <c r="K555" s="23"/>
    </row>
    <row r="556" spans="1:11">
      <c r="A556" s="41"/>
      <c r="B556" s="41"/>
      <c r="C556" s="23"/>
      <c r="D556" s="23"/>
      <c r="F556" s="23"/>
      <c r="H556" s="23"/>
      <c r="I556" s="23"/>
      <c r="J556" s="23"/>
      <c r="K556" s="23"/>
    </row>
    <row r="557" spans="1:11">
      <c r="A557" s="41"/>
      <c r="B557" s="41"/>
      <c r="C557" s="23"/>
      <c r="D557" s="23"/>
      <c r="F557" s="23"/>
      <c r="H557" s="23"/>
      <c r="I557" s="23"/>
      <c r="J557" s="23"/>
      <c r="K557" s="23"/>
    </row>
    <row r="558" spans="1:11">
      <c r="A558" s="41"/>
      <c r="B558" s="41"/>
      <c r="C558" s="23"/>
      <c r="D558" s="23"/>
      <c r="F558" s="23"/>
      <c r="H558" s="23"/>
      <c r="I558" s="23"/>
      <c r="J558" s="23"/>
      <c r="K558" s="23"/>
    </row>
    <row r="559" spans="1:11">
      <c r="A559" s="41"/>
      <c r="B559" s="41"/>
      <c r="C559" s="23"/>
      <c r="D559" s="23"/>
      <c r="F559" s="23"/>
      <c r="H559" s="23"/>
      <c r="I559" s="23"/>
      <c r="J559" s="23"/>
      <c r="K559" s="23"/>
    </row>
    <row r="560" spans="1:11">
      <c r="A560" s="41"/>
      <c r="B560" s="41"/>
      <c r="C560" s="23"/>
      <c r="D560" s="23"/>
      <c r="F560" s="23"/>
      <c r="H560" s="23"/>
      <c r="I560" s="23"/>
      <c r="J560" s="23"/>
      <c r="K560" s="23"/>
    </row>
    <row r="561" spans="1:11">
      <c r="A561" s="41"/>
      <c r="B561" s="41"/>
      <c r="C561" s="23"/>
      <c r="D561" s="23"/>
      <c r="F561" s="23"/>
      <c r="H561" s="23"/>
      <c r="I561" s="23"/>
      <c r="J561" s="23"/>
      <c r="K561" s="23"/>
    </row>
    <row r="562" spans="1:11">
      <c r="A562" s="41"/>
      <c r="B562" s="41"/>
      <c r="C562" s="23"/>
      <c r="D562" s="23"/>
      <c r="F562" s="23"/>
      <c r="H562" s="23"/>
      <c r="I562" s="23"/>
      <c r="J562" s="23"/>
      <c r="K562" s="23"/>
    </row>
    <row r="563" spans="1:11">
      <c r="A563" s="41"/>
      <c r="B563" s="41"/>
      <c r="C563" s="23"/>
      <c r="D563" s="23"/>
      <c r="F563" s="23"/>
      <c r="H563" s="23"/>
      <c r="I563" s="23"/>
      <c r="J563" s="23"/>
      <c r="K563" s="23"/>
    </row>
    <row r="564" spans="1:11">
      <c r="A564" s="41"/>
      <c r="B564" s="41"/>
      <c r="C564" s="23"/>
      <c r="D564" s="23"/>
      <c r="F564" s="23"/>
      <c r="H564" s="23"/>
      <c r="I564" s="23"/>
      <c r="J564" s="23"/>
      <c r="K564" s="23"/>
    </row>
    <row r="565" spans="1:11">
      <c r="A565" s="41"/>
      <c r="B565" s="41"/>
      <c r="C565" s="23"/>
      <c r="D565" s="23"/>
      <c r="F565" s="23"/>
      <c r="H565" s="23"/>
      <c r="I565" s="23"/>
      <c r="J565" s="23"/>
      <c r="K565" s="23"/>
    </row>
    <row r="566" spans="1:11">
      <c r="A566" s="41"/>
      <c r="B566" s="41"/>
      <c r="C566" s="23"/>
      <c r="D566" s="23"/>
      <c r="F566" s="23"/>
      <c r="H566" s="23"/>
      <c r="I566" s="23"/>
      <c r="J566" s="23"/>
      <c r="K566" s="23"/>
    </row>
    <row r="567" spans="1:11">
      <c r="A567" s="41"/>
      <c r="B567" s="41"/>
      <c r="C567" s="23"/>
      <c r="D567" s="23"/>
      <c r="F567" s="23"/>
      <c r="H567" s="23"/>
      <c r="I567" s="23"/>
      <c r="J567" s="23"/>
      <c r="K567" s="23"/>
    </row>
    <row r="568" spans="1:11">
      <c r="A568" s="41"/>
      <c r="B568" s="41"/>
      <c r="C568" s="23"/>
      <c r="D568" s="23"/>
      <c r="F568" s="23"/>
      <c r="H568" s="23"/>
      <c r="I568" s="23"/>
      <c r="J568" s="23"/>
      <c r="K568" s="23"/>
    </row>
    <row r="569" spans="1:11">
      <c r="A569" s="41"/>
      <c r="B569" s="41"/>
      <c r="C569" s="23"/>
      <c r="D569" s="23"/>
      <c r="F569" s="23"/>
      <c r="H569" s="23"/>
      <c r="I569" s="23"/>
      <c r="J569" s="23"/>
      <c r="K569" s="23"/>
    </row>
    <row r="570" spans="1:11">
      <c r="A570" s="41"/>
      <c r="B570" s="41"/>
      <c r="C570" s="23"/>
      <c r="D570" s="23"/>
      <c r="F570" s="23"/>
      <c r="H570" s="23"/>
      <c r="I570" s="23"/>
      <c r="J570" s="23"/>
      <c r="K570" s="23"/>
    </row>
    <row r="571" spans="1:11">
      <c r="A571" s="41"/>
      <c r="B571" s="41"/>
      <c r="C571" s="23"/>
      <c r="D571" s="23"/>
      <c r="F571" s="23"/>
      <c r="H571" s="23"/>
      <c r="I571" s="23"/>
      <c r="J571" s="23"/>
      <c r="K571" s="23"/>
    </row>
    <row r="572" spans="1:11">
      <c r="A572" s="41"/>
      <c r="B572" s="41"/>
      <c r="C572" s="23"/>
      <c r="D572" s="23"/>
      <c r="F572" s="23"/>
      <c r="H572" s="23"/>
      <c r="I572" s="23"/>
      <c r="J572" s="23"/>
      <c r="K572" s="23"/>
    </row>
    <row r="573" spans="1:11">
      <c r="A573" s="41"/>
      <c r="B573" s="41"/>
      <c r="C573" s="23"/>
      <c r="D573" s="23"/>
      <c r="F573" s="23"/>
      <c r="H573" s="23"/>
      <c r="I573" s="23"/>
      <c r="J573" s="23"/>
      <c r="K573" s="23"/>
    </row>
    <row r="574" spans="1:11">
      <c r="A574" s="41"/>
      <c r="B574" s="41"/>
      <c r="C574" s="23"/>
      <c r="D574" s="23"/>
      <c r="F574" s="23"/>
      <c r="H574" s="23"/>
      <c r="I574" s="23"/>
      <c r="J574" s="23"/>
      <c r="K574" s="23"/>
    </row>
    <row r="575" spans="1:11">
      <c r="A575" s="41"/>
      <c r="B575" s="41"/>
      <c r="C575" s="23"/>
      <c r="D575" s="23"/>
      <c r="F575" s="23"/>
      <c r="H575" s="23"/>
      <c r="I575" s="23"/>
      <c r="J575" s="23"/>
      <c r="K575" s="23"/>
    </row>
    <row r="576" spans="1:11">
      <c r="A576" s="41"/>
      <c r="B576" s="41"/>
      <c r="C576" s="23"/>
      <c r="D576" s="23"/>
      <c r="F576" s="23"/>
      <c r="H576" s="23"/>
      <c r="I576" s="23"/>
      <c r="J576" s="23"/>
      <c r="K576" s="23"/>
    </row>
    <row r="577" spans="1:11">
      <c r="A577" s="41"/>
      <c r="B577" s="41"/>
      <c r="C577" s="23"/>
      <c r="D577" s="23"/>
      <c r="F577" s="23"/>
      <c r="H577" s="23"/>
      <c r="I577" s="23"/>
      <c r="J577" s="23"/>
      <c r="K577" s="23"/>
    </row>
    <row r="578" spans="1:11">
      <c r="A578" s="41"/>
      <c r="B578" s="41"/>
      <c r="C578" s="23"/>
      <c r="D578" s="23"/>
      <c r="F578" s="23"/>
      <c r="H578" s="23"/>
      <c r="I578" s="23"/>
      <c r="J578" s="23"/>
      <c r="K578" s="23"/>
    </row>
    <row r="579" spans="1:11">
      <c r="A579" s="41"/>
      <c r="B579" s="41"/>
      <c r="C579" s="23"/>
      <c r="D579" s="23"/>
      <c r="F579" s="23"/>
      <c r="H579" s="23"/>
      <c r="I579" s="23"/>
      <c r="J579" s="23"/>
      <c r="K579" s="23"/>
    </row>
    <row r="580" spans="1:11">
      <c r="A580" s="41"/>
      <c r="B580" s="41"/>
      <c r="C580" s="23"/>
      <c r="D580" s="23"/>
      <c r="F580" s="23"/>
      <c r="H580" s="23"/>
      <c r="I580" s="23"/>
      <c r="J580" s="23"/>
      <c r="K580" s="23"/>
    </row>
    <row r="581" spans="1:11">
      <c r="A581" s="41"/>
      <c r="B581" s="41"/>
      <c r="C581" s="23"/>
      <c r="D581" s="23"/>
      <c r="F581" s="23"/>
      <c r="H581" s="23"/>
      <c r="I581" s="23"/>
      <c r="J581" s="23"/>
      <c r="K581" s="23"/>
    </row>
    <row r="582" spans="1:11">
      <c r="A582" s="41"/>
      <c r="B582" s="41"/>
      <c r="C582" s="23"/>
      <c r="D582" s="23"/>
      <c r="F582" s="23"/>
      <c r="H582" s="23"/>
      <c r="I582" s="23"/>
      <c r="J582" s="23"/>
      <c r="K582" s="23"/>
    </row>
    <row r="583" spans="1:11">
      <c r="A583" s="41"/>
      <c r="B583" s="41"/>
      <c r="C583" s="23"/>
      <c r="D583" s="23"/>
      <c r="F583" s="23"/>
      <c r="H583" s="23"/>
      <c r="I583" s="23"/>
      <c r="J583" s="23"/>
      <c r="K583" s="23"/>
    </row>
    <row r="584" spans="1:11">
      <c r="A584" s="41"/>
      <c r="B584" s="41"/>
      <c r="C584" s="23"/>
      <c r="D584" s="23"/>
      <c r="F584" s="23"/>
      <c r="H584" s="23"/>
      <c r="I584" s="23"/>
      <c r="J584" s="23"/>
      <c r="K584" s="23"/>
    </row>
    <row r="585" spans="1:11">
      <c r="A585" s="41"/>
      <c r="B585" s="41"/>
      <c r="C585" s="23"/>
      <c r="D585" s="23"/>
      <c r="F585" s="23"/>
      <c r="H585" s="23"/>
      <c r="I585" s="23"/>
      <c r="J585" s="23"/>
      <c r="K585" s="23"/>
    </row>
    <row r="586" spans="1:11">
      <c r="A586" s="41"/>
      <c r="B586" s="41"/>
      <c r="C586" s="23"/>
      <c r="D586" s="23"/>
      <c r="F586" s="23"/>
      <c r="H586" s="23"/>
      <c r="I586" s="23"/>
      <c r="J586" s="23"/>
      <c r="K586" s="23"/>
    </row>
    <row r="587" spans="1:11">
      <c r="A587" s="41"/>
      <c r="B587" s="41"/>
      <c r="C587" s="23"/>
      <c r="D587" s="23"/>
      <c r="F587" s="23"/>
      <c r="H587" s="23"/>
      <c r="I587" s="23"/>
      <c r="J587" s="23"/>
      <c r="K587" s="23"/>
    </row>
    <row r="588" spans="1:11">
      <c r="A588" s="41"/>
      <c r="B588" s="41"/>
      <c r="C588" s="23"/>
      <c r="D588" s="23"/>
      <c r="F588" s="23"/>
      <c r="H588" s="23"/>
      <c r="I588" s="23"/>
      <c r="J588" s="23"/>
      <c r="K588" s="23"/>
    </row>
    <row r="589" spans="1:11">
      <c r="A589" s="41"/>
      <c r="B589" s="41"/>
      <c r="C589" s="23"/>
      <c r="D589" s="23"/>
      <c r="F589" s="23"/>
      <c r="H589" s="23"/>
      <c r="I589" s="23"/>
      <c r="J589" s="23"/>
      <c r="K589" s="23"/>
    </row>
    <row r="590" spans="1:11">
      <c r="A590" s="41"/>
      <c r="B590" s="41"/>
      <c r="C590" s="23"/>
      <c r="D590" s="23"/>
      <c r="F590" s="23"/>
      <c r="H590" s="23"/>
      <c r="I590" s="23"/>
      <c r="J590" s="23"/>
      <c r="K590" s="23"/>
    </row>
    <row r="591" spans="1:11">
      <c r="A591" s="41"/>
      <c r="B591" s="41"/>
      <c r="C591" s="23"/>
      <c r="D591" s="23"/>
      <c r="F591" s="23"/>
      <c r="H591" s="23"/>
      <c r="I591" s="23"/>
      <c r="J591" s="23"/>
      <c r="K591" s="23"/>
    </row>
    <row r="592" spans="1:11">
      <c r="A592" s="41"/>
      <c r="B592" s="41"/>
      <c r="C592" s="23"/>
      <c r="D592" s="23"/>
      <c r="F592" s="23"/>
      <c r="H592" s="23"/>
      <c r="I592" s="23"/>
      <c r="J592" s="23"/>
      <c r="K592" s="23"/>
    </row>
    <row r="593" spans="1:11">
      <c r="A593" s="41"/>
      <c r="B593" s="41"/>
      <c r="C593" s="23"/>
      <c r="D593" s="23"/>
      <c r="F593" s="23"/>
      <c r="H593" s="23"/>
      <c r="I593" s="23"/>
      <c r="J593" s="23"/>
      <c r="K593" s="23"/>
    </row>
    <row r="594" spans="1:11">
      <c r="A594" s="41"/>
      <c r="B594" s="41"/>
      <c r="C594" s="23"/>
      <c r="D594" s="23"/>
      <c r="F594" s="23"/>
      <c r="H594" s="23"/>
      <c r="I594" s="23"/>
      <c r="J594" s="23"/>
      <c r="K594" s="23"/>
    </row>
    <row r="595" spans="1:11">
      <c r="A595" s="41"/>
      <c r="B595" s="41"/>
      <c r="C595" s="23"/>
      <c r="D595" s="23"/>
      <c r="F595" s="23"/>
      <c r="H595" s="23"/>
      <c r="I595" s="23"/>
      <c r="J595" s="23"/>
      <c r="K595" s="23"/>
    </row>
    <row r="596" spans="1:11">
      <c r="A596" s="41"/>
      <c r="B596" s="41"/>
      <c r="C596" s="23"/>
      <c r="D596" s="23"/>
      <c r="F596" s="23"/>
      <c r="H596" s="23"/>
      <c r="I596" s="23"/>
      <c r="J596" s="23"/>
      <c r="K596" s="23"/>
    </row>
    <row r="597" spans="1:11">
      <c r="A597" s="41"/>
      <c r="B597" s="41"/>
      <c r="C597" s="23"/>
      <c r="D597" s="23"/>
      <c r="F597" s="23"/>
      <c r="H597" s="23"/>
      <c r="I597" s="23"/>
      <c r="J597" s="23"/>
      <c r="K597" s="23"/>
    </row>
    <row r="598" spans="1:11">
      <c r="A598" s="41"/>
      <c r="B598" s="41"/>
      <c r="C598" s="23"/>
      <c r="D598" s="23"/>
      <c r="F598" s="23"/>
      <c r="H598" s="23"/>
      <c r="I598" s="23"/>
      <c r="J598" s="23"/>
      <c r="K598" s="23"/>
    </row>
    <row r="599" spans="1:11">
      <c r="A599" s="41"/>
      <c r="B599" s="41"/>
      <c r="C599" s="23"/>
      <c r="D599" s="23"/>
      <c r="F599" s="23"/>
      <c r="H599" s="23"/>
      <c r="I599" s="23"/>
      <c r="J599" s="23"/>
      <c r="K599" s="23"/>
    </row>
    <row r="600" spans="1:11">
      <c r="A600" s="41"/>
      <c r="B600" s="41"/>
      <c r="C600" s="23"/>
      <c r="D600" s="23"/>
      <c r="F600" s="23"/>
      <c r="H600" s="23"/>
      <c r="I600" s="23"/>
      <c r="J600" s="23"/>
      <c r="K600" s="23"/>
    </row>
    <row r="601" spans="1:11">
      <c r="A601" s="41"/>
      <c r="B601" s="41"/>
      <c r="C601" s="23"/>
      <c r="D601" s="23"/>
      <c r="F601" s="23"/>
      <c r="H601" s="23"/>
      <c r="I601" s="23"/>
      <c r="J601" s="23"/>
      <c r="K601" s="23"/>
    </row>
    <row r="602" spans="1:11">
      <c r="A602" s="41"/>
      <c r="B602" s="41"/>
      <c r="C602" s="23"/>
      <c r="D602" s="23"/>
      <c r="F602" s="23"/>
      <c r="H602" s="23"/>
      <c r="I602" s="23"/>
      <c r="J602" s="23"/>
      <c r="K602" s="23"/>
    </row>
    <row r="603" spans="1:11">
      <c r="A603" s="41"/>
      <c r="B603" s="41"/>
      <c r="C603" s="23"/>
      <c r="D603" s="23"/>
      <c r="F603" s="23"/>
      <c r="H603" s="23"/>
      <c r="I603" s="23"/>
      <c r="J603" s="23"/>
      <c r="K603" s="23"/>
    </row>
    <row r="604" spans="1:11">
      <c r="A604" s="41"/>
      <c r="B604" s="41"/>
      <c r="C604" s="23"/>
      <c r="D604" s="23"/>
      <c r="F604" s="23"/>
      <c r="H604" s="23"/>
      <c r="I604" s="23"/>
      <c r="J604" s="23"/>
      <c r="K604" s="23"/>
    </row>
    <row r="605" spans="1:11">
      <c r="A605" s="41"/>
      <c r="B605" s="41"/>
      <c r="C605" s="23"/>
      <c r="D605" s="23"/>
      <c r="F605" s="23"/>
      <c r="H605" s="23"/>
      <c r="I605" s="23"/>
      <c r="J605" s="23"/>
      <c r="K605" s="23"/>
    </row>
    <row r="606" spans="1:11">
      <c r="A606" s="41"/>
      <c r="B606" s="41"/>
      <c r="C606" s="23"/>
      <c r="D606" s="23"/>
      <c r="F606" s="23"/>
      <c r="H606" s="23"/>
      <c r="I606" s="23"/>
      <c r="J606" s="23"/>
      <c r="K606" s="23"/>
    </row>
    <row r="607" spans="1:11">
      <c r="A607" s="41"/>
      <c r="B607" s="41"/>
      <c r="C607" s="23"/>
      <c r="D607" s="23"/>
      <c r="F607" s="23"/>
      <c r="H607" s="23"/>
      <c r="I607" s="23"/>
      <c r="J607" s="23"/>
      <c r="K607" s="23"/>
    </row>
    <row r="608" spans="1:11">
      <c r="A608" s="41"/>
      <c r="B608" s="41"/>
      <c r="C608" s="23"/>
      <c r="D608" s="23"/>
      <c r="F608" s="23"/>
      <c r="H608" s="23"/>
      <c r="I608" s="23"/>
      <c r="J608" s="23"/>
      <c r="K608" s="23"/>
    </row>
    <row r="609" spans="1:11">
      <c r="A609" s="41"/>
      <c r="B609" s="41"/>
      <c r="C609" s="23"/>
      <c r="D609" s="23"/>
      <c r="F609" s="23"/>
      <c r="H609" s="23"/>
      <c r="I609" s="23"/>
      <c r="J609" s="23"/>
      <c r="K609" s="23"/>
    </row>
    <row r="610" spans="1:11">
      <c r="A610" s="41"/>
      <c r="B610" s="41"/>
      <c r="C610" s="23"/>
      <c r="D610" s="23"/>
      <c r="F610" s="23"/>
      <c r="H610" s="23"/>
      <c r="I610" s="23"/>
      <c r="J610" s="23"/>
      <c r="K610" s="23"/>
    </row>
    <row r="611" spans="1:11">
      <c r="A611" s="41"/>
      <c r="B611" s="41"/>
      <c r="C611" s="23"/>
      <c r="D611" s="23"/>
      <c r="F611" s="23"/>
      <c r="H611" s="23"/>
      <c r="I611" s="23"/>
      <c r="J611" s="23"/>
      <c r="K611" s="23"/>
    </row>
    <row r="612" spans="1:11">
      <c r="A612" s="41"/>
      <c r="B612" s="41"/>
      <c r="C612" s="23"/>
      <c r="D612" s="23"/>
      <c r="F612" s="23"/>
      <c r="H612" s="23"/>
      <c r="I612" s="23"/>
      <c r="J612" s="23"/>
      <c r="K612" s="23"/>
    </row>
    <row r="613" spans="1:11">
      <c r="A613" s="41"/>
      <c r="B613" s="41"/>
      <c r="C613" s="23"/>
      <c r="D613" s="23"/>
      <c r="F613" s="23"/>
      <c r="H613" s="23"/>
      <c r="I613" s="23"/>
      <c r="J613" s="23"/>
      <c r="K613" s="23"/>
    </row>
    <row r="614" spans="1:11">
      <c r="A614" s="41"/>
      <c r="B614" s="41"/>
      <c r="C614" s="23"/>
      <c r="D614" s="23"/>
      <c r="F614" s="23"/>
      <c r="H614" s="23"/>
      <c r="I614" s="23"/>
      <c r="J614" s="23"/>
      <c r="K614" s="23"/>
    </row>
    <row r="615" spans="1:11">
      <c r="A615" s="41"/>
      <c r="B615" s="41"/>
      <c r="C615" s="23"/>
      <c r="D615" s="23"/>
      <c r="F615" s="23"/>
      <c r="H615" s="23"/>
      <c r="I615" s="23"/>
      <c r="J615" s="23"/>
      <c r="K615" s="23"/>
    </row>
    <row r="616" spans="1:11">
      <c r="A616" s="41"/>
      <c r="B616" s="41"/>
      <c r="C616" s="23"/>
      <c r="D616" s="23"/>
      <c r="F616" s="23"/>
      <c r="H616" s="23"/>
      <c r="I616" s="23"/>
      <c r="J616" s="23"/>
      <c r="K616" s="23"/>
    </row>
    <row r="617" spans="1:11">
      <c r="A617" s="41"/>
      <c r="B617" s="41"/>
      <c r="C617" s="23"/>
      <c r="D617" s="23"/>
      <c r="F617" s="23"/>
      <c r="H617" s="23"/>
      <c r="I617" s="23"/>
      <c r="J617" s="23"/>
      <c r="K617" s="23"/>
    </row>
    <row r="618" spans="1:11">
      <c r="A618" s="41"/>
      <c r="B618" s="41"/>
      <c r="C618" s="23"/>
      <c r="D618" s="23"/>
      <c r="F618" s="23"/>
      <c r="H618" s="23"/>
      <c r="I618" s="23"/>
      <c r="J618" s="23"/>
      <c r="K618" s="23"/>
    </row>
    <row r="619" spans="1:11">
      <c r="A619" s="41"/>
      <c r="B619" s="41"/>
      <c r="C619" s="23"/>
      <c r="D619" s="23"/>
      <c r="F619" s="23"/>
      <c r="H619" s="23"/>
      <c r="I619" s="23"/>
      <c r="J619" s="23"/>
      <c r="K619" s="23"/>
    </row>
    <row r="620" spans="1:11">
      <c r="A620" s="41"/>
      <c r="B620" s="41"/>
      <c r="C620" s="23"/>
      <c r="D620" s="23"/>
      <c r="F620" s="23"/>
      <c r="H620" s="23"/>
      <c r="I620" s="23"/>
      <c r="J620" s="23"/>
      <c r="K620" s="23"/>
    </row>
    <row r="621" spans="1:11">
      <c r="A621" s="41"/>
      <c r="B621" s="41"/>
      <c r="C621" s="23"/>
      <c r="D621" s="23"/>
      <c r="F621" s="23"/>
      <c r="H621" s="23"/>
      <c r="I621" s="23"/>
      <c r="J621" s="23"/>
      <c r="K621" s="23"/>
    </row>
    <row r="622" spans="1:11">
      <c r="A622" s="41"/>
      <c r="B622" s="41"/>
      <c r="C622" s="23"/>
      <c r="D622" s="23"/>
      <c r="F622" s="23"/>
      <c r="H622" s="23"/>
      <c r="I622" s="23"/>
      <c r="J622" s="23"/>
      <c r="K622" s="23"/>
    </row>
    <row r="623" spans="1:11">
      <c r="A623" s="41"/>
      <c r="B623" s="41"/>
      <c r="C623" s="23"/>
      <c r="D623" s="23"/>
      <c r="F623" s="23"/>
      <c r="H623" s="23"/>
      <c r="I623" s="23"/>
      <c r="J623" s="23"/>
      <c r="K623" s="23"/>
    </row>
    <row r="624" spans="1:11">
      <c r="A624" s="41"/>
      <c r="B624" s="41"/>
      <c r="C624" s="23"/>
      <c r="D624" s="23"/>
      <c r="F624" s="23"/>
      <c r="H624" s="23"/>
      <c r="I624" s="23"/>
      <c r="J624" s="23"/>
      <c r="K624" s="23"/>
    </row>
    <row r="625" spans="1:11">
      <c r="A625" s="41"/>
      <c r="B625" s="41"/>
      <c r="C625" s="23"/>
      <c r="D625" s="23"/>
      <c r="F625" s="23"/>
      <c r="H625" s="23"/>
      <c r="I625" s="23"/>
      <c r="J625" s="23"/>
      <c r="K625" s="23"/>
    </row>
    <row r="626" spans="1:11">
      <c r="A626" s="41"/>
      <c r="B626" s="41"/>
      <c r="C626" s="23"/>
      <c r="D626" s="23"/>
      <c r="F626" s="23"/>
      <c r="H626" s="23"/>
      <c r="I626" s="23"/>
      <c r="J626" s="23"/>
      <c r="K626" s="23"/>
    </row>
    <row r="627" spans="1:11">
      <c r="A627" s="41"/>
      <c r="B627" s="41"/>
      <c r="C627" s="23"/>
      <c r="D627" s="23"/>
      <c r="F627" s="23"/>
      <c r="H627" s="23"/>
      <c r="I627" s="23"/>
      <c r="J627" s="23"/>
      <c r="K627" s="23"/>
    </row>
    <row r="628" spans="1:11">
      <c r="A628" s="41"/>
      <c r="B628" s="41"/>
      <c r="C628" s="23"/>
      <c r="D628" s="23"/>
      <c r="F628" s="23"/>
      <c r="H628" s="23"/>
      <c r="I628" s="23"/>
      <c r="J628" s="23"/>
      <c r="K628" s="23"/>
    </row>
    <row r="629" spans="1:11">
      <c r="A629" s="41"/>
      <c r="B629" s="41"/>
      <c r="C629" s="23"/>
      <c r="D629" s="23"/>
      <c r="F629" s="23"/>
      <c r="H629" s="23"/>
      <c r="I629" s="23"/>
      <c r="J629" s="23"/>
      <c r="K629" s="23"/>
    </row>
    <row r="630" spans="1:11">
      <c r="A630" s="41"/>
      <c r="B630" s="41"/>
      <c r="C630" s="23"/>
      <c r="D630" s="23"/>
      <c r="F630" s="23"/>
      <c r="H630" s="23"/>
      <c r="I630" s="23"/>
      <c r="J630" s="23"/>
      <c r="K630" s="23"/>
    </row>
    <row r="631" spans="1:11">
      <c r="A631" s="41"/>
      <c r="B631" s="41"/>
      <c r="C631" s="23"/>
      <c r="D631" s="23"/>
      <c r="F631" s="23"/>
      <c r="H631" s="23"/>
      <c r="I631" s="23"/>
      <c r="J631" s="23"/>
      <c r="K631" s="23"/>
    </row>
    <row r="632" spans="1:11">
      <c r="A632" s="41"/>
      <c r="B632" s="41"/>
      <c r="C632" s="23"/>
      <c r="D632" s="23"/>
      <c r="F632" s="23"/>
      <c r="H632" s="23"/>
      <c r="I632" s="23"/>
      <c r="J632" s="23"/>
      <c r="K632" s="23"/>
    </row>
    <row r="633" spans="1:11">
      <c r="A633" s="41"/>
      <c r="B633" s="41"/>
      <c r="C633" s="23"/>
      <c r="D633" s="23"/>
      <c r="F633" s="23"/>
      <c r="H633" s="23"/>
      <c r="I633" s="23"/>
      <c r="J633" s="23"/>
      <c r="K633" s="23"/>
    </row>
    <row r="634" spans="1:11">
      <c r="A634" s="41"/>
      <c r="B634" s="41"/>
      <c r="C634" s="23"/>
      <c r="D634" s="23"/>
      <c r="F634" s="23"/>
      <c r="H634" s="23"/>
      <c r="I634" s="23"/>
      <c r="J634" s="23"/>
      <c r="K634" s="23"/>
    </row>
    <row r="635" spans="1:11">
      <c r="A635" s="41"/>
      <c r="B635" s="41"/>
      <c r="C635" s="23"/>
      <c r="D635" s="23"/>
      <c r="F635" s="23"/>
      <c r="H635" s="23"/>
      <c r="I635" s="23"/>
      <c r="J635" s="23"/>
      <c r="K635" s="23"/>
    </row>
    <row r="636" spans="1:11">
      <c r="A636" s="41"/>
      <c r="B636" s="41"/>
      <c r="C636" s="23"/>
      <c r="D636" s="23"/>
      <c r="F636" s="23"/>
      <c r="H636" s="23"/>
      <c r="I636" s="23"/>
      <c r="J636" s="23"/>
      <c r="K636" s="23"/>
    </row>
    <row r="637" spans="1:11">
      <c r="A637" s="41"/>
      <c r="B637" s="41"/>
      <c r="C637" s="23"/>
      <c r="D637" s="23"/>
      <c r="F637" s="23"/>
      <c r="H637" s="23"/>
      <c r="I637" s="23"/>
      <c r="J637" s="23"/>
      <c r="K637" s="23"/>
    </row>
    <row r="638" spans="1:11">
      <c r="A638" s="41"/>
      <c r="B638" s="41"/>
      <c r="C638" s="23"/>
      <c r="D638" s="23"/>
      <c r="F638" s="23"/>
      <c r="H638" s="23"/>
      <c r="I638" s="23"/>
      <c r="J638" s="23"/>
      <c r="K638" s="23"/>
    </row>
    <row r="639" spans="1:11">
      <c r="A639" s="41"/>
      <c r="B639" s="41"/>
      <c r="C639" s="23"/>
      <c r="D639" s="23"/>
      <c r="F639" s="23"/>
      <c r="H639" s="23"/>
      <c r="I639" s="23"/>
      <c r="J639" s="23"/>
      <c r="K639" s="23"/>
    </row>
    <row r="640" spans="1:11">
      <c r="A640" s="41"/>
      <c r="B640" s="41"/>
      <c r="C640" s="23"/>
      <c r="D640" s="23"/>
      <c r="F640" s="23"/>
      <c r="H640" s="23"/>
      <c r="I640" s="23"/>
      <c r="J640" s="23"/>
      <c r="K640" s="23"/>
    </row>
    <row r="641" spans="1:11">
      <c r="A641" s="41"/>
      <c r="B641" s="41"/>
      <c r="C641" s="23"/>
      <c r="D641" s="23"/>
      <c r="F641" s="23"/>
      <c r="H641" s="23"/>
      <c r="I641" s="23"/>
      <c r="J641" s="23"/>
      <c r="K641" s="23"/>
    </row>
    <row r="642" spans="1:11">
      <c r="A642" s="41"/>
      <c r="B642" s="41"/>
      <c r="C642" s="23"/>
      <c r="D642" s="23"/>
      <c r="F642" s="23"/>
      <c r="H642" s="23"/>
      <c r="I642" s="23"/>
      <c r="J642" s="23"/>
      <c r="K642" s="23"/>
    </row>
    <row r="643" spans="1:11">
      <c r="A643" s="41"/>
      <c r="B643" s="41"/>
      <c r="C643" s="23"/>
      <c r="D643" s="23"/>
      <c r="F643" s="23"/>
      <c r="H643" s="23"/>
      <c r="I643" s="23"/>
      <c r="J643" s="23"/>
      <c r="K643" s="23"/>
    </row>
    <row r="644" spans="1:11">
      <c r="A644" s="41"/>
      <c r="B644" s="41"/>
      <c r="C644" s="23"/>
      <c r="D644" s="23"/>
      <c r="F644" s="23"/>
      <c r="H644" s="23"/>
      <c r="I644" s="23"/>
      <c r="J644" s="23"/>
      <c r="K644" s="23"/>
    </row>
    <row r="645" spans="1:11">
      <c r="A645" s="41"/>
      <c r="B645" s="41"/>
      <c r="C645" s="23"/>
      <c r="D645" s="23"/>
      <c r="F645" s="23"/>
      <c r="H645" s="23"/>
      <c r="I645" s="23"/>
      <c r="J645" s="23"/>
      <c r="K645" s="23"/>
    </row>
    <row r="646" spans="1:11">
      <c r="A646" s="41"/>
      <c r="B646" s="41"/>
      <c r="C646" s="23"/>
      <c r="D646" s="23"/>
      <c r="F646" s="23"/>
      <c r="H646" s="23"/>
      <c r="I646" s="23"/>
      <c r="J646" s="23"/>
      <c r="K646" s="23"/>
    </row>
    <row r="647" spans="1:11">
      <c r="A647" s="41"/>
      <c r="B647" s="41"/>
      <c r="C647" s="23"/>
      <c r="D647" s="23"/>
      <c r="F647" s="23"/>
      <c r="H647" s="23"/>
      <c r="I647" s="23"/>
      <c r="J647" s="23"/>
      <c r="K647" s="23"/>
    </row>
    <row r="648" spans="1:11">
      <c r="A648" s="41"/>
      <c r="B648" s="41"/>
      <c r="C648" s="23"/>
      <c r="D648" s="23"/>
      <c r="F648" s="23"/>
      <c r="H648" s="23"/>
      <c r="I648" s="23"/>
      <c r="J648" s="23"/>
      <c r="K648" s="23"/>
    </row>
    <row r="649" spans="1:11">
      <c r="A649" s="41"/>
      <c r="B649" s="41"/>
      <c r="C649" s="23"/>
      <c r="D649" s="23"/>
      <c r="F649" s="23"/>
      <c r="H649" s="23"/>
      <c r="I649" s="23"/>
      <c r="J649" s="23"/>
      <c r="K649" s="23"/>
    </row>
    <row r="650" spans="1:11">
      <c r="A650" s="41"/>
      <c r="B650" s="41"/>
      <c r="C650" s="23"/>
      <c r="D650" s="23"/>
      <c r="F650" s="23"/>
      <c r="H650" s="23"/>
      <c r="I650" s="23"/>
      <c r="J650" s="23"/>
      <c r="K650" s="23"/>
    </row>
    <row r="651" spans="1:11">
      <c r="A651" s="41"/>
      <c r="B651" s="41"/>
      <c r="C651" s="23"/>
      <c r="D651" s="23"/>
      <c r="F651" s="23"/>
      <c r="H651" s="23"/>
      <c r="I651" s="23"/>
      <c r="J651" s="23"/>
      <c r="K651" s="23"/>
    </row>
    <row r="652" spans="1:11">
      <c r="A652" s="41"/>
      <c r="B652" s="41"/>
      <c r="C652" s="23"/>
      <c r="D652" s="23"/>
      <c r="F652" s="23"/>
      <c r="H652" s="23"/>
      <c r="I652" s="23"/>
      <c r="J652" s="23"/>
      <c r="K652" s="23"/>
    </row>
    <row r="653" spans="1:11">
      <c r="A653" s="41"/>
      <c r="B653" s="41"/>
      <c r="C653" s="23"/>
      <c r="D653" s="23"/>
      <c r="F653" s="23"/>
      <c r="H653" s="23"/>
      <c r="I653" s="23"/>
      <c r="J653" s="23"/>
      <c r="K653" s="23"/>
    </row>
    <row r="654" spans="1:11">
      <c r="A654" s="41"/>
      <c r="B654" s="41"/>
      <c r="C654" s="23"/>
      <c r="D654" s="23"/>
      <c r="F654" s="23"/>
      <c r="H654" s="23"/>
      <c r="I654" s="23"/>
      <c r="J654" s="23"/>
      <c r="K654" s="23"/>
    </row>
    <row r="655" spans="1:11">
      <c r="A655" s="41"/>
      <c r="B655" s="41"/>
      <c r="C655" s="23"/>
      <c r="D655" s="23"/>
      <c r="F655" s="23"/>
      <c r="H655" s="23"/>
      <c r="I655" s="23"/>
      <c r="J655" s="23"/>
      <c r="K655" s="23"/>
    </row>
    <row r="656" spans="1:11">
      <c r="A656" s="41"/>
      <c r="B656" s="41"/>
      <c r="C656" s="23"/>
      <c r="D656" s="23"/>
      <c r="F656" s="23"/>
      <c r="H656" s="23"/>
      <c r="I656" s="23"/>
      <c r="J656" s="23"/>
      <c r="K656" s="23"/>
    </row>
    <row r="657" spans="1:11">
      <c r="A657" s="41"/>
      <c r="B657" s="41"/>
      <c r="C657" s="23"/>
      <c r="D657" s="23"/>
      <c r="F657" s="23"/>
      <c r="H657" s="23"/>
      <c r="I657" s="23"/>
      <c r="J657" s="23"/>
      <c r="K657" s="23"/>
    </row>
    <row r="658" spans="1:11">
      <c r="A658" s="41"/>
      <c r="B658" s="41"/>
      <c r="C658" s="23"/>
      <c r="D658" s="23"/>
      <c r="F658" s="23"/>
      <c r="H658" s="23"/>
      <c r="I658" s="23"/>
      <c r="J658" s="23"/>
      <c r="K658" s="23"/>
    </row>
    <row r="659" spans="1:11">
      <c r="A659" s="41"/>
      <c r="B659" s="41"/>
      <c r="C659" s="23"/>
      <c r="D659" s="23"/>
      <c r="F659" s="23"/>
      <c r="H659" s="23"/>
      <c r="I659" s="23"/>
      <c r="J659" s="23"/>
      <c r="K659" s="23"/>
    </row>
    <row r="660" spans="1:11">
      <c r="A660" s="41"/>
      <c r="B660" s="41"/>
      <c r="C660" s="23"/>
      <c r="D660" s="23"/>
      <c r="F660" s="23"/>
      <c r="H660" s="23"/>
      <c r="I660" s="23"/>
      <c r="J660" s="23"/>
      <c r="K660" s="23"/>
    </row>
    <row r="661" spans="1:11">
      <c r="A661" s="41"/>
      <c r="B661" s="41"/>
      <c r="C661" s="23"/>
      <c r="D661" s="23"/>
      <c r="F661" s="23"/>
      <c r="H661" s="23"/>
      <c r="I661" s="23"/>
      <c r="J661" s="23"/>
      <c r="K661" s="23"/>
    </row>
    <row r="662" spans="1:11">
      <c r="A662" s="41"/>
      <c r="B662" s="41"/>
      <c r="C662" s="23"/>
      <c r="D662" s="23"/>
      <c r="F662" s="23"/>
      <c r="H662" s="23"/>
      <c r="I662" s="23"/>
      <c r="J662" s="23"/>
      <c r="K662" s="23"/>
    </row>
    <row r="663" spans="1:11">
      <c r="A663" s="41"/>
      <c r="B663" s="41"/>
      <c r="C663" s="23"/>
      <c r="D663" s="23"/>
      <c r="F663" s="23"/>
      <c r="H663" s="23"/>
      <c r="I663" s="23"/>
      <c r="J663" s="23"/>
      <c r="K663" s="23"/>
    </row>
    <row r="664" spans="1:11">
      <c r="A664" s="41"/>
      <c r="B664" s="41"/>
      <c r="C664" s="23"/>
      <c r="D664" s="23"/>
      <c r="F664" s="23"/>
      <c r="H664" s="23"/>
      <c r="I664" s="23"/>
      <c r="J664" s="23"/>
      <c r="K664" s="23"/>
    </row>
    <row r="665" spans="1:11">
      <c r="A665" s="41"/>
      <c r="B665" s="41"/>
      <c r="C665" s="23"/>
      <c r="D665" s="23"/>
      <c r="F665" s="23"/>
      <c r="H665" s="23"/>
      <c r="I665" s="23"/>
      <c r="J665" s="23"/>
      <c r="K665" s="23"/>
    </row>
    <row r="666" spans="1:11">
      <c r="A666" s="41"/>
      <c r="B666" s="41"/>
      <c r="C666" s="23"/>
      <c r="D666" s="23"/>
      <c r="F666" s="23"/>
      <c r="H666" s="23"/>
      <c r="I666" s="23"/>
      <c r="J666" s="23"/>
      <c r="K666" s="23"/>
    </row>
    <row r="667" spans="1:11">
      <c r="A667" s="41"/>
      <c r="B667" s="41"/>
      <c r="C667" s="23"/>
      <c r="D667" s="23"/>
      <c r="F667" s="23"/>
      <c r="H667" s="23"/>
      <c r="I667" s="23"/>
      <c r="J667" s="23"/>
      <c r="K667" s="23"/>
    </row>
    <row r="668" spans="1:11">
      <c r="A668" s="41"/>
      <c r="B668" s="41"/>
      <c r="C668" s="23"/>
      <c r="D668" s="23"/>
      <c r="F668" s="23"/>
      <c r="H668" s="23"/>
      <c r="I668" s="23"/>
      <c r="J668" s="23"/>
      <c r="K668" s="23"/>
    </row>
    <row r="669" spans="1:11">
      <c r="A669" s="41"/>
      <c r="B669" s="41"/>
      <c r="C669" s="23"/>
      <c r="D669" s="23"/>
      <c r="F669" s="23"/>
      <c r="H669" s="23"/>
      <c r="I669" s="23"/>
      <c r="J669" s="23"/>
      <c r="K669" s="23"/>
    </row>
    <row r="670" spans="1:11">
      <c r="A670" s="41"/>
      <c r="B670" s="41"/>
      <c r="C670" s="23"/>
      <c r="D670" s="23"/>
      <c r="F670" s="23"/>
      <c r="H670" s="23"/>
      <c r="I670" s="23"/>
      <c r="J670" s="23"/>
      <c r="K670" s="23"/>
    </row>
    <row r="671" spans="1:11">
      <c r="A671" s="41"/>
      <c r="B671" s="41"/>
      <c r="C671" s="23"/>
      <c r="D671" s="23"/>
      <c r="F671" s="23"/>
      <c r="H671" s="23"/>
      <c r="I671" s="23"/>
      <c r="J671" s="23"/>
      <c r="K671" s="23"/>
    </row>
    <row r="672" spans="1:11">
      <c r="A672" s="41"/>
      <c r="B672" s="41"/>
      <c r="C672" s="23"/>
      <c r="D672" s="23"/>
      <c r="F672" s="23"/>
      <c r="H672" s="23"/>
      <c r="I672" s="23"/>
      <c r="J672" s="23"/>
      <c r="K672" s="23"/>
    </row>
    <row r="673" spans="1:11">
      <c r="A673" s="41"/>
      <c r="B673" s="41"/>
      <c r="C673" s="23"/>
      <c r="D673" s="23"/>
      <c r="F673" s="23"/>
      <c r="H673" s="23"/>
      <c r="I673" s="23"/>
      <c r="J673" s="23"/>
      <c r="K673" s="23"/>
    </row>
    <row r="674" spans="1:11">
      <c r="A674" s="41"/>
      <c r="B674" s="41"/>
      <c r="C674" s="23"/>
      <c r="D674" s="23"/>
      <c r="F674" s="23"/>
      <c r="H674" s="23"/>
      <c r="I674" s="23"/>
      <c r="J674" s="23"/>
      <c r="K674" s="23"/>
    </row>
    <row r="675" spans="1:11">
      <c r="A675" s="41"/>
      <c r="B675" s="41"/>
      <c r="C675" s="23"/>
      <c r="D675" s="23"/>
      <c r="F675" s="23"/>
      <c r="H675" s="23"/>
      <c r="I675" s="23"/>
      <c r="J675" s="23"/>
      <c r="K675" s="23"/>
    </row>
    <row r="676" spans="1:11">
      <c r="A676" s="41"/>
      <c r="B676" s="41"/>
      <c r="C676" s="23"/>
      <c r="D676" s="23"/>
      <c r="F676" s="23"/>
      <c r="H676" s="23"/>
      <c r="I676" s="23"/>
      <c r="J676" s="23"/>
      <c r="K676" s="23"/>
    </row>
    <row r="677" spans="1:11">
      <c r="A677" s="41"/>
      <c r="B677" s="41"/>
      <c r="C677" s="23"/>
      <c r="D677" s="23"/>
      <c r="F677" s="23"/>
      <c r="H677" s="23"/>
      <c r="I677" s="23"/>
      <c r="J677" s="23"/>
      <c r="K677" s="23"/>
    </row>
    <row r="678" spans="1:11">
      <c r="A678" s="41"/>
      <c r="B678" s="41"/>
      <c r="C678" s="23"/>
      <c r="D678" s="23"/>
      <c r="F678" s="23"/>
      <c r="H678" s="23"/>
      <c r="I678" s="23"/>
      <c r="J678" s="23"/>
      <c r="K678" s="23"/>
    </row>
    <row r="679" spans="1:11">
      <c r="A679" s="41"/>
      <c r="B679" s="41"/>
      <c r="C679" s="23"/>
      <c r="D679" s="23"/>
      <c r="F679" s="23"/>
      <c r="H679" s="23"/>
      <c r="I679" s="23"/>
      <c r="J679" s="23"/>
      <c r="K679" s="23"/>
    </row>
    <row r="680" spans="1:11">
      <c r="A680" s="41"/>
      <c r="B680" s="41"/>
      <c r="C680" s="23"/>
      <c r="D680" s="23"/>
      <c r="F680" s="23"/>
      <c r="H680" s="23"/>
      <c r="I680" s="23"/>
      <c r="J680" s="23"/>
      <c r="K680" s="23"/>
    </row>
    <row r="681" spans="1:11">
      <c r="A681" s="41"/>
      <c r="B681" s="41"/>
      <c r="C681" s="23"/>
      <c r="D681" s="23"/>
      <c r="F681" s="23"/>
      <c r="H681" s="23"/>
      <c r="I681" s="23"/>
      <c r="J681" s="23"/>
      <c r="K681" s="23"/>
    </row>
    <row r="682" spans="1:11">
      <c r="A682" s="41"/>
      <c r="B682" s="41"/>
      <c r="C682" s="23"/>
      <c r="D682" s="23"/>
      <c r="F682" s="23"/>
      <c r="H682" s="23"/>
      <c r="I682" s="23"/>
      <c r="J682" s="23"/>
      <c r="K682" s="23"/>
    </row>
    <row r="683" spans="1:11">
      <c r="A683" s="41"/>
      <c r="B683" s="41"/>
      <c r="C683" s="23"/>
      <c r="D683" s="23"/>
      <c r="F683" s="23"/>
      <c r="H683" s="23"/>
      <c r="I683" s="23"/>
      <c r="J683" s="23"/>
      <c r="K683" s="23"/>
    </row>
    <row r="684" spans="1:11">
      <c r="A684" s="41"/>
      <c r="B684" s="41"/>
      <c r="C684" s="23"/>
      <c r="D684" s="23"/>
      <c r="F684" s="23"/>
      <c r="H684" s="23"/>
      <c r="I684" s="23"/>
      <c r="J684" s="23"/>
      <c r="K684" s="23"/>
    </row>
    <row r="685" spans="1:11">
      <c r="A685" s="41"/>
      <c r="B685" s="41"/>
      <c r="C685" s="23"/>
      <c r="D685" s="23"/>
      <c r="F685" s="23"/>
      <c r="H685" s="23"/>
      <c r="I685" s="23"/>
      <c r="J685" s="23"/>
      <c r="K685" s="23"/>
    </row>
    <row r="686" spans="1:11">
      <c r="A686" s="41"/>
      <c r="B686" s="41"/>
      <c r="C686" s="23"/>
      <c r="D686" s="23"/>
      <c r="F686" s="23"/>
      <c r="H686" s="23"/>
      <c r="I686" s="23"/>
      <c r="J686" s="23"/>
      <c r="K686" s="23"/>
    </row>
    <row r="687" spans="1:11">
      <c r="A687" s="41"/>
      <c r="B687" s="41"/>
      <c r="C687" s="23"/>
      <c r="D687" s="23"/>
      <c r="F687" s="23"/>
      <c r="H687" s="23"/>
      <c r="I687" s="23"/>
      <c r="J687" s="23"/>
      <c r="K687" s="23"/>
    </row>
    <row r="688" spans="1:11">
      <c r="A688" s="41"/>
      <c r="B688" s="41"/>
      <c r="C688" s="23"/>
      <c r="D688" s="23"/>
      <c r="F688" s="23"/>
      <c r="H688" s="23"/>
      <c r="I688" s="23"/>
      <c r="J688" s="23"/>
      <c r="K688" s="23"/>
    </row>
    <row r="689" spans="1:11">
      <c r="A689" s="41"/>
      <c r="B689" s="41"/>
      <c r="C689" s="23"/>
      <c r="D689" s="23"/>
      <c r="F689" s="23"/>
      <c r="H689" s="23"/>
      <c r="I689" s="23"/>
      <c r="J689" s="23"/>
      <c r="K689" s="23"/>
    </row>
    <row r="690" spans="1:11">
      <c r="A690" s="41"/>
      <c r="B690" s="41"/>
      <c r="C690" s="23"/>
      <c r="D690" s="23"/>
      <c r="F690" s="23"/>
      <c r="H690" s="23"/>
      <c r="I690" s="23"/>
      <c r="J690" s="23"/>
      <c r="K690" s="23"/>
    </row>
    <row r="691" spans="1:11">
      <c r="A691" s="41"/>
      <c r="B691" s="41"/>
      <c r="C691" s="23"/>
      <c r="D691" s="23"/>
      <c r="F691" s="23"/>
      <c r="H691" s="23"/>
      <c r="I691" s="23"/>
      <c r="J691" s="23"/>
      <c r="K691" s="23"/>
    </row>
    <row r="692" spans="1:11">
      <c r="A692" s="41"/>
      <c r="B692" s="41"/>
      <c r="C692" s="23"/>
      <c r="D692" s="23"/>
      <c r="F692" s="23"/>
      <c r="H692" s="23"/>
      <c r="I692" s="23"/>
      <c r="J692" s="23"/>
      <c r="K692" s="23"/>
    </row>
    <row r="693" spans="1:11">
      <c r="A693" s="41"/>
      <c r="B693" s="41"/>
      <c r="C693" s="23"/>
      <c r="D693" s="23"/>
      <c r="F693" s="23"/>
      <c r="H693" s="23"/>
      <c r="I693" s="23"/>
      <c r="J693" s="23"/>
      <c r="K693" s="23"/>
    </row>
    <row r="694" spans="1:11">
      <c r="A694" s="41"/>
      <c r="B694" s="41"/>
      <c r="C694" s="23"/>
      <c r="D694" s="23"/>
      <c r="F694" s="23"/>
      <c r="H694" s="23"/>
      <c r="I694" s="23"/>
      <c r="J694" s="23"/>
      <c r="K694" s="23"/>
    </row>
    <row r="695" spans="1:11">
      <c r="A695" s="41"/>
      <c r="B695" s="41"/>
      <c r="C695" s="23"/>
      <c r="D695" s="23"/>
      <c r="F695" s="23"/>
      <c r="H695" s="23"/>
      <c r="I695" s="23"/>
      <c r="J695" s="23"/>
      <c r="K695" s="23"/>
    </row>
    <row r="696" spans="1:11">
      <c r="A696" s="41"/>
      <c r="B696" s="41"/>
      <c r="C696" s="23"/>
      <c r="D696" s="23"/>
      <c r="F696" s="23"/>
      <c r="H696" s="23"/>
      <c r="I696" s="23"/>
      <c r="J696" s="23"/>
      <c r="K696" s="23"/>
    </row>
    <row r="697" spans="1:11">
      <c r="A697" s="41"/>
      <c r="B697" s="41"/>
      <c r="C697" s="23"/>
      <c r="D697" s="23"/>
      <c r="F697" s="23"/>
      <c r="H697" s="23"/>
      <c r="I697" s="23"/>
      <c r="J697" s="23"/>
      <c r="K697" s="23"/>
    </row>
    <row r="698" spans="1:11">
      <c r="A698" s="41"/>
      <c r="B698" s="41"/>
      <c r="C698" s="23"/>
      <c r="D698" s="23"/>
      <c r="F698" s="23"/>
      <c r="H698" s="23"/>
      <c r="I698" s="23"/>
      <c r="J698" s="23"/>
      <c r="K698" s="23"/>
    </row>
    <row r="699" spans="1:11">
      <c r="A699" s="41"/>
      <c r="B699" s="41"/>
      <c r="C699" s="23"/>
      <c r="D699" s="23"/>
      <c r="F699" s="23"/>
      <c r="H699" s="23"/>
      <c r="I699" s="23"/>
      <c r="J699" s="23"/>
      <c r="K699" s="23"/>
    </row>
    <row r="700" spans="1:11">
      <c r="A700" s="41"/>
      <c r="B700" s="41"/>
      <c r="C700" s="23"/>
      <c r="D700" s="23"/>
      <c r="F700" s="23"/>
      <c r="H700" s="23"/>
      <c r="I700" s="23"/>
      <c r="J700" s="23"/>
      <c r="K700" s="23"/>
    </row>
    <row r="701" spans="1:11">
      <c r="A701" s="41"/>
      <c r="B701" s="41"/>
      <c r="C701" s="23"/>
      <c r="D701" s="23"/>
      <c r="F701" s="23"/>
      <c r="H701" s="23"/>
      <c r="I701" s="23"/>
      <c r="J701" s="23"/>
      <c r="K701" s="23"/>
    </row>
    <row r="702" spans="1:11">
      <c r="A702" s="41"/>
      <c r="B702" s="41"/>
      <c r="C702" s="23"/>
      <c r="D702" s="23"/>
      <c r="F702" s="23"/>
      <c r="H702" s="23"/>
      <c r="I702" s="23"/>
      <c r="J702" s="23"/>
      <c r="K702" s="23"/>
    </row>
    <row r="703" spans="1:11">
      <c r="A703" s="41"/>
      <c r="B703" s="41"/>
      <c r="C703" s="23"/>
      <c r="D703" s="23"/>
      <c r="F703" s="23"/>
      <c r="H703" s="23"/>
      <c r="I703" s="23"/>
      <c r="J703" s="23"/>
      <c r="K703" s="23"/>
    </row>
    <row r="704" spans="1:11">
      <c r="A704" s="41"/>
      <c r="B704" s="41"/>
      <c r="C704" s="23"/>
      <c r="D704" s="23"/>
      <c r="F704" s="23"/>
      <c r="H704" s="23"/>
      <c r="I704" s="23"/>
      <c r="J704" s="23"/>
      <c r="K704" s="23"/>
    </row>
    <row r="705" spans="1:11">
      <c r="A705" s="41"/>
      <c r="B705" s="41"/>
      <c r="C705" s="23"/>
      <c r="D705" s="23"/>
      <c r="F705" s="23"/>
      <c r="H705" s="23"/>
      <c r="I705" s="23"/>
      <c r="J705" s="23"/>
      <c r="K705" s="23"/>
    </row>
    <row r="706" spans="1:11">
      <c r="A706" s="41"/>
      <c r="B706" s="41"/>
      <c r="C706" s="23"/>
      <c r="D706" s="23"/>
      <c r="F706" s="23"/>
      <c r="H706" s="23"/>
      <c r="I706" s="23"/>
      <c r="J706" s="23"/>
      <c r="K706" s="23"/>
    </row>
    <row r="707" spans="1:11">
      <c r="A707" s="41"/>
      <c r="B707" s="41"/>
      <c r="C707" s="23"/>
      <c r="D707" s="23"/>
      <c r="F707" s="23"/>
      <c r="H707" s="23"/>
      <c r="I707" s="23"/>
      <c r="J707" s="23"/>
      <c r="K707" s="23"/>
    </row>
    <row r="708" spans="1:11">
      <c r="A708" s="41"/>
      <c r="B708" s="41"/>
      <c r="C708" s="23"/>
      <c r="D708" s="23"/>
      <c r="F708" s="23"/>
      <c r="H708" s="23"/>
      <c r="I708" s="23"/>
      <c r="J708" s="23"/>
      <c r="K708" s="23"/>
    </row>
    <row r="709" spans="1:11">
      <c r="A709" s="41"/>
      <c r="B709" s="41"/>
      <c r="C709" s="23"/>
      <c r="D709" s="23"/>
      <c r="F709" s="23"/>
      <c r="H709" s="23"/>
      <c r="I709" s="23"/>
      <c r="J709" s="23"/>
      <c r="K709" s="23"/>
    </row>
    <row r="710" spans="1:11">
      <c r="A710" s="41"/>
      <c r="B710" s="41"/>
      <c r="C710" s="23"/>
      <c r="D710" s="23"/>
      <c r="F710" s="23"/>
      <c r="H710" s="23"/>
      <c r="I710" s="23"/>
      <c r="J710" s="23"/>
      <c r="K710" s="23"/>
    </row>
    <row r="711" spans="1:11">
      <c r="A711" s="41"/>
      <c r="B711" s="41"/>
      <c r="C711" s="23"/>
      <c r="D711" s="23"/>
      <c r="F711" s="23"/>
      <c r="H711" s="23"/>
      <c r="I711" s="23"/>
      <c r="J711" s="23"/>
      <c r="K711" s="23"/>
    </row>
    <row r="712" spans="1:11">
      <c r="A712" s="41"/>
      <c r="B712" s="41"/>
      <c r="C712" s="23"/>
      <c r="D712" s="23"/>
      <c r="F712" s="23"/>
      <c r="H712" s="23"/>
      <c r="I712" s="23"/>
      <c r="J712" s="23"/>
      <c r="K712" s="23"/>
    </row>
    <row r="713" spans="1:11">
      <c r="A713" s="41"/>
      <c r="B713" s="41"/>
      <c r="C713" s="23"/>
      <c r="D713" s="23"/>
      <c r="F713" s="23"/>
      <c r="H713" s="23"/>
      <c r="I713" s="23"/>
      <c r="J713" s="23"/>
      <c r="K713" s="23"/>
    </row>
    <row r="714" spans="1:11">
      <c r="A714" s="41"/>
      <c r="B714" s="41"/>
      <c r="C714" s="23"/>
      <c r="D714" s="23"/>
      <c r="F714" s="23"/>
      <c r="H714" s="23"/>
      <c r="I714" s="23"/>
      <c r="J714" s="23"/>
      <c r="K714" s="23"/>
    </row>
    <row r="715" spans="1:11">
      <c r="A715" s="41"/>
      <c r="B715" s="41"/>
      <c r="C715" s="23"/>
      <c r="D715" s="23"/>
      <c r="F715" s="23"/>
      <c r="H715" s="23"/>
      <c r="I715" s="23"/>
      <c r="J715" s="23"/>
      <c r="K715" s="23"/>
    </row>
    <row r="716" spans="1:11">
      <c r="A716" s="41"/>
      <c r="B716" s="41"/>
      <c r="C716" s="23"/>
      <c r="D716" s="23"/>
      <c r="F716" s="23"/>
      <c r="H716" s="23"/>
      <c r="I716" s="23"/>
      <c r="J716" s="23"/>
      <c r="K716" s="23"/>
    </row>
    <row r="717" spans="1:11">
      <c r="A717" s="41"/>
      <c r="B717" s="41"/>
      <c r="C717" s="23"/>
      <c r="D717" s="23"/>
      <c r="F717" s="23"/>
      <c r="H717" s="23"/>
      <c r="I717" s="23"/>
      <c r="J717" s="23"/>
      <c r="K717" s="23"/>
    </row>
    <row r="718" spans="1:11">
      <c r="A718" s="41"/>
      <c r="B718" s="41"/>
      <c r="C718" s="23"/>
      <c r="D718" s="23"/>
      <c r="F718" s="23"/>
      <c r="H718" s="23"/>
      <c r="I718" s="23"/>
      <c r="J718" s="23"/>
      <c r="K718" s="23"/>
    </row>
    <row r="719" spans="1:11">
      <c r="A719" s="41"/>
      <c r="B719" s="41"/>
      <c r="C719" s="23"/>
      <c r="D719" s="23"/>
      <c r="F719" s="23"/>
      <c r="H719" s="23"/>
      <c r="I719" s="23"/>
      <c r="J719" s="23"/>
      <c r="K719" s="23"/>
    </row>
    <row r="720" spans="1:11">
      <c r="A720" s="41"/>
      <c r="B720" s="41"/>
      <c r="C720" s="23"/>
      <c r="D720" s="23"/>
      <c r="F720" s="23"/>
      <c r="H720" s="23"/>
      <c r="I720" s="23"/>
      <c r="J720" s="23"/>
      <c r="K720" s="23"/>
    </row>
    <row r="721" spans="1:11">
      <c r="A721" s="41"/>
      <c r="B721" s="41"/>
      <c r="C721" s="23"/>
      <c r="D721" s="23"/>
      <c r="F721" s="23"/>
      <c r="H721" s="23"/>
      <c r="I721" s="23"/>
      <c r="J721" s="23"/>
      <c r="K721" s="23"/>
    </row>
    <row r="722" spans="1:11">
      <c r="A722" s="41"/>
      <c r="B722" s="41"/>
      <c r="C722" s="23"/>
      <c r="D722" s="23"/>
      <c r="F722" s="23"/>
      <c r="H722" s="23"/>
      <c r="I722" s="23"/>
      <c r="J722" s="23"/>
      <c r="K722" s="23"/>
    </row>
    <row r="723" spans="1:11">
      <c r="A723" s="41"/>
      <c r="B723" s="41"/>
      <c r="C723" s="23"/>
      <c r="D723" s="23"/>
      <c r="F723" s="23"/>
      <c r="H723" s="23"/>
      <c r="I723" s="23"/>
      <c r="J723" s="23"/>
      <c r="K723" s="23"/>
    </row>
    <row r="724" spans="1:11">
      <c r="A724" s="41"/>
      <c r="B724" s="41"/>
      <c r="C724" s="23"/>
      <c r="D724" s="23"/>
      <c r="F724" s="23"/>
      <c r="H724" s="23"/>
      <c r="I724" s="23"/>
      <c r="J724" s="23"/>
      <c r="K724" s="23"/>
    </row>
    <row r="725" spans="1:11">
      <c r="A725" s="41"/>
      <c r="B725" s="41"/>
      <c r="C725" s="23"/>
      <c r="D725" s="23"/>
      <c r="F725" s="23"/>
      <c r="H725" s="23"/>
      <c r="I725" s="23"/>
      <c r="J725" s="23"/>
      <c r="K725" s="23"/>
    </row>
    <row r="726" spans="1:11">
      <c r="A726" s="41"/>
      <c r="B726" s="41"/>
      <c r="C726" s="23"/>
      <c r="D726" s="23"/>
      <c r="F726" s="23"/>
      <c r="H726" s="23"/>
      <c r="I726" s="23"/>
      <c r="J726" s="23"/>
      <c r="K726" s="23"/>
    </row>
    <row r="727" spans="1:11">
      <c r="A727" s="41"/>
      <c r="B727" s="41"/>
      <c r="C727" s="23"/>
      <c r="D727" s="23"/>
      <c r="F727" s="23"/>
      <c r="H727" s="23"/>
      <c r="I727" s="23"/>
      <c r="J727" s="23"/>
      <c r="K727" s="23"/>
    </row>
    <row r="728" spans="1:11">
      <c r="A728" s="41"/>
      <c r="B728" s="41"/>
      <c r="C728" s="23"/>
      <c r="D728" s="23"/>
      <c r="F728" s="23"/>
      <c r="H728" s="23"/>
      <c r="I728" s="23"/>
      <c r="J728" s="23"/>
      <c r="K728" s="23"/>
    </row>
    <row r="729" spans="1:11">
      <c r="A729" s="41"/>
      <c r="B729" s="41"/>
      <c r="C729" s="23"/>
      <c r="D729" s="23"/>
      <c r="F729" s="23"/>
      <c r="H729" s="23"/>
      <c r="I729" s="23"/>
      <c r="J729" s="23"/>
      <c r="K729" s="23"/>
    </row>
    <row r="730" spans="1:11">
      <c r="A730" s="41"/>
      <c r="B730" s="41"/>
      <c r="C730" s="23"/>
      <c r="D730" s="23"/>
      <c r="F730" s="23"/>
      <c r="H730" s="23"/>
      <c r="I730" s="23"/>
      <c r="J730" s="23"/>
      <c r="K730" s="23"/>
    </row>
    <row r="731" spans="1:11">
      <c r="A731" s="41"/>
      <c r="B731" s="41"/>
      <c r="C731" s="23"/>
      <c r="D731" s="23"/>
      <c r="F731" s="23"/>
      <c r="H731" s="23"/>
      <c r="I731" s="23"/>
      <c r="J731" s="23"/>
      <c r="K731" s="23"/>
    </row>
    <row r="732" spans="1:11">
      <c r="A732" s="41"/>
      <c r="B732" s="41"/>
      <c r="C732" s="23"/>
      <c r="D732" s="23"/>
      <c r="F732" s="23"/>
      <c r="H732" s="23"/>
      <c r="I732" s="23"/>
      <c r="J732" s="23"/>
      <c r="K732" s="23"/>
    </row>
    <row r="733" spans="1:11">
      <c r="A733" s="41"/>
      <c r="B733" s="41"/>
      <c r="C733" s="23"/>
      <c r="D733" s="23"/>
      <c r="F733" s="23"/>
      <c r="H733" s="23"/>
      <c r="I733" s="23"/>
      <c r="J733" s="23"/>
      <c r="K733" s="23"/>
    </row>
    <row r="734" spans="1:11">
      <c r="A734" s="41"/>
      <c r="B734" s="41"/>
      <c r="C734" s="23"/>
      <c r="D734" s="23"/>
      <c r="F734" s="23"/>
      <c r="H734" s="23"/>
      <c r="I734" s="23"/>
      <c r="J734" s="23"/>
      <c r="K734" s="23"/>
    </row>
    <row r="735" spans="1:11">
      <c r="A735" s="41"/>
      <c r="B735" s="41"/>
      <c r="C735" s="23"/>
      <c r="D735" s="23"/>
      <c r="F735" s="23"/>
      <c r="H735" s="23"/>
      <c r="I735" s="23"/>
      <c r="J735" s="23"/>
      <c r="K735" s="23"/>
    </row>
    <row r="736" spans="1:11">
      <c r="A736" s="41"/>
      <c r="B736" s="41"/>
      <c r="C736" s="23"/>
      <c r="D736" s="23"/>
      <c r="F736" s="23"/>
      <c r="H736" s="23"/>
      <c r="I736" s="23"/>
      <c r="J736" s="23"/>
      <c r="K736" s="23"/>
    </row>
    <row r="737" spans="1:11">
      <c r="A737" s="41"/>
      <c r="B737" s="41"/>
      <c r="C737" s="23"/>
      <c r="D737" s="23"/>
      <c r="F737" s="23"/>
      <c r="H737" s="23"/>
      <c r="I737" s="23"/>
      <c r="J737" s="23"/>
      <c r="K737" s="23"/>
    </row>
    <row r="738" spans="1:11">
      <c r="A738" s="41"/>
      <c r="B738" s="41"/>
      <c r="C738" s="23"/>
      <c r="D738" s="23"/>
      <c r="F738" s="23"/>
      <c r="H738" s="23"/>
      <c r="I738" s="23"/>
      <c r="J738" s="23"/>
      <c r="K738" s="23"/>
    </row>
    <row r="739" spans="1:11">
      <c r="A739" s="41"/>
      <c r="B739" s="41"/>
      <c r="C739" s="23"/>
      <c r="D739" s="23"/>
      <c r="F739" s="23"/>
      <c r="H739" s="23"/>
      <c r="I739" s="23"/>
      <c r="J739" s="23"/>
      <c r="K739" s="23"/>
    </row>
    <row r="740" spans="1:11">
      <c r="A740" s="41"/>
      <c r="B740" s="41"/>
      <c r="C740" s="23"/>
      <c r="D740" s="23"/>
      <c r="F740" s="23"/>
      <c r="H740" s="23"/>
      <c r="I740" s="23"/>
      <c r="J740" s="23"/>
      <c r="K740" s="23"/>
    </row>
    <row r="741" spans="1:11">
      <c r="A741" s="41"/>
      <c r="B741" s="41"/>
      <c r="C741" s="23"/>
      <c r="D741" s="23"/>
      <c r="F741" s="23"/>
      <c r="H741" s="23"/>
      <c r="I741" s="23"/>
      <c r="J741" s="23"/>
      <c r="K741" s="23"/>
    </row>
    <row r="742" spans="1:11">
      <c r="A742" s="41"/>
      <c r="B742" s="41"/>
      <c r="C742" s="23"/>
      <c r="D742" s="23"/>
      <c r="F742" s="23"/>
      <c r="H742" s="23"/>
      <c r="I742" s="23"/>
      <c r="J742" s="23"/>
      <c r="K742" s="23"/>
    </row>
    <row r="743" spans="1:11">
      <c r="A743" s="41"/>
      <c r="B743" s="41"/>
      <c r="C743" s="23"/>
      <c r="D743" s="23"/>
      <c r="F743" s="23"/>
      <c r="H743" s="23"/>
      <c r="I743" s="23"/>
      <c r="J743" s="23"/>
      <c r="K743" s="23"/>
    </row>
    <row r="744" spans="1:11">
      <c r="A744" s="41"/>
      <c r="B744" s="41"/>
      <c r="C744" s="23"/>
      <c r="D744" s="23"/>
      <c r="F744" s="23"/>
      <c r="H744" s="23"/>
      <c r="I744" s="23"/>
      <c r="J744" s="23"/>
      <c r="K744" s="23"/>
    </row>
    <row r="745" spans="1:11">
      <c r="A745" s="41"/>
      <c r="B745" s="41"/>
      <c r="C745" s="23"/>
      <c r="D745" s="23"/>
      <c r="F745" s="23"/>
      <c r="H745" s="23"/>
      <c r="I745" s="23"/>
      <c r="J745" s="23"/>
      <c r="K745" s="23"/>
    </row>
    <row r="746" spans="1:11">
      <c r="A746" s="41"/>
      <c r="B746" s="41"/>
      <c r="C746" s="23"/>
      <c r="D746" s="23"/>
      <c r="F746" s="23"/>
      <c r="H746" s="23"/>
      <c r="I746" s="23"/>
      <c r="J746" s="23"/>
      <c r="K746" s="23"/>
    </row>
    <row r="747" spans="1:11">
      <c r="A747" s="41"/>
      <c r="B747" s="41"/>
      <c r="C747" s="23"/>
      <c r="D747" s="23"/>
      <c r="F747" s="23"/>
      <c r="H747" s="23"/>
      <c r="I747" s="23"/>
      <c r="J747" s="23"/>
      <c r="K747" s="23"/>
    </row>
    <row r="748" spans="1:11">
      <c r="A748" s="41"/>
      <c r="B748" s="41"/>
      <c r="C748" s="23"/>
      <c r="D748" s="23"/>
      <c r="F748" s="23"/>
      <c r="H748" s="23"/>
      <c r="I748" s="23"/>
      <c r="J748" s="23"/>
      <c r="K748" s="23"/>
    </row>
    <row r="749" spans="1:11">
      <c r="A749" s="41"/>
      <c r="B749" s="41"/>
      <c r="C749" s="23"/>
      <c r="D749" s="23"/>
      <c r="F749" s="23"/>
      <c r="H749" s="23"/>
      <c r="I749" s="23"/>
      <c r="J749" s="23"/>
      <c r="K749" s="23"/>
    </row>
    <row r="750" spans="1:11">
      <c r="A750" s="41"/>
      <c r="B750" s="41"/>
      <c r="C750" s="23"/>
      <c r="D750" s="23"/>
      <c r="F750" s="23"/>
      <c r="H750" s="23"/>
      <c r="I750" s="23"/>
      <c r="J750" s="23"/>
      <c r="K750" s="23"/>
    </row>
    <row r="751" spans="1:11">
      <c r="A751" s="41"/>
      <c r="B751" s="41"/>
      <c r="C751" s="23"/>
      <c r="D751" s="23"/>
      <c r="F751" s="23"/>
      <c r="H751" s="23"/>
      <c r="I751" s="23"/>
      <c r="J751" s="23"/>
      <c r="K751" s="23"/>
    </row>
    <row r="752" spans="1:11">
      <c r="A752" s="41"/>
      <c r="B752" s="41"/>
      <c r="C752" s="23"/>
      <c r="D752" s="23"/>
      <c r="F752" s="23"/>
      <c r="H752" s="23"/>
      <c r="I752" s="23"/>
      <c r="J752" s="23"/>
      <c r="K752" s="23"/>
    </row>
    <row r="753" spans="1:11">
      <c r="A753" s="41"/>
      <c r="B753" s="41"/>
      <c r="C753" s="23"/>
      <c r="D753" s="23"/>
      <c r="F753" s="23"/>
      <c r="H753" s="23"/>
      <c r="I753" s="23"/>
      <c r="J753" s="23"/>
      <c r="K753" s="23"/>
    </row>
    <row r="754" spans="1:11">
      <c r="A754" s="41"/>
      <c r="B754" s="41"/>
      <c r="C754" s="23"/>
      <c r="D754" s="23"/>
      <c r="F754" s="23"/>
      <c r="H754" s="23"/>
      <c r="I754" s="23"/>
      <c r="J754" s="23"/>
      <c r="K754" s="23"/>
    </row>
    <row r="755" spans="1:11">
      <c r="A755" s="41"/>
      <c r="B755" s="41"/>
      <c r="C755" s="23"/>
      <c r="D755" s="23"/>
      <c r="F755" s="23"/>
      <c r="H755" s="23"/>
      <c r="I755" s="23"/>
      <c r="J755" s="23"/>
      <c r="K755" s="23"/>
    </row>
    <row r="756" spans="1:11">
      <c r="A756" s="41"/>
      <c r="B756" s="41"/>
      <c r="C756" s="23"/>
      <c r="D756" s="23"/>
      <c r="F756" s="23"/>
      <c r="H756" s="23"/>
      <c r="I756" s="23"/>
      <c r="J756" s="23"/>
      <c r="K756" s="23"/>
    </row>
    <row r="757" spans="1:11">
      <c r="A757" s="41"/>
      <c r="B757" s="41"/>
      <c r="C757" s="23"/>
      <c r="D757" s="23"/>
      <c r="F757" s="23"/>
      <c r="H757" s="23"/>
      <c r="I757" s="23"/>
      <c r="J757" s="23"/>
      <c r="K757" s="23"/>
    </row>
    <row r="758" spans="1:11">
      <c r="A758" s="41"/>
      <c r="B758" s="41"/>
      <c r="C758" s="23"/>
      <c r="D758" s="23"/>
      <c r="F758" s="23"/>
      <c r="H758" s="23"/>
      <c r="I758" s="23"/>
      <c r="J758" s="23"/>
      <c r="K758" s="23"/>
    </row>
    <row r="759" spans="1:11">
      <c r="A759" s="41"/>
      <c r="B759" s="41"/>
      <c r="C759" s="23"/>
      <c r="D759" s="23"/>
      <c r="F759" s="23"/>
      <c r="H759" s="23"/>
      <c r="I759" s="23"/>
      <c r="J759" s="23"/>
      <c r="K759" s="23"/>
    </row>
    <row r="760" spans="1:11">
      <c r="A760" s="41"/>
      <c r="B760" s="41"/>
      <c r="C760" s="23"/>
      <c r="D760" s="23"/>
      <c r="F760" s="23"/>
      <c r="H760" s="23"/>
      <c r="I760" s="23"/>
      <c r="J760" s="23"/>
      <c r="K760" s="23"/>
    </row>
    <row r="761" spans="1:11">
      <c r="A761" s="41"/>
      <c r="B761" s="41"/>
      <c r="C761" s="23"/>
      <c r="D761" s="23"/>
      <c r="F761" s="23"/>
      <c r="H761" s="23"/>
      <c r="I761" s="23"/>
      <c r="J761" s="23"/>
      <c r="K761" s="23"/>
    </row>
    <row r="762" spans="1:11">
      <c r="A762" s="41"/>
      <c r="B762" s="41"/>
      <c r="C762" s="23"/>
      <c r="D762" s="23"/>
      <c r="F762" s="23"/>
      <c r="H762" s="23"/>
      <c r="I762" s="23"/>
      <c r="J762" s="23"/>
      <c r="K762" s="23"/>
    </row>
    <row r="763" spans="1:11">
      <c r="A763" s="41"/>
      <c r="B763" s="41"/>
      <c r="C763" s="23"/>
      <c r="D763" s="23"/>
      <c r="F763" s="23"/>
      <c r="H763" s="23"/>
      <c r="I763" s="23"/>
      <c r="J763" s="23"/>
      <c r="K763" s="23"/>
    </row>
    <row r="764" spans="1:11">
      <c r="A764" s="41"/>
      <c r="B764" s="41"/>
      <c r="C764" s="23"/>
      <c r="D764" s="23"/>
      <c r="F764" s="23"/>
      <c r="H764" s="23"/>
      <c r="I764" s="23"/>
      <c r="J764" s="23"/>
      <c r="K764" s="23"/>
    </row>
    <row r="765" spans="1:11">
      <c r="A765" s="41"/>
      <c r="B765" s="41"/>
      <c r="C765" s="23"/>
      <c r="D765" s="23"/>
      <c r="F765" s="23"/>
      <c r="H765" s="23"/>
      <c r="I765" s="23"/>
      <c r="J765" s="23"/>
      <c r="K765" s="23"/>
    </row>
    <row r="766" spans="1:11">
      <c r="A766" s="41"/>
      <c r="B766" s="41"/>
      <c r="C766" s="23"/>
      <c r="D766" s="23"/>
      <c r="F766" s="23"/>
      <c r="H766" s="23"/>
      <c r="I766" s="23"/>
      <c r="J766" s="23"/>
      <c r="K766" s="23"/>
    </row>
    <row r="767" spans="1:11">
      <c r="A767" s="41"/>
      <c r="B767" s="41"/>
      <c r="C767" s="23"/>
      <c r="D767" s="23"/>
      <c r="F767" s="23"/>
      <c r="H767" s="23"/>
      <c r="I767" s="23"/>
      <c r="J767" s="23"/>
      <c r="K767" s="23"/>
    </row>
    <row r="768" spans="1:11">
      <c r="A768" s="41"/>
      <c r="B768" s="41"/>
      <c r="C768" s="23"/>
      <c r="D768" s="23"/>
      <c r="F768" s="23"/>
      <c r="H768" s="23"/>
      <c r="I768" s="23"/>
      <c r="J768" s="23"/>
      <c r="K768" s="23"/>
    </row>
    <row r="769" spans="1:11">
      <c r="A769" s="41"/>
      <c r="B769" s="41"/>
      <c r="C769" s="23"/>
      <c r="D769" s="23"/>
      <c r="F769" s="23"/>
      <c r="H769" s="23"/>
      <c r="I769" s="23"/>
      <c r="J769" s="23"/>
      <c r="K769" s="23"/>
    </row>
    <row r="770" spans="1:11">
      <c r="A770" s="41"/>
      <c r="B770" s="41"/>
      <c r="C770" s="23"/>
      <c r="D770" s="23"/>
      <c r="F770" s="23"/>
      <c r="H770" s="23"/>
      <c r="I770" s="23"/>
      <c r="J770" s="23"/>
      <c r="K770" s="23"/>
    </row>
    <row r="771" spans="1:11">
      <c r="A771" s="41"/>
      <c r="B771" s="41"/>
      <c r="C771" s="23"/>
      <c r="D771" s="23"/>
      <c r="F771" s="23"/>
      <c r="H771" s="23"/>
      <c r="I771" s="23"/>
      <c r="J771" s="23"/>
      <c r="K771" s="23"/>
    </row>
    <row r="772" spans="1:11">
      <c r="A772" s="41"/>
      <c r="B772" s="41"/>
      <c r="C772" s="23"/>
      <c r="D772" s="23"/>
      <c r="F772" s="23"/>
      <c r="H772" s="23"/>
      <c r="I772" s="23"/>
      <c r="J772" s="23"/>
      <c r="K772" s="23"/>
    </row>
    <row r="773" spans="1:11">
      <c r="A773" s="41"/>
      <c r="B773" s="41"/>
      <c r="C773" s="23"/>
      <c r="D773" s="23"/>
      <c r="F773" s="23"/>
      <c r="H773" s="23"/>
      <c r="I773" s="23"/>
      <c r="J773" s="23"/>
      <c r="K773" s="23"/>
    </row>
    <row r="774" spans="1:11">
      <c r="A774" s="41"/>
      <c r="B774" s="41"/>
      <c r="C774" s="23"/>
      <c r="D774" s="23"/>
      <c r="F774" s="23"/>
      <c r="H774" s="23"/>
      <c r="I774" s="23"/>
      <c r="J774" s="23"/>
      <c r="K774" s="23"/>
    </row>
    <row r="775" spans="1:11">
      <c r="A775" s="41"/>
      <c r="B775" s="41"/>
      <c r="C775" s="23"/>
      <c r="D775" s="23"/>
      <c r="F775" s="23"/>
      <c r="H775" s="23"/>
      <c r="I775" s="23"/>
      <c r="J775" s="23"/>
      <c r="K775" s="23"/>
    </row>
    <row r="776" spans="1:11">
      <c r="A776" s="41"/>
      <c r="B776" s="41"/>
      <c r="C776" s="23"/>
      <c r="D776" s="23"/>
      <c r="F776" s="23"/>
      <c r="H776" s="23"/>
      <c r="I776" s="23"/>
      <c r="J776" s="23"/>
      <c r="K776" s="23"/>
    </row>
    <row r="777" spans="1:11">
      <c r="A777" s="41"/>
      <c r="B777" s="41"/>
      <c r="C777" s="23"/>
      <c r="D777" s="23"/>
      <c r="F777" s="23"/>
      <c r="H777" s="23"/>
      <c r="I777" s="23"/>
      <c r="J777" s="23"/>
      <c r="K777" s="23"/>
    </row>
    <row r="778" spans="1:11">
      <c r="A778" s="41"/>
      <c r="B778" s="41"/>
      <c r="C778" s="23"/>
      <c r="D778" s="23"/>
      <c r="F778" s="23"/>
      <c r="H778" s="23"/>
      <c r="I778" s="23"/>
      <c r="J778" s="23"/>
      <c r="K778" s="23"/>
    </row>
    <row r="779" spans="1:11">
      <c r="A779" s="41"/>
      <c r="B779" s="41"/>
      <c r="C779" s="23"/>
      <c r="D779" s="23"/>
      <c r="F779" s="23"/>
      <c r="H779" s="23"/>
      <c r="I779" s="23"/>
      <c r="J779" s="23"/>
      <c r="K779" s="23"/>
    </row>
    <row r="780" spans="1:11">
      <c r="A780" s="41"/>
      <c r="B780" s="41"/>
      <c r="C780" s="23"/>
      <c r="D780" s="23"/>
      <c r="F780" s="23"/>
      <c r="H780" s="23"/>
      <c r="I780" s="23"/>
      <c r="J780" s="23"/>
      <c r="K780" s="23"/>
    </row>
    <row r="781" spans="1:11">
      <c r="A781" s="41"/>
      <c r="B781" s="41"/>
      <c r="C781" s="23"/>
      <c r="D781" s="23"/>
      <c r="F781" s="23"/>
      <c r="H781" s="23"/>
      <c r="I781" s="23"/>
      <c r="J781" s="23"/>
      <c r="K781" s="23"/>
    </row>
    <row r="782" spans="1:11">
      <c r="A782" s="41"/>
      <c r="B782" s="41"/>
      <c r="C782" s="23"/>
      <c r="D782" s="23"/>
      <c r="F782" s="23"/>
      <c r="H782" s="23"/>
      <c r="I782" s="23"/>
      <c r="J782" s="23"/>
      <c r="K782" s="23"/>
    </row>
    <row r="783" spans="1:11">
      <c r="A783" s="41"/>
      <c r="B783" s="41"/>
      <c r="C783" s="23"/>
      <c r="D783" s="23"/>
      <c r="F783" s="23"/>
      <c r="H783" s="23"/>
      <c r="I783" s="23"/>
      <c r="J783" s="23"/>
      <c r="K783" s="23"/>
    </row>
    <row r="784" spans="1:11">
      <c r="A784" s="41"/>
      <c r="B784" s="41"/>
      <c r="C784" s="23"/>
      <c r="D784" s="23"/>
      <c r="F784" s="23"/>
      <c r="H784" s="23"/>
      <c r="I784" s="23"/>
      <c r="J784" s="23"/>
      <c r="K784" s="23"/>
    </row>
    <row r="785" spans="1:11">
      <c r="A785" s="41"/>
      <c r="B785" s="41"/>
      <c r="C785" s="23"/>
      <c r="D785" s="23"/>
      <c r="F785" s="23"/>
      <c r="H785" s="23"/>
      <c r="I785" s="23"/>
      <c r="J785" s="23"/>
      <c r="K785" s="23"/>
    </row>
    <row r="786" spans="1:11">
      <c r="A786" s="41"/>
      <c r="B786" s="41"/>
      <c r="C786" s="23"/>
      <c r="D786" s="23"/>
      <c r="F786" s="23"/>
      <c r="H786" s="23"/>
      <c r="I786" s="23"/>
      <c r="J786" s="23"/>
      <c r="K786" s="23"/>
    </row>
    <row r="787" spans="1:11">
      <c r="A787" s="41"/>
      <c r="B787" s="41"/>
      <c r="C787" s="23"/>
      <c r="D787" s="23"/>
      <c r="F787" s="23"/>
      <c r="H787" s="23"/>
      <c r="I787" s="23"/>
      <c r="J787" s="23"/>
      <c r="K787" s="23"/>
    </row>
    <row r="788" spans="1:11">
      <c r="A788" s="41"/>
      <c r="B788" s="41"/>
      <c r="C788" s="23"/>
      <c r="D788" s="23"/>
      <c r="F788" s="23"/>
      <c r="H788" s="23"/>
      <c r="I788" s="23"/>
      <c r="J788" s="23"/>
      <c r="K788" s="23"/>
    </row>
    <row r="789" spans="1:11">
      <c r="A789" s="41"/>
      <c r="B789" s="41"/>
      <c r="C789" s="23"/>
      <c r="D789" s="23"/>
      <c r="F789" s="23"/>
      <c r="H789" s="23"/>
      <c r="I789" s="23"/>
      <c r="J789" s="23"/>
      <c r="K789" s="23"/>
    </row>
    <row r="790" spans="1:11">
      <c r="A790" s="41"/>
      <c r="B790" s="41"/>
      <c r="C790" s="23"/>
      <c r="D790" s="23"/>
      <c r="F790" s="23"/>
      <c r="H790" s="23"/>
      <c r="I790" s="23"/>
      <c r="J790" s="23"/>
      <c r="K790" s="23"/>
    </row>
    <row r="791" spans="1:11">
      <c r="A791" s="41"/>
      <c r="B791" s="41"/>
      <c r="C791" s="23"/>
      <c r="D791" s="23"/>
      <c r="F791" s="23"/>
      <c r="H791" s="23"/>
      <c r="I791" s="23"/>
      <c r="J791" s="23"/>
      <c r="K791" s="23"/>
    </row>
    <row r="792" spans="1:11">
      <c r="A792" s="41"/>
      <c r="B792" s="41"/>
      <c r="C792" s="23"/>
      <c r="D792" s="23"/>
      <c r="F792" s="23"/>
      <c r="H792" s="23"/>
      <c r="I792" s="23"/>
      <c r="J792" s="23"/>
      <c r="K792" s="23"/>
    </row>
    <row r="793" spans="1:11">
      <c r="A793" s="41"/>
      <c r="B793" s="41"/>
      <c r="C793" s="23"/>
      <c r="D793" s="23"/>
      <c r="F793" s="23"/>
      <c r="H793" s="23"/>
      <c r="I793" s="23"/>
      <c r="J793" s="23"/>
      <c r="K793" s="23"/>
    </row>
    <row r="794" spans="1:11">
      <c r="A794" s="41"/>
      <c r="B794" s="41"/>
      <c r="C794" s="23"/>
      <c r="D794" s="23"/>
      <c r="F794" s="23"/>
      <c r="H794" s="23"/>
      <c r="I794" s="23"/>
      <c r="J794" s="23"/>
      <c r="K794" s="23"/>
    </row>
    <row r="795" spans="1:11">
      <c r="A795" s="41"/>
      <c r="B795" s="41"/>
      <c r="C795" s="23"/>
      <c r="D795" s="23"/>
      <c r="F795" s="23"/>
      <c r="H795" s="23"/>
      <c r="I795" s="23"/>
      <c r="J795" s="23"/>
      <c r="K795" s="23"/>
    </row>
    <row r="796" spans="1:11">
      <c r="A796" s="41"/>
      <c r="B796" s="41"/>
      <c r="C796" s="23"/>
      <c r="D796" s="23"/>
      <c r="F796" s="23"/>
      <c r="H796" s="23"/>
      <c r="I796" s="23"/>
      <c r="J796" s="23"/>
      <c r="K796" s="23"/>
    </row>
    <row r="797" spans="1:11">
      <c r="A797" s="41"/>
      <c r="B797" s="41"/>
      <c r="C797" s="23"/>
      <c r="D797" s="23"/>
      <c r="F797" s="23"/>
      <c r="H797" s="23"/>
      <c r="I797" s="23"/>
      <c r="J797" s="23"/>
      <c r="K797" s="23"/>
    </row>
    <row r="798" spans="1:11">
      <c r="A798" s="41"/>
      <c r="B798" s="41"/>
      <c r="C798" s="23"/>
      <c r="D798" s="23"/>
      <c r="F798" s="23"/>
      <c r="H798" s="23"/>
      <c r="I798" s="23"/>
      <c r="J798" s="23"/>
      <c r="K798" s="23"/>
    </row>
    <row r="799" spans="1:11">
      <c r="A799" s="41"/>
      <c r="B799" s="41"/>
      <c r="C799" s="23"/>
      <c r="D799" s="23"/>
      <c r="F799" s="23"/>
      <c r="H799" s="23"/>
      <c r="I799" s="23"/>
      <c r="J799" s="23"/>
      <c r="K799" s="23"/>
    </row>
    <row r="800" spans="1:11">
      <c r="A800" s="41"/>
      <c r="B800" s="41"/>
      <c r="C800" s="23"/>
      <c r="D800" s="23"/>
      <c r="F800" s="23"/>
      <c r="H800" s="23"/>
      <c r="I800" s="23"/>
      <c r="J800" s="23"/>
      <c r="K800" s="23"/>
    </row>
    <row r="801" spans="1:11">
      <c r="A801" s="41"/>
      <c r="B801" s="41"/>
      <c r="C801" s="23"/>
      <c r="D801" s="23"/>
      <c r="F801" s="23"/>
      <c r="H801" s="23"/>
      <c r="I801" s="23"/>
      <c r="J801" s="23"/>
      <c r="K801" s="23"/>
    </row>
    <row r="802" spans="1:11">
      <c r="A802" s="41"/>
      <c r="B802" s="41"/>
      <c r="C802" s="23"/>
      <c r="D802" s="23"/>
      <c r="F802" s="23"/>
      <c r="H802" s="23"/>
      <c r="I802" s="23"/>
      <c r="J802" s="23"/>
      <c r="K802" s="23"/>
    </row>
    <row r="803" spans="1:11">
      <c r="A803" s="41"/>
      <c r="B803" s="41"/>
      <c r="C803" s="23"/>
      <c r="D803" s="23"/>
      <c r="F803" s="23"/>
      <c r="H803" s="23"/>
      <c r="I803" s="23"/>
      <c r="J803" s="23"/>
      <c r="K803" s="23"/>
    </row>
    <row r="804" spans="1:11">
      <c r="A804" s="41"/>
      <c r="B804" s="41"/>
      <c r="C804" s="23"/>
      <c r="D804" s="23"/>
      <c r="F804" s="23"/>
      <c r="H804" s="23"/>
      <c r="I804" s="23"/>
      <c r="J804" s="23"/>
      <c r="K804" s="23"/>
    </row>
    <row r="805" spans="1:11">
      <c r="A805" s="41"/>
      <c r="B805" s="41"/>
      <c r="C805" s="23"/>
      <c r="D805" s="23"/>
      <c r="F805" s="23"/>
      <c r="H805" s="23"/>
      <c r="I805" s="23"/>
      <c r="J805" s="23"/>
      <c r="K805" s="23"/>
    </row>
    <row r="806" spans="1:11">
      <c r="A806" s="41"/>
      <c r="B806" s="41"/>
      <c r="C806" s="23"/>
      <c r="D806" s="23"/>
      <c r="F806" s="23"/>
      <c r="H806" s="23"/>
      <c r="I806" s="23"/>
      <c r="J806" s="23"/>
      <c r="K806" s="23"/>
    </row>
    <row r="807" spans="1:11">
      <c r="A807" s="41"/>
      <c r="B807" s="41"/>
      <c r="C807" s="23"/>
      <c r="D807" s="23"/>
      <c r="F807" s="23"/>
      <c r="H807" s="23"/>
      <c r="I807" s="23"/>
      <c r="J807" s="23"/>
      <c r="K807" s="23"/>
    </row>
    <row r="808" spans="1:11">
      <c r="A808" s="41"/>
      <c r="B808" s="41"/>
      <c r="C808" s="23"/>
      <c r="D808" s="23"/>
      <c r="F808" s="23"/>
      <c r="H808" s="23"/>
      <c r="I808" s="23"/>
      <c r="J808" s="23"/>
      <c r="K808" s="23"/>
    </row>
    <row r="809" spans="1:11">
      <c r="A809" s="41"/>
      <c r="B809" s="41"/>
      <c r="C809" s="23"/>
      <c r="D809" s="23"/>
      <c r="F809" s="23"/>
      <c r="H809" s="23"/>
      <c r="I809" s="23"/>
      <c r="J809" s="23"/>
      <c r="K809" s="23"/>
    </row>
    <row r="810" spans="1:11">
      <c r="A810" s="41"/>
      <c r="B810" s="41"/>
      <c r="C810" s="23"/>
      <c r="D810" s="23"/>
      <c r="F810" s="23"/>
      <c r="H810" s="23"/>
      <c r="I810" s="23"/>
      <c r="J810" s="23"/>
      <c r="K810" s="23"/>
    </row>
    <row r="811" spans="1:11">
      <c r="A811" s="41"/>
      <c r="B811" s="41"/>
      <c r="C811" s="23"/>
      <c r="D811" s="23"/>
      <c r="F811" s="23"/>
      <c r="H811" s="23"/>
      <c r="I811" s="23"/>
      <c r="J811" s="23"/>
      <c r="K811" s="23"/>
    </row>
    <row r="812" spans="1:11">
      <c r="A812" s="41"/>
      <c r="B812" s="41"/>
      <c r="C812" s="23"/>
      <c r="D812" s="23"/>
      <c r="F812" s="23"/>
      <c r="H812" s="23"/>
      <c r="I812" s="23"/>
      <c r="J812" s="23"/>
      <c r="K812" s="23"/>
    </row>
    <row r="813" spans="1:11">
      <c r="A813" s="41"/>
      <c r="B813" s="41"/>
      <c r="C813" s="23"/>
      <c r="D813" s="23"/>
      <c r="F813" s="23"/>
      <c r="H813" s="23"/>
      <c r="I813" s="23"/>
      <c r="J813" s="23"/>
      <c r="K813" s="23"/>
    </row>
    <row r="814" spans="1:11">
      <c r="A814" s="41"/>
      <c r="B814" s="41"/>
      <c r="C814" s="23"/>
      <c r="D814" s="23"/>
      <c r="F814" s="23"/>
      <c r="H814" s="23"/>
      <c r="I814" s="23"/>
      <c r="J814" s="23"/>
      <c r="K814" s="23"/>
    </row>
    <row r="815" spans="1:11">
      <c r="A815" s="41"/>
      <c r="B815" s="41"/>
      <c r="C815" s="23"/>
      <c r="D815" s="23"/>
      <c r="F815" s="23"/>
      <c r="H815" s="23"/>
      <c r="I815" s="23"/>
      <c r="J815" s="23"/>
      <c r="K815" s="23"/>
    </row>
    <row r="816" spans="1:11">
      <c r="A816" s="41"/>
      <c r="B816" s="41"/>
      <c r="C816" s="23"/>
      <c r="D816" s="23"/>
      <c r="F816" s="23"/>
      <c r="H816" s="23"/>
      <c r="I816" s="23"/>
      <c r="J816" s="23"/>
      <c r="K816" s="23"/>
    </row>
    <row r="817" spans="1:11">
      <c r="A817" s="41"/>
      <c r="B817" s="41"/>
      <c r="C817" s="23"/>
      <c r="D817" s="23"/>
      <c r="F817" s="23"/>
      <c r="H817" s="23"/>
      <c r="I817" s="23"/>
      <c r="J817" s="23"/>
      <c r="K817" s="23"/>
    </row>
    <row r="818" spans="1:11">
      <c r="A818" s="41"/>
      <c r="B818" s="41"/>
      <c r="C818" s="23"/>
      <c r="D818" s="23"/>
      <c r="F818" s="23"/>
      <c r="H818" s="23"/>
      <c r="I818" s="23"/>
      <c r="J818" s="23"/>
      <c r="K818" s="23"/>
    </row>
    <row r="819" spans="1:11">
      <c r="A819" s="41"/>
      <c r="B819" s="41"/>
      <c r="C819" s="23"/>
      <c r="D819" s="23"/>
      <c r="F819" s="23"/>
      <c r="H819" s="23"/>
      <c r="I819" s="23"/>
      <c r="J819" s="23"/>
      <c r="K819" s="23"/>
    </row>
    <row r="820" spans="1:11">
      <c r="A820" s="41"/>
      <c r="B820" s="41"/>
      <c r="C820" s="23"/>
      <c r="D820" s="23"/>
      <c r="F820" s="23"/>
      <c r="H820" s="23"/>
      <c r="I820" s="23"/>
      <c r="J820" s="23"/>
      <c r="K820" s="23"/>
    </row>
    <row r="821" spans="1:11">
      <c r="A821" s="41"/>
      <c r="B821" s="41"/>
      <c r="C821" s="23"/>
      <c r="D821" s="23"/>
      <c r="F821" s="23"/>
      <c r="H821" s="23"/>
      <c r="I821" s="23"/>
      <c r="J821" s="23"/>
      <c r="K821" s="23"/>
    </row>
    <row r="822" spans="1:11">
      <c r="A822" s="41"/>
      <c r="B822" s="41"/>
      <c r="C822" s="23"/>
      <c r="D822" s="23"/>
      <c r="F822" s="23"/>
      <c r="H822" s="23"/>
      <c r="I822" s="23"/>
      <c r="J822" s="23"/>
      <c r="K822" s="23"/>
    </row>
    <row r="823" spans="1:11">
      <c r="A823" s="41"/>
      <c r="B823" s="41"/>
      <c r="C823" s="23"/>
      <c r="D823" s="23"/>
      <c r="F823" s="23"/>
      <c r="H823" s="23"/>
      <c r="I823" s="23"/>
      <c r="J823" s="23"/>
      <c r="K823" s="23"/>
    </row>
    <row r="824" spans="1:11">
      <c r="A824" s="41"/>
      <c r="B824" s="41"/>
      <c r="C824" s="23"/>
      <c r="D824" s="23"/>
      <c r="F824" s="23"/>
      <c r="H824" s="23"/>
      <c r="I824" s="23"/>
      <c r="J824" s="23"/>
      <c r="K824" s="23"/>
    </row>
    <row r="825" spans="1:11">
      <c r="A825" s="41"/>
      <c r="B825" s="41"/>
      <c r="C825" s="23"/>
      <c r="D825" s="23"/>
      <c r="F825" s="23"/>
      <c r="H825" s="23"/>
      <c r="I825" s="23"/>
      <c r="J825" s="23"/>
      <c r="K825" s="23"/>
    </row>
    <row r="826" spans="1:11">
      <c r="A826" s="41"/>
      <c r="B826" s="41"/>
      <c r="C826" s="23"/>
      <c r="D826" s="23"/>
      <c r="F826" s="23"/>
      <c r="H826" s="23"/>
      <c r="I826" s="23"/>
      <c r="J826" s="23"/>
      <c r="K826" s="23"/>
    </row>
    <row r="827" spans="1:11">
      <c r="A827" s="41"/>
      <c r="B827" s="41"/>
      <c r="C827" s="23"/>
      <c r="D827" s="23"/>
      <c r="F827" s="23"/>
      <c r="H827" s="23"/>
      <c r="I827" s="23"/>
      <c r="J827" s="23"/>
      <c r="K827" s="23"/>
    </row>
    <row r="828" spans="1:11">
      <c r="A828" s="41"/>
      <c r="B828" s="41"/>
      <c r="C828" s="23"/>
      <c r="D828" s="23"/>
      <c r="F828" s="23"/>
      <c r="H828" s="23"/>
      <c r="I828" s="23"/>
      <c r="J828" s="23"/>
      <c r="K828" s="23"/>
    </row>
    <row r="829" spans="1:11">
      <c r="A829" s="41"/>
      <c r="B829" s="41"/>
      <c r="C829" s="23"/>
      <c r="D829" s="23"/>
      <c r="F829" s="23"/>
      <c r="H829" s="23"/>
      <c r="I829" s="23"/>
      <c r="J829" s="23"/>
      <c r="K829" s="23"/>
    </row>
    <row r="830" spans="1:11">
      <c r="A830" s="41"/>
      <c r="B830" s="41"/>
      <c r="C830" s="23"/>
      <c r="D830" s="23"/>
      <c r="F830" s="23"/>
      <c r="H830" s="23"/>
      <c r="I830" s="23"/>
      <c r="J830" s="23"/>
      <c r="K830" s="23"/>
    </row>
    <row r="831" spans="1:11">
      <c r="A831" s="41"/>
      <c r="B831" s="41"/>
      <c r="C831" s="23"/>
      <c r="D831" s="23"/>
      <c r="F831" s="23"/>
      <c r="H831" s="23"/>
      <c r="I831" s="23"/>
      <c r="J831" s="23"/>
      <c r="K831" s="23"/>
    </row>
    <row r="832" spans="1:11">
      <c r="A832" s="41"/>
      <c r="B832" s="41"/>
      <c r="C832" s="23"/>
      <c r="D832" s="23"/>
      <c r="F832" s="23"/>
      <c r="H832" s="23"/>
      <c r="I832" s="23"/>
      <c r="J832" s="23"/>
      <c r="K832" s="23"/>
    </row>
    <row r="833" spans="1:11">
      <c r="A833" s="41"/>
      <c r="B833" s="41"/>
      <c r="C833" s="23"/>
      <c r="D833" s="23"/>
      <c r="F833" s="23"/>
      <c r="H833" s="23"/>
      <c r="I833" s="23"/>
      <c r="J833" s="23"/>
      <c r="K833" s="23"/>
    </row>
    <row r="834" spans="1:11">
      <c r="A834" s="41"/>
      <c r="B834" s="41"/>
      <c r="C834" s="23"/>
      <c r="D834" s="23"/>
      <c r="F834" s="23"/>
      <c r="H834" s="23"/>
      <c r="I834" s="23"/>
      <c r="J834" s="23"/>
      <c r="K834" s="23"/>
    </row>
    <row r="835" spans="1:11">
      <c r="A835" s="41"/>
      <c r="B835" s="41"/>
      <c r="C835" s="23"/>
      <c r="D835" s="23"/>
      <c r="F835" s="23"/>
      <c r="H835" s="23"/>
      <c r="I835" s="23"/>
      <c r="J835" s="23"/>
      <c r="K835" s="23"/>
    </row>
    <row r="836" spans="1:11">
      <c r="A836" s="41"/>
      <c r="B836" s="41"/>
      <c r="C836" s="23"/>
      <c r="D836" s="23"/>
      <c r="F836" s="23"/>
      <c r="H836" s="23"/>
      <c r="I836" s="23"/>
      <c r="J836" s="23"/>
      <c r="K836" s="23"/>
    </row>
    <row r="837" spans="1:11">
      <c r="A837" s="41"/>
      <c r="B837" s="41"/>
      <c r="C837" s="23"/>
      <c r="D837" s="23"/>
      <c r="F837" s="23"/>
      <c r="H837" s="23"/>
      <c r="I837" s="23"/>
      <c r="J837" s="23"/>
      <c r="K837" s="23"/>
    </row>
    <row r="838" spans="1:11">
      <c r="A838" s="41"/>
      <c r="B838" s="41"/>
      <c r="C838" s="23"/>
      <c r="D838" s="23"/>
      <c r="F838" s="23"/>
      <c r="H838" s="23"/>
      <c r="I838" s="23"/>
      <c r="J838" s="23"/>
      <c r="K838" s="23"/>
    </row>
    <row r="839" spans="1:11">
      <c r="A839" s="41"/>
      <c r="B839" s="41"/>
      <c r="C839" s="23"/>
      <c r="D839" s="23"/>
      <c r="F839" s="23"/>
      <c r="H839" s="23"/>
      <c r="I839" s="23"/>
      <c r="J839" s="23"/>
      <c r="K839" s="23"/>
    </row>
    <row r="840" spans="1:11">
      <c r="A840" s="41"/>
      <c r="B840" s="41"/>
      <c r="C840" s="23"/>
      <c r="D840" s="23"/>
      <c r="F840" s="23"/>
      <c r="H840" s="23"/>
      <c r="I840" s="23"/>
      <c r="J840" s="23"/>
      <c r="K840" s="23"/>
    </row>
    <row r="841" spans="1:11">
      <c r="A841" s="41"/>
      <c r="B841" s="41"/>
      <c r="C841" s="23"/>
      <c r="D841" s="23"/>
      <c r="F841" s="23"/>
      <c r="H841" s="23"/>
      <c r="I841" s="23"/>
      <c r="J841" s="23"/>
      <c r="K841" s="23"/>
    </row>
    <row r="842" spans="1:11">
      <c r="A842" s="41"/>
      <c r="B842" s="41"/>
      <c r="C842" s="23"/>
      <c r="D842" s="23"/>
      <c r="F842" s="23"/>
      <c r="H842" s="23"/>
      <c r="I842" s="23"/>
      <c r="J842" s="23"/>
      <c r="K842" s="23"/>
    </row>
    <row r="843" spans="1:11">
      <c r="A843" s="41"/>
      <c r="B843" s="41"/>
      <c r="C843" s="23"/>
      <c r="D843" s="23"/>
      <c r="F843" s="23"/>
      <c r="H843" s="23"/>
      <c r="I843" s="23"/>
      <c r="J843" s="23"/>
      <c r="K843" s="23"/>
    </row>
    <row r="844" spans="1:11">
      <c r="A844" s="41"/>
      <c r="B844" s="41"/>
      <c r="C844" s="23"/>
      <c r="D844" s="23"/>
      <c r="F844" s="23"/>
      <c r="H844" s="23"/>
      <c r="I844" s="23"/>
      <c r="J844" s="23"/>
      <c r="K844" s="23"/>
    </row>
    <row r="845" spans="1:11">
      <c r="A845" s="41"/>
      <c r="B845" s="41"/>
      <c r="C845" s="23"/>
      <c r="D845" s="23"/>
      <c r="F845" s="23"/>
      <c r="H845" s="23"/>
      <c r="I845" s="23"/>
      <c r="J845" s="23"/>
      <c r="K845" s="23"/>
    </row>
    <row r="846" spans="1:11">
      <c r="A846" s="41"/>
      <c r="B846" s="41"/>
      <c r="C846" s="23"/>
      <c r="D846" s="23"/>
      <c r="F846" s="23"/>
      <c r="H846" s="23"/>
      <c r="I846" s="23"/>
      <c r="J846" s="23"/>
      <c r="K846" s="23"/>
    </row>
    <row r="847" spans="1:11">
      <c r="A847" s="41"/>
      <c r="B847" s="41"/>
      <c r="C847" s="23"/>
      <c r="D847" s="23"/>
      <c r="F847" s="23"/>
      <c r="H847" s="23"/>
      <c r="I847" s="23"/>
      <c r="J847" s="23"/>
      <c r="K847" s="23"/>
    </row>
    <row r="848" spans="1:11">
      <c r="A848" s="41"/>
      <c r="B848" s="41"/>
      <c r="C848" s="23"/>
      <c r="D848" s="23"/>
      <c r="F848" s="23"/>
      <c r="H848" s="23"/>
      <c r="I848" s="23"/>
      <c r="J848" s="23"/>
      <c r="K848" s="23"/>
    </row>
    <row r="849" spans="1:11">
      <c r="A849" s="41"/>
      <c r="B849" s="41"/>
      <c r="C849" s="23"/>
      <c r="D849" s="23"/>
      <c r="F849" s="23"/>
      <c r="H849" s="23"/>
      <c r="I849" s="23"/>
      <c r="J849" s="23"/>
      <c r="K849" s="23"/>
    </row>
    <row r="850" spans="1:11">
      <c r="A850" s="41"/>
      <c r="B850" s="41"/>
      <c r="C850" s="23"/>
      <c r="D850" s="23"/>
      <c r="F850" s="23"/>
      <c r="H850" s="23"/>
      <c r="I850" s="23"/>
      <c r="J850" s="23"/>
      <c r="K850" s="23"/>
    </row>
    <row r="851" spans="1:11">
      <c r="A851" s="41"/>
      <c r="B851" s="41"/>
      <c r="C851" s="23"/>
      <c r="D851" s="23"/>
      <c r="F851" s="23"/>
      <c r="H851" s="23"/>
      <c r="I851" s="23"/>
      <c r="J851" s="23"/>
      <c r="K851" s="23"/>
    </row>
    <row r="852" spans="1:11">
      <c r="A852" s="41"/>
      <c r="B852" s="41"/>
      <c r="C852" s="23"/>
      <c r="D852" s="23"/>
      <c r="F852" s="23"/>
      <c r="H852" s="23"/>
      <c r="I852" s="23"/>
      <c r="J852" s="23"/>
      <c r="K852" s="23"/>
    </row>
    <row r="853" spans="1:11">
      <c r="A853" s="41"/>
      <c r="B853" s="41"/>
      <c r="C853" s="23"/>
      <c r="D853" s="23"/>
      <c r="F853" s="23"/>
      <c r="H853" s="23"/>
      <c r="I853" s="23"/>
      <c r="J853" s="23"/>
      <c r="K853" s="23"/>
    </row>
    <row r="854" spans="1:11">
      <c r="A854" s="41"/>
      <c r="B854" s="41"/>
      <c r="C854" s="23"/>
      <c r="D854" s="23"/>
      <c r="F854" s="23"/>
      <c r="H854" s="23"/>
      <c r="I854" s="23"/>
      <c r="J854" s="23"/>
      <c r="K854" s="23"/>
    </row>
    <row r="855" spans="1:11">
      <c r="A855" s="41"/>
      <c r="B855" s="41"/>
      <c r="C855" s="23"/>
      <c r="D855" s="23"/>
      <c r="F855" s="23"/>
      <c r="H855" s="23"/>
      <c r="I855" s="23"/>
      <c r="J855" s="23"/>
      <c r="K855" s="23"/>
    </row>
    <row r="856" spans="1:11">
      <c r="A856" s="41"/>
      <c r="B856" s="41"/>
      <c r="C856" s="23"/>
      <c r="D856" s="23"/>
      <c r="F856" s="23"/>
      <c r="H856" s="23"/>
      <c r="I856" s="23"/>
      <c r="J856" s="23"/>
      <c r="K856" s="23"/>
    </row>
    <row r="857" spans="1:11">
      <c r="A857" s="41"/>
      <c r="B857" s="41"/>
      <c r="C857" s="23"/>
      <c r="D857" s="23"/>
      <c r="F857" s="23"/>
      <c r="H857" s="23"/>
      <c r="I857" s="23"/>
      <c r="J857" s="23"/>
      <c r="K857" s="23"/>
    </row>
    <row r="858" spans="1:11">
      <c r="A858" s="41"/>
      <c r="B858" s="41"/>
      <c r="C858" s="23"/>
      <c r="D858" s="23"/>
      <c r="F858" s="23"/>
      <c r="H858" s="23"/>
      <c r="I858" s="23"/>
      <c r="J858" s="23"/>
      <c r="K858" s="23"/>
    </row>
    <row r="859" spans="1:11">
      <c r="A859" s="41"/>
      <c r="B859" s="41"/>
      <c r="C859" s="23"/>
      <c r="D859" s="23"/>
      <c r="F859" s="23"/>
      <c r="H859" s="23"/>
      <c r="I859" s="23"/>
      <c r="J859" s="23"/>
      <c r="K859" s="23"/>
    </row>
    <row r="860" spans="1:11">
      <c r="A860" s="41"/>
      <c r="B860" s="41"/>
      <c r="C860" s="23"/>
      <c r="D860" s="23"/>
      <c r="F860" s="23"/>
      <c r="H860" s="23"/>
      <c r="I860" s="23"/>
      <c r="J860" s="23"/>
      <c r="K860" s="23"/>
    </row>
    <row r="861" spans="1:11">
      <c r="A861" s="41"/>
      <c r="B861" s="41"/>
      <c r="C861" s="23"/>
      <c r="D861" s="23"/>
      <c r="F861" s="23"/>
      <c r="H861" s="23"/>
      <c r="I861" s="23"/>
      <c r="J861" s="23"/>
      <c r="K861" s="23"/>
    </row>
    <row r="862" spans="1:11">
      <c r="A862" s="41"/>
      <c r="B862" s="41"/>
      <c r="C862" s="23"/>
      <c r="D862" s="23"/>
      <c r="F862" s="23"/>
      <c r="H862" s="23"/>
      <c r="I862" s="23"/>
      <c r="J862" s="23"/>
      <c r="K862" s="23"/>
    </row>
    <row r="863" spans="1:11">
      <c r="A863" s="41"/>
      <c r="B863" s="41"/>
      <c r="C863" s="23"/>
      <c r="D863" s="23"/>
      <c r="F863" s="23"/>
      <c r="H863" s="23"/>
      <c r="I863" s="23"/>
      <c r="J863" s="23"/>
      <c r="K863" s="23"/>
    </row>
    <row r="864" spans="1:11">
      <c r="A864" s="41"/>
      <c r="B864" s="41"/>
      <c r="C864" s="23"/>
      <c r="D864" s="23"/>
      <c r="F864" s="23"/>
      <c r="H864" s="23"/>
      <c r="I864" s="23"/>
      <c r="J864" s="23"/>
      <c r="K864" s="23"/>
    </row>
    <row r="865" spans="1:11">
      <c r="A865" s="41"/>
      <c r="B865" s="41"/>
      <c r="C865" s="23"/>
      <c r="D865" s="23"/>
      <c r="F865" s="23"/>
      <c r="H865" s="23"/>
      <c r="I865" s="23"/>
      <c r="J865" s="23"/>
      <c r="K865" s="23"/>
    </row>
    <row r="866" spans="1:11">
      <c r="A866" s="41"/>
      <c r="B866" s="41"/>
      <c r="C866" s="23"/>
      <c r="D866" s="23"/>
      <c r="F866" s="23"/>
      <c r="H866" s="23"/>
      <c r="I866" s="23"/>
      <c r="J866" s="23"/>
      <c r="K866" s="23"/>
    </row>
    <row r="867" spans="1:11">
      <c r="A867" s="41"/>
      <c r="B867" s="41"/>
      <c r="C867" s="23"/>
      <c r="D867" s="23"/>
      <c r="F867" s="23"/>
      <c r="H867" s="23"/>
      <c r="I867" s="23"/>
      <c r="J867" s="23"/>
      <c r="K867" s="23"/>
    </row>
    <row r="868" spans="1:11">
      <c r="A868" s="41"/>
      <c r="B868" s="41"/>
      <c r="C868" s="23"/>
      <c r="D868" s="23"/>
      <c r="F868" s="23"/>
      <c r="H868" s="23"/>
      <c r="I868" s="23"/>
      <c r="J868" s="23"/>
      <c r="K868" s="23"/>
    </row>
    <row r="869" spans="1:11">
      <c r="A869" s="41"/>
      <c r="B869" s="41"/>
      <c r="C869" s="23"/>
      <c r="D869" s="23"/>
      <c r="F869" s="23"/>
      <c r="H869" s="23"/>
      <c r="I869" s="23"/>
      <c r="J869" s="23"/>
      <c r="K869" s="23"/>
    </row>
    <row r="870" spans="1:11">
      <c r="A870" s="41"/>
      <c r="B870" s="41"/>
      <c r="C870" s="23"/>
      <c r="D870" s="23"/>
      <c r="F870" s="23"/>
      <c r="H870" s="23"/>
      <c r="I870" s="23"/>
      <c r="J870" s="23"/>
      <c r="K870" s="23"/>
    </row>
    <row r="871" spans="1:11">
      <c r="A871" s="41"/>
      <c r="B871" s="41"/>
      <c r="C871" s="23"/>
      <c r="D871" s="23"/>
      <c r="F871" s="23"/>
      <c r="H871" s="23"/>
      <c r="I871" s="23"/>
      <c r="J871" s="23"/>
      <c r="K871" s="23"/>
    </row>
    <row r="872" spans="1:11">
      <c r="A872" s="41"/>
      <c r="B872" s="41"/>
      <c r="C872" s="23"/>
      <c r="D872" s="23"/>
      <c r="F872" s="23"/>
      <c r="H872" s="23"/>
      <c r="I872" s="23"/>
      <c r="J872" s="23"/>
      <c r="K872" s="23"/>
    </row>
    <row r="873" spans="1:11">
      <c r="A873" s="41"/>
      <c r="B873" s="41"/>
      <c r="C873" s="23"/>
      <c r="D873" s="23"/>
      <c r="F873" s="23"/>
      <c r="H873" s="23"/>
      <c r="I873" s="23"/>
      <c r="J873" s="23"/>
      <c r="K873" s="23"/>
    </row>
    <row r="874" spans="1:11">
      <c r="A874" s="41"/>
      <c r="B874" s="41"/>
      <c r="C874" s="23"/>
      <c r="D874" s="23"/>
      <c r="F874" s="23"/>
      <c r="H874" s="23"/>
      <c r="I874" s="23"/>
      <c r="J874" s="23"/>
      <c r="K874" s="23"/>
    </row>
    <row r="875" spans="1:11">
      <c r="A875" s="41"/>
      <c r="B875" s="41"/>
      <c r="C875" s="23"/>
      <c r="D875" s="23"/>
      <c r="F875" s="23"/>
      <c r="H875" s="23"/>
      <c r="I875" s="23"/>
      <c r="J875" s="23"/>
      <c r="K875" s="23"/>
    </row>
    <row r="876" spans="1:11">
      <c r="A876" s="41"/>
      <c r="B876" s="41"/>
      <c r="C876" s="23"/>
      <c r="D876" s="23"/>
      <c r="F876" s="23"/>
      <c r="H876" s="23"/>
      <c r="I876" s="23"/>
      <c r="J876" s="23"/>
      <c r="K876" s="23"/>
    </row>
    <row r="877" spans="1:11">
      <c r="A877" s="41"/>
      <c r="B877" s="41"/>
      <c r="C877" s="23"/>
      <c r="D877" s="23"/>
      <c r="F877" s="23"/>
      <c r="H877" s="23"/>
      <c r="I877" s="23"/>
      <c r="J877" s="23"/>
      <c r="K877" s="23"/>
    </row>
    <row r="878" spans="1:11">
      <c r="A878" s="41"/>
      <c r="B878" s="41"/>
      <c r="C878" s="23"/>
      <c r="D878" s="23"/>
      <c r="F878" s="23"/>
      <c r="H878" s="23"/>
      <c r="I878" s="23"/>
      <c r="J878" s="23"/>
      <c r="K878" s="23"/>
    </row>
    <row r="879" spans="1:11">
      <c r="A879" s="41"/>
      <c r="B879" s="41"/>
      <c r="C879" s="23"/>
      <c r="D879" s="23"/>
      <c r="F879" s="23"/>
      <c r="H879" s="23"/>
      <c r="I879" s="23"/>
      <c r="J879" s="23"/>
      <c r="K879" s="23"/>
    </row>
    <row r="880" spans="1:11">
      <c r="A880" s="41"/>
      <c r="B880" s="41"/>
      <c r="C880" s="23"/>
      <c r="D880" s="23"/>
      <c r="F880" s="23"/>
      <c r="H880" s="23"/>
      <c r="I880" s="23"/>
      <c r="J880" s="23"/>
      <c r="K880" s="23"/>
    </row>
    <row r="881" spans="1:11">
      <c r="A881" s="41"/>
      <c r="B881" s="41"/>
      <c r="C881" s="23"/>
      <c r="D881" s="23"/>
      <c r="F881" s="23"/>
      <c r="H881" s="23"/>
      <c r="I881" s="23"/>
      <c r="J881" s="23"/>
      <c r="K881" s="23"/>
    </row>
    <row r="882" spans="1:11">
      <c r="A882" s="41"/>
      <c r="B882" s="41"/>
      <c r="C882" s="23"/>
      <c r="D882" s="23"/>
      <c r="F882" s="23"/>
      <c r="H882" s="23"/>
      <c r="I882" s="23"/>
      <c r="J882" s="23"/>
      <c r="K882" s="23"/>
    </row>
    <row r="883" spans="1:11">
      <c r="A883" s="41"/>
      <c r="B883" s="41"/>
      <c r="C883" s="23"/>
      <c r="D883" s="23"/>
      <c r="F883" s="23"/>
      <c r="H883" s="23"/>
      <c r="I883" s="23"/>
      <c r="J883" s="23"/>
      <c r="K883" s="23"/>
    </row>
    <row r="884" spans="1:11">
      <c r="A884" s="41"/>
      <c r="B884" s="41"/>
      <c r="C884" s="23"/>
      <c r="D884" s="23"/>
      <c r="F884" s="23"/>
      <c r="H884" s="23"/>
      <c r="I884" s="23"/>
      <c r="J884" s="23"/>
      <c r="K884" s="23"/>
    </row>
    <row r="885" spans="1:11">
      <c r="A885" s="41"/>
      <c r="B885" s="41"/>
      <c r="C885" s="23"/>
      <c r="D885" s="23"/>
      <c r="F885" s="23"/>
      <c r="H885" s="23"/>
      <c r="I885" s="23"/>
      <c r="J885" s="23"/>
      <c r="K885" s="23"/>
    </row>
    <row r="886" spans="1:11">
      <c r="A886" s="41"/>
      <c r="B886" s="41"/>
      <c r="C886" s="23"/>
      <c r="D886" s="23"/>
      <c r="F886" s="23"/>
      <c r="H886" s="23"/>
      <c r="I886" s="23"/>
      <c r="J886" s="23"/>
      <c r="K886" s="23"/>
    </row>
    <row r="887" spans="1:11">
      <c r="A887" s="41"/>
      <c r="B887" s="41"/>
      <c r="C887" s="23"/>
      <c r="D887" s="23"/>
      <c r="F887" s="23"/>
      <c r="H887" s="23"/>
      <c r="I887" s="23"/>
      <c r="J887" s="23"/>
      <c r="K887" s="23"/>
    </row>
    <row r="888" spans="1:11">
      <c r="A888" s="41"/>
      <c r="B888" s="41"/>
      <c r="C888" s="23"/>
      <c r="D888" s="23"/>
      <c r="F888" s="23"/>
      <c r="H888" s="23"/>
      <c r="I888" s="23"/>
      <c r="J888" s="23"/>
      <c r="K888" s="23"/>
    </row>
    <row r="889" spans="1:11">
      <c r="A889" s="41"/>
      <c r="B889" s="41"/>
      <c r="C889" s="23"/>
      <c r="D889" s="23"/>
      <c r="F889" s="23"/>
      <c r="H889" s="23"/>
      <c r="I889" s="23"/>
      <c r="J889" s="23"/>
      <c r="K889" s="23"/>
    </row>
    <row r="890" spans="1:11">
      <c r="A890" s="41"/>
      <c r="B890" s="41"/>
      <c r="C890" s="23"/>
      <c r="D890" s="23"/>
      <c r="F890" s="23"/>
      <c r="H890" s="23"/>
      <c r="I890" s="23"/>
      <c r="J890" s="23"/>
      <c r="K890" s="23"/>
    </row>
    <row r="891" spans="1:11">
      <c r="A891" s="41"/>
      <c r="B891" s="41"/>
      <c r="C891" s="23"/>
      <c r="D891" s="23"/>
      <c r="F891" s="23"/>
      <c r="H891" s="23"/>
      <c r="I891" s="23"/>
      <c r="J891" s="23"/>
      <c r="K891" s="23"/>
    </row>
    <row r="892" spans="1:11">
      <c r="A892" s="41"/>
      <c r="B892" s="41"/>
      <c r="C892" s="23"/>
      <c r="D892" s="23"/>
      <c r="F892" s="23"/>
      <c r="H892" s="23"/>
      <c r="I892" s="23"/>
      <c r="J892" s="23"/>
      <c r="K892" s="23"/>
    </row>
    <row r="893" spans="1:11">
      <c r="A893" s="41"/>
      <c r="B893" s="41"/>
      <c r="C893" s="23"/>
      <c r="D893" s="23"/>
      <c r="F893" s="23"/>
      <c r="H893" s="23"/>
      <c r="I893" s="23"/>
      <c r="J893" s="23"/>
      <c r="K893" s="23"/>
    </row>
    <row r="894" spans="1:11">
      <c r="A894" s="41"/>
      <c r="B894" s="41"/>
      <c r="C894" s="23"/>
      <c r="D894" s="23"/>
      <c r="F894" s="23"/>
      <c r="H894" s="23"/>
      <c r="I894" s="23"/>
      <c r="J894" s="23"/>
      <c r="K894" s="23"/>
    </row>
    <row r="895" spans="1:11">
      <c r="A895" s="41"/>
      <c r="B895" s="41"/>
      <c r="C895" s="23"/>
      <c r="D895" s="23"/>
      <c r="F895" s="23"/>
      <c r="H895" s="23"/>
      <c r="I895" s="23"/>
      <c r="J895" s="23"/>
      <c r="K895" s="23"/>
    </row>
    <row r="896" spans="1:11">
      <c r="A896" s="41"/>
      <c r="B896" s="41"/>
      <c r="C896" s="23"/>
      <c r="D896" s="23"/>
      <c r="F896" s="23"/>
      <c r="H896" s="23"/>
      <c r="I896" s="23"/>
      <c r="J896" s="23"/>
      <c r="K896" s="23"/>
    </row>
    <row r="897" spans="1:11">
      <c r="A897" s="41"/>
      <c r="B897" s="41"/>
      <c r="C897" s="23"/>
      <c r="D897" s="23"/>
      <c r="F897" s="23"/>
      <c r="H897" s="23"/>
      <c r="I897" s="23"/>
      <c r="J897" s="23"/>
      <c r="K897" s="23"/>
    </row>
    <row r="898" spans="1:11">
      <c r="A898" s="41"/>
      <c r="B898" s="41"/>
      <c r="C898" s="23"/>
      <c r="D898" s="23"/>
      <c r="F898" s="23"/>
      <c r="H898" s="23"/>
      <c r="I898" s="23"/>
      <c r="J898" s="23"/>
      <c r="K898" s="23"/>
    </row>
    <row r="899" spans="1:11">
      <c r="A899" s="41"/>
      <c r="B899" s="41"/>
      <c r="C899" s="23"/>
      <c r="D899" s="23"/>
      <c r="F899" s="23"/>
      <c r="H899" s="23"/>
      <c r="I899" s="23"/>
      <c r="J899" s="23"/>
      <c r="K899" s="23"/>
    </row>
    <row r="900" spans="1:11">
      <c r="A900" s="41"/>
      <c r="B900" s="41"/>
      <c r="C900" s="23"/>
      <c r="D900" s="23"/>
      <c r="F900" s="23"/>
      <c r="H900" s="23"/>
      <c r="I900" s="23"/>
      <c r="J900" s="23"/>
      <c r="K900" s="23"/>
    </row>
    <row r="901" spans="1:11">
      <c r="A901" s="41"/>
      <c r="B901" s="41"/>
      <c r="C901" s="23"/>
      <c r="D901" s="23"/>
      <c r="F901" s="23"/>
      <c r="H901" s="23"/>
      <c r="I901" s="23"/>
      <c r="J901" s="23"/>
      <c r="K901" s="23"/>
    </row>
    <row r="902" spans="1:11">
      <c r="A902" s="41"/>
      <c r="B902" s="41"/>
      <c r="C902" s="23"/>
      <c r="D902" s="23"/>
      <c r="F902" s="23"/>
      <c r="H902" s="23"/>
      <c r="I902" s="23"/>
      <c r="J902" s="23"/>
      <c r="K902" s="23"/>
    </row>
    <row r="903" spans="1:11">
      <c r="A903" s="41"/>
      <c r="B903" s="41"/>
      <c r="C903" s="23"/>
      <c r="D903" s="23"/>
      <c r="F903" s="23"/>
      <c r="H903" s="23"/>
      <c r="I903" s="23"/>
      <c r="J903" s="23"/>
      <c r="K903" s="23"/>
    </row>
    <row r="904" spans="1:11">
      <c r="A904" s="41"/>
      <c r="B904" s="41"/>
      <c r="C904" s="23"/>
      <c r="D904" s="23"/>
      <c r="F904" s="23"/>
      <c r="H904" s="23"/>
      <c r="I904" s="23"/>
      <c r="J904" s="23"/>
      <c r="K904" s="23"/>
    </row>
    <row r="905" spans="1:11">
      <c r="A905" s="41"/>
      <c r="B905" s="41"/>
      <c r="C905" s="23"/>
      <c r="D905" s="23"/>
      <c r="F905" s="23"/>
      <c r="H905" s="23"/>
      <c r="I905" s="23"/>
      <c r="J905" s="23"/>
      <c r="K905" s="23"/>
    </row>
    <row r="906" spans="1:11">
      <c r="A906" s="41"/>
      <c r="B906" s="41"/>
      <c r="C906" s="23"/>
      <c r="D906" s="23"/>
      <c r="F906" s="23"/>
      <c r="H906" s="23"/>
      <c r="I906" s="23"/>
      <c r="J906" s="23"/>
      <c r="K906" s="23"/>
    </row>
    <row r="907" spans="1:11">
      <c r="A907" s="41"/>
      <c r="B907" s="41"/>
      <c r="C907" s="23"/>
      <c r="D907" s="23"/>
      <c r="F907" s="23"/>
      <c r="H907" s="23"/>
      <c r="I907" s="23"/>
      <c r="J907" s="23"/>
      <c r="K907" s="23"/>
    </row>
    <row r="908" spans="1:11">
      <c r="A908" s="41"/>
      <c r="B908" s="41"/>
      <c r="C908" s="23"/>
      <c r="D908" s="23"/>
      <c r="F908" s="23"/>
      <c r="H908" s="23"/>
      <c r="I908" s="23"/>
      <c r="J908" s="23"/>
      <c r="K908" s="23"/>
    </row>
    <row r="909" spans="1:11">
      <c r="A909" s="41"/>
      <c r="B909" s="41"/>
      <c r="C909" s="23"/>
      <c r="D909" s="23"/>
      <c r="F909" s="23"/>
      <c r="H909" s="23"/>
      <c r="I909" s="23"/>
      <c r="J909" s="23"/>
      <c r="K909" s="23"/>
    </row>
    <row r="910" spans="1:11">
      <c r="A910" s="41"/>
      <c r="B910" s="41"/>
      <c r="C910" s="23"/>
      <c r="D910" s="23"/>
      <c r="F910" s="23"/>
      <c r="H910" s="23"/>
      <c r="I910" s="23"/>
      <c r="J910" s="23"/>
      <c r="K910" s="23"/>
    </row>
    <row r="911" spans="1:11">
      <c r="A911" s="41"/>
      <c r="B911" s="41"/>
      <c r="C911" s="23"/>
      <c r="D911" s="23"/>
      <c r="F911" s="23"/>
      <c r="H911" s="23"/>
      <c r="I911" s="23"/>
      <c r="J911" s="23"/>
      <c r="K911" s="23"/>
    </row>
    <row r="912" spans="1:11">
      <c r="A912" s="41"/>
      <c r="B912" s="41"/>
      <c r="C912" s="23"/>
      <c r="D912" s="23"/>
      <c r="F912" s="23"/>
      <c r="H912" s="23"/>
      <c r="I912" s="23"/>
      <c r="J912" s="23"/>
      <c r="K912" s="23"/>
    </row>
    <row r="913" spans="1:11">
      <c r="A913" s="41"/>
      <c r="B913" s="41"/>
      <c r="C913" s="23"/>
      <c r="D913" s="23"/>
      <c r="F913" s="23"/>
      <c r="H913" s="23"/>
      <c r="I913" s="23"/>
      <c r="J913" s="23"/>
      <c r="K913" s="23"/>
    </row>
    <row r="914" spans="1:11">
      <c r="A914" s="41"/>
      <c r="B914" s="41"/>
      <c r="C914" s="23"/>
      <c r="D914" s="23"/>
      <c r="F914" s="23"/>
      <c r="H914" s="23"/>
      <c r="I914" s="23"/>
      <c r="J914" s="23"/>
      <c r="K914" s="23"/>
    </row>
    <row r="915" spans="1:11">
      <c r="A915" s="41"/>
      <c r="B915" s="41"/>
      <c r="C915" s="23"/>
      <c r="D915" s="23"/>
      <c r="F915" s="23"/>
      <c r="H915" s="23"/>
      <c r="I915" s="23"/>
      <c r="J915" s="23"/>
      <c r="K915" s="23"/>
    </row>
    <row r="916" spans="1:11">
      <c r="A916" s="41"/>
      <c r="B916" s="41"/>
      <c r="C916" s="23"/>
      <c r="D916" s="23"/>
      <c r="F916" s="23"/>
      <c r="H916" s="23"/>
      <c r="I916" s="23"/>
      <c r="J916" s="23"/>
      <c r="K916" s="23"/>
    </row>
    <row r="917" spans="1:11">
      <c r="A917" s="41"/>
      <c r="B917" s="41"/>
      <c r="C917" s="23"/>
      <c r="D917" s="23"/>
      <c r="F917" s="23"/>
      <c r="H917" s="23"/>
      <c r="I917" s="23"/>
      <c r="J917" s="23"/>
      <c r="K917" s="23"/>
    </row>
    <row r="918" spans="1:11">
      <c r="A918" s="41"/>
      <c r="B918" s="41"/>
      <c r="C918" s="23"/>
      <c r="D918" s="23"/>
      <c r="F918" s="23"/>
      <c r="H918" s="23"/>
      <c r="I918" s="23"/>
      <c r="J918" s="23"/>
      <c r="K918" s="23"/>
    </row>
    <row r="919" spans="1:11">
      <c r="A919" s="41"/>
      <c r="B919" s="41"/>
      <c r="C919" s="23"/>
      <c r="D919" s="23"/>
      <c r="F919" s="23"/>
      <c r="H919" s="23"/>
      <c r="I919" s="23"/>
      <c r="J919" s="23"/>
      <c r="K919" s="23"/>
    </row>
    <row r="920" spans="1:11">
      <c r="A920" s="41"/>
      <c r="B920" s="41"/>
      <c r="C920" s="23"/>
      <c r="D920" s="23"/>
      <c r="F920" s="23"/>
      <c r="H920" s="23"/>
      <c r="I920" s="23"/>
      <c r="J920" s="23"/>
      <c r="K920" s="23"/>
    </row>
    <row r="921" spans="1:11">
      <c r="A921" s="41"/>
      <c r="B921" s="41"/>
      <c r="C921" s="23"/>
      <c r="D921" s="23"/>
      <c r="F921" s="23"/>
      <c r="H921" s="23"/>
      <c r="I921" s="23"/>
      <c r="J921" s="23"/>
      <c r="K921" s="23"/>
    </row>
    <row r="922" spans="1:11">
      <c r="A922" s="41"/>
      <c r="B922" s="41"/>
      <c r="C922" s="23"/>
      <c r="D922" s="23"/>
      <c r="F922" s="23"/>
      <c r="H922" s="23"/>
      <c r="I922" s="23"/>
      <c r="J922" s="23"/>
      <c r="K922" s="23"/>
    </row>
    <row r="923" spans="1:11">
      <c r="A923" s="41"/>
      <c r="B923" s="41"/>
      <c r="C923" s="23"/>
      <c r="D923" s="23"/>
      <c r="F923" s="23"/>
      <c r="H923" s="23"/>
      <c r="I923" s="23"/>
      <c r="J923" s="23"/>
      <c r="K923" s="23"/>
    </row>
    <row r="924" spans="1:11">
      <c r="A924" s="41"/>
      <c r="B924" s="41"/>
      <c r="C924" s="23"/>
      <c r="D924" s="23"/>
      <c r="F924" s="23"/>
      <c r="H924" s="23"/>
      <c r="I924" s="23"/>
      <c r="J924" s="23"/>
      <c r="K924" s="23"/>
    </row>
    <row r="925" spans="1:11">
      <c r="A925" s="41"/>
      <c r="B925" s="41"/>
      <c r="C925" s="23"/>
      <c r="D925" s="23"/>
      <c r="F925" s="23"/>
      <c r="H925" s="23"/>
      <c r="I925" s="23"/>
      <c r="J925" s="23"/>
      <c r="K925" s="23"/>
    </row>
    <row r="926" spans="1:11">
      <c r="A926" s="41"/>
      <c r="B926" s="41"/>
      <c r="C926" s="23"/>
      <c r="D926" s="23"/>
      <c r="F926" s="23"/>
      <c r="H926" s="23"/>
      <c r="I926" s="23"/>
      <c r="J926" s="23"/>
      <c r="K926" s="23"/>
    </row>
    <row r="927" spans="1:11">
      <c r="A927" s="41"/>
      <c r="B927" s="41"/>
      <c r="C927" s="23"/>
      <c r="D927" s="23"/>
      <c r="F927" s="23"/>
      <c r="H927" s="23"/>
      <c r="I927" s="23"/>
      <c r="J927" s="23"/>
      <c r="K927" s="23"/>
    </row>
    <row r="928" spans="1:11">
      <c r="A928" s="41"/>
      <c r="B928" s="41"/>
      <c r="C928" s="23"/>
      <c r="D928" s="23"/>
      <c r="F928" s="23"/>
      <c r="H928" s="23"/>
      <c r="I928" s="23"/>
      <c r="J928" s="23"/>
      <c r="K928" s="23"/>
    </row>
    <row r="929" spans="1:11">
      <c r="A929" s="41"/>
      <c r="B929" s="41"/>
      <c r="C929" s="23"/>
      <c r="D929" s="23"/>
      <c r="F929" s="23"/>
      <c r="H929" s="23"/>
      <c r="I929" s="23"/>
      <c r="J929" s="23"/>
      <c r="K929" s="23"/>
    </row>
    <row r="930" spans="1:11">
      <c r="A930" s="41"/>
      <c r="B930" s="41"/>
      <c r="C930" s="23"/>
      <c r="D930" s="23"/>
      <c r="F930" s="23"/>
      <c r="H930" s="23"/>
      <c r="I930" s="23"/>
      <c r="J930" s="23"/>
      <c r="K930" s="23"/>
    </row>
    <row r="931" spans="1:11">
      <c r="A931" s="41"/>
      <c r="B931" s="41"/>
      <c r="C931" s="23"/>
      <c r="D931" s="23"/>
      <c r="F931" s="23"/>
      <c r="H931" s="23"/>
      <c r="I931" s="23"/>
      <c r="J931" s="23"/>
      <c r="K931" s="23"/>
    </row>
    <row r="932" spans="1:11">
      <c r="A932" s="41"/>
      <c r="B932" s="41"/>
      <c r="C932" s="23"/>
      <c r="D932" s="23"/>
      <c r="F932" s="23"/>
      <c r="H932" s="23"/>
      <c r="I932" s="23"/>
      <c r="J932" s="23"/>
      <c r="K932" s="23"/>
    </row>
    <row r="933" spans="1:11">
      <c r="A933" s="41"/>
      <c r="B933" s="41"/>
      <c r="C933" s="23"/>
      <c r="D933" s="23"/>
      <c r="F933" s="23"/>
      <c r="H933" s="23"/>
      <c r="I933" s="23"/>
      <c r="J933" s="23"/>
      <c r="K933" s="23"/>
    </row>
    <row r="934" spans="1:11">
      <c r="A934" s="41"/>
      <c r="B934" s="41"/>
      <c r="C934" s="23"/>
      <c r="D934" s="23"/>
      <c r="F934" s="23"/>
      <c r="H934" s="23"/>
      <c r="I934" s="23"/>
      <c r="J934" s="23"/>
      <c r="K934" s="23"/>
    </row>
    <row r="935" spans="1:11">
      <c r="A935" s="41"/>
      <c r="B935" s="41"/>
      <c r="C935" s="23"/>
      <c r="D935" s="23"/>
      <c r="F935" s="23"/>
      <c r="H935" s="23"/>
      <c r="I935" s="23"/>
      <c r="J935" s="23"/>
      <c r="K935" s="23"/>
    </row>
    <row r="936" spans="1:11">
      <c r="A936" s="41"/>
      <c r="B936" s="41"/>
      <c r="C936" s="23"/>
      <c r="D936" s="23"/>
      <c r="F936" s="23"/>
      <c r="H936" s="23"/>
      <c r="I936" s="23"/>
      <c r="J936" s="23"/>
      <c r="K936" s="23"/>
    </row>
    <row r="937" spans="1:11">
      <c r="A937" s="41"/>
      <c r="B937" s="41"/>
      <c r="C937" s="23"/>
      <c r="D937" s="23"/>
      <c r="F937" s="23"/>
      <c r="H937" s="23"/>
      <c r="I937" s="23"/>
      <c r="J937" s="23"/>
      <c r="K937" s="23"/>
    </row>
    <row r="938" spans="1:11">
      <c r="A938" s="41"/>
      <c r="B938" s="41"/>
      <c r="C938" s="23"/>
      <c r="D938" s="23"/>
      <c r="F938" s="23"/>
      <c r="H938" s="23"/>
      <c r="I938" s="23"/>
      <c r="J938" s="23"/>
      <c r="K938" s="23"/>
    </row>
    <row r="939" spans="1:11">
      <c r="A939" s="41"/>
      <c r="B939" s="41"/>
      <c r="C939" s="23"/>
      <c r="D939" s="23"/>
      <c r="F939" s="23"/>
      <c r="H939" s="23"/>
      <c r="I939" s="23"/>
      <c r="J939" s="23"/>
      <c r="K939" s="23"/>
    </row>
    <row r="940" spans="1:11">
      <c r="A940" s="41"/>
      <c r="B940" s="41"/>
      <c r="C940" s="23"/>
      <c r="D940" s="23"/>
      <c r="F940" s="23"/>
      <c r="H940" s="23"/>
      <c r="I940" s="23"/>
      <c r="J940" s="23"/>
      <c r="K940" s="23"/>
    </row>
    <row r="941" spans="1:11">
      <c r="A941" s="41"/>
      <c r="B941" s="41"/>
      <c r="C941" s="23"/>
      <c r="D941" s="23"/>
      <c r="F941" s="23"/>
      <c r="H941" s="23"/>
      <c r="I941" s="23"/>
      <c r="J941" s="23"/>
      <c r="K941" s="23"/>
    </row>
    <row r="942" spans="1:11">
      <c r="A942" s="41"/>
      <c r="B942" s="41"/>
      <c r="C942" s="23"/>
      <c r="D942" s="23"/>
      <c r="F942" s="23"/>
      <c r="H942" s="23"/>
      <c r="I942" s="23"/>
      <c r="J942" s="23"/>
      <c r="K942" s="23"/>
    </row>
    <row r="943" spans="1:11">
      <c r="A943" s="41"/>
      <c r="B943" s="41"/>
      <c r="C943" s="23"/>
      <c r="D943" s="23"/>
      <c r="F943" s="23"/>
      <c r="H943" s="23"/>
      <c r="I943" s="23"/>
      <c r="J943" s="23"/>
      <c r="K943" s="23"/>
    </row>
    <row r="944" spans="1:11">
      <c r="A944" s="41"/>
      <c r="B944" s="41"/>
      <c r="C944" s="23"/>
      <c r="D944" s="23"/>
      <c r="F944" s="23"/>
      <c r="H944" s="23"/>
      <c r="I944" s="23"/>
      <c r="J944" s="23"/>
      <c r="K944" s="23"/>
    </row>
    <row r="945" spans="1:11">
      <c r="A945" s="41"/>
      <c r="B945" s="41"/>
      <c r="C945" s="23"/>
      <c r="D945" s="23"/>
      <c r="F945" s="23"/>
      <c r="H945" s="23"/>
      <c r="I945" s="23"/>
      <c r="J945" s="23"/>
      <c r="K945" s="23"/>
    </row>
    <row r="946" spans="1:11">
      <c r="A946" s="41"/>
      <c r="B946" s="41"/>
      <c r="C946" s="23"/>
      <c r="D946" s="23"/>
      <c r="F946" s="23"/>
      <c r="H946" s="23"/>
      <c r="I946" s="23"/>
      <c r="J946" s="23"/>
      <c r="K946" s="23"/>
    </row>
    <row r="947" spans="1:11">
      <c r="A947" s="41"/>
      <c r="B947" s="41"/>
      <c r="C947" s="23"/>
      <c r="D947" s="23"/>
      <c r="F947" s="23"/>
      <c r="H947" s="23"/>
      <c r="I947" s="23"/>
      <c r="J947" s="23"/>
      <c r="K947" s="23"/>
    </row>
    <row r="948" spans="1:11">
      <c r="A948" s="41"/>
      <c r="B948" s="41"/>
      <c r="C948" s="23"/>
      <c r="D948" s="23"/>
      <c r="F948" s="23"/>
      <c r="H948" s="23"/>
      <c r="I948" s="23"/>
      <c r="J948" s="23"/>
      <c r="K948" s="23"/>
    </row>
    <row r="949" spans="1:11">
      <c r="A949" s="41"/>
      <c r="B949" s="41"/>
      <c r="C949" s="23"/>
      <c r="D949" s="23"/>
      <c r="F949" s="23"/>
      <c r="H949" s="23"/>
      <c r="I949" s="23"/>
      <c r="J949" s="23"/>
      <c r="K949" s="23"/>
    </row>
    <row r="950" spans="1:11">
      <c r="A950" s="41"/>
      <c r="B950" s="41"/>
      <c r="C950" s="23"/>
      <c r="D950" s="23"/>
      <c r="F950" s="23"/>
      <c r="H950" s="23"/>
      <c r="I950" s="23"/>
      <c r="J950" s="23"/>
      <c r="K950" s="23"/>
    </row>
    <row r="951" spans="1:11">
      <c r="A951" s="41"/>
      <c r="B951" s="41"/>
      <c r="C951" s="23"/>
      <c r="D951" s="23"/>
      <c r="F951" s="23"/>
      <c r="H951" s="23"/>
      <c r="I951" s="23"/>
      <c r="J951" s="23"/>
      <c r="K951" s="23"/>
    </row>
    <row r="952" spans="1:11">
      <c r="A952" s="41"/>
      <c r="B952" s="41"/>
      <c r="C952" s="23"/>
      <c r="D952" s="23"/>
      <c r="F952" s="23"/>
      <c r="H952" s="23"/>
      <c r="I952" s="23"/>
      <c r="J952" s="23"/>
      <c r="K952" s="23"/>
    </row>
    <row r="953" spans="1:11">
      <c r="A953" s="41"/>
      <c r="B953" s="41"/>
      <c r="C953" s="23"/>
      <c r="D953" s="23"/>
      <c r="F953" s="23"/>
      <c r="H953" s="23"/>
      <c r="I953" s="23"/>
      <c r="J953" s="23"/>
      <c r="K953" s="23"/>
    </row>
    <row r="954" spans="1:11">
      <c r="A954" s="41"/>
      <c r="B954" s="41"/>
      <c r="C954" s="23"/>
      <c r="D954" s="23"/>
      <c r="F954" s="23"/>
      <c r="H954" s="23"/>
      <c r="I954" s="23"/>
      <c r="J954" s="23"/>
      <c r="K954" s="23"/>
    </row>
    <row r="955" spans="1:11">
      <c r="A955" s="41"/>
      <c r="B955" s="41"/>
      <c r="C955" s="23"/>
      <c r="D955" s="23"/>
      <c r="F955" s="23"/>
      <c r="H955" s="23"/>
      <c r="I955" s="23"/>
      <c r="J955" s="23"/>
      <c r="K955" s="23"/>
    </row>
    <row r="956" spans="1:11">
      <c r="A956" s="41"/>
      <c r="B956" s="41"/>
      <c r="C956" s="23"/>
      <c r="D956" s="23"/>
      <c r="F956" s="23"/>
      <c r="H956" s="23"/>
      <c r="I956" s="23"/>
      <c r="J956" s="23"/>
      <c r="K956" s="23"/>
    </row>
    <row r="957" spans="1:11">
      <c r="A957" s="41"/>
      <c r="B957" s="41"/>
      <c r="C957" s="23"/>
      <c r="D957" s="23"/>
      <c r="F957" s="23"/>
      <c r="H957" s="23"/>
      <c r="I957" s="23"/>
      <c r="J957" s="23"/>
      <c r="K957" s="23"/>
    </row>
    <row r="958" spans="1:11">
      <c r="A958" s="41"/>
      <c r="B958" s="41"/>
      <c r="C958" s="23"/>
      <c r="D958" s="23"/>
      <c r="F958" s="23"/>
      <c r="H958" s="23"/>
      <c r="I958" s="23"/>
      <c r="J958" s="23"/>
      <c r="K958" s="23"/>
    </row>
    <row r="959" spans="1:11">
      <c r="A959" s="41"/>
      <c r="B959" s="41"/>
      <c r="C959" s="23"/>
      <c r="D959" s="23"/>
      <c r="F959" s="23"/>
      <c r="H959" s="23"/>
      <c r="I959" s="23"/>
      <c r="J959" s="23"/>
      <c r="K959" s="23"/>
    </row>
    <row r="960" spans="1:11">
      <c r="A960" s="41"/>
      <c r="B960" s="41"/>
      <c r="C960" s="23"/>
      <c r="D960" s="23"/>
      <c r="F960" s="23"/>
      <c r="H960" s="23"/>
      <c r="I960" s="23"/>
      <c r="J960" s="23"/>
      <c r="K960" s="23"/>
    </row>
    <row r="961" spans="1:11">
      <c r="A961" s="41"/>
      <c r="B961" s="41"/>
      <c r="C961" s="23"/>
      <c r="D961" s="23"/>
      <c r="F961" s="23"/>
      <c r="H961" s="23"/>
      <c r="I961" s="23"/>
      <c r="J961" s="23"/>
      <c r="K961" s="23"/>
    </row>
    <row r="962" spans="1:11">
      <c r="A962" s="41"/>
      <c r="B962" s="41"/>
      <c r="C962" s="23"/>
      <c r="D962" s="23"/>
      <c r="F962" s="23"/>
      <c r="H962" s="23"/>
      <c r="I962" s="23"/>
      <c r="J962" s="23"/>
      <c r="K962" s="23"/>
    </row>
    <row r="963" spans="1:11">
      <c r="A963" s="41"/>
      <c r="B963" s="41"/>
      <c r="C963" s="23"/>
      <c r="D963" s="23"/>
      <c r="F963" s="23"/>
      <c r="H963" s="23"/>
      <c r="I963" s="23"/>
      <c r="J963" s="23"/>
      <c r="K963" s="23"/>
    </row>
    <row r="964" spans="1:11">
      <c r="A964" s="41"/>
      <c r="B964" s="41"/>
      <c r="C964" s="23"/>
      <c r="D964" s="23"/>
      <c r="F964" s="23"/>
      <c r="H964" s="23"/>
      <c r="I964" s="23"/>
      <c r="J964" s="23"/>
      <c r="K964" s="23"/>
    </row>
    <row r="965" spans="1:11">
      <c r="A965" s="41"/>
      <c r="B965" s="41"/>
      <c r="C965" s="23"/>
      <c r="D965" s="23"/>
      <c r="F965" s="23"/>
      <c r="H965" s="23"/>
      <c r="I965" s="23"/>
      <c r="J965" s="23"/>
      <c r="K965" s="23"/>
    </row>
    <row r="966" spans="1:11">
      <c r="A966" s="41"/>
      <c r="B966" s="41"/>
      <c r="C966" s="23"/>
      <c r="D966" s="23"/>
      <c r="F966" s="23"/>
      <c r="H966" s="23"/>
      <c r="I966" s="23"/>
      <c r="J966" s="23"/>
      <c r="K966" s="23"/>
    </row>
    <row r="967" spans="1:11">
      <c r="A967" s="41"/>
      <c r="B967" s="41"/>
      <c r="C967" s="23"/>
      <c r="D967" s="23"/>
      <c r="F967" s="23"/>
      <c r="H967" s="23"/>
      <c r="I967" s="23"/>
      <c r="J967" s="23"/>
      <c r="K967" s="23"/>
    </row>
    <row r="968" spans="1:11">
      <c r="A968" s="41"/>
      <c r="B968" s="41"/>
      <c r="C968" s="23"/>
      <c r="D968" s="23"/>
      <c r="F968" s="23"/>
      <c r="H968" s="23"/>
      <c r="I968" s="23"/>
      <c r="J968" s="23"/>
      <c r="K968" s="23"/>
    </row>
    <row r="969" spans="1:11">
      <c r="A969" s="41"/>
      <c r="B969" s="41"/>
      <c r="C969" s="23"/>
      <c r="D969" s="23"/>
      <c r="F969" s="23"/>
      <c r="H969" s="23"/>
      <c r="I969" s="23"/>
      <c r="J969" s="23"/>
      <c r="K969" s="23"/>
    </row>
    <row r="970" spans="1:11">
      <c r="A970" s="41"/>
      <c r="B970" s="41"/>
      <c r="C970" s="23"/>
      <c r="D970" s="23"/>
      <c r="F970" s="23"/>
      <c r="H970" s="23"/>
      <c r="I970" s="23"/>
      <c r="J970" s="23"/>
      <c r="K970" s="23"/>
    </row>
    <row r="971" spans="1:11">
      <c r="A971" s="41"/>
      <c r="B971" s="41"/>
      <c r="C971" s="23"/>
      <c r="D971" s="23"/>
      <c r="F971" s="23"/>
      <c r="H971" s="23"/>
      <c r="I971" s="23"/>
      <c r="J971" s="23"/>
      <c r="K971" s="23"/>
    </row>
    <row r="972" spans="1:11">
      <c r="A972" s="41"/>
      <c r="B972" s="41"/>
      <c r="C972" s="23"/>
      <c r="D972" s="23"/>
      <c r="F972" s="23"/>
      <c r="H972" s="23"/>
      <c r="I972" s="23"/>
      <c r="J972" s="23"/>
      <c r="K972" s="23"/>
    </row>
    <row r="973" spans="1:11">
      <c r="A973" s="41"/>
      <c r="B973" s="41"/>
      <c r="C973" s="23"/>
      <c r="D973" s="23"/>
      <c r="F973" s="23"/>
      <c r="H973" s="23"/>
      <c r="I973" s="23"/>
      <c r="J973" s="23"/>
      <c r="K973" s="23"/>
    </row>
    <row r="974" spans="1:11">
      <c r="A974" s="41"/>
      <c r="B974" s="41"/>
      <c r="C974" s="23"/>
      <c r="D974" s="23"/>
      <c r="F974" s="23"/>
      <c r="H974" s="23"/>
      <c r="I974" s="23"/>
      <c r="J974" s="23"/>
      <c r="K974" s="23"/>
    </row>
    <row r="975" spans="1:11">
      <c r="A975" s="41"/>
      <c r="B975" s="41"/>
      <c r="C975" s="23"/>
      <c r="D975" s="23"/>
      <c r="F975" s="23"/>
      <c r="H975" s="23"/>
      <c r="I975" s="23"/>
      <c r="J975" s="23"/>
      <c r="K975" s="23"/>
    </row>
    <row r="976" spans="1:11">
      <c r="A976" s="41"/>
      <c r="B976" s="41"/>
      <c r="C976" s="23"/>
      <c r="D976" s="23"/>
      <c r="F976" s="23"/>
      <c r="H976" s="23"/>
      <c r="I976" s="23"/>
      <c r="J976" s="23"/>
      <c r="K976" s="23"/>
    </row>
    <row r="977" spans="1:11">
      <c r="A977" s="41"/>
      <c r="B977" s="41"/>
      <c r="C977" s="23"/>
      <c r="D977" s="23"/>
      <c r="F977" s="23"/>
      <c r="H977" s="23"/>
      <c r="I977" s="23"/>
      <c r="J977" s="23"/>
      <c r="K977" s="23"/>
    </row>
    <row r="978" spans="1:11">
      <c r="A978" s="41"/>
      <c r="B978" s="41"/>
      <c r="C978" s="23"/>
      <c r="D978" s="23"/>
      <c r="F978" s="23"/>
      <c r="H978" s="23"/>
      <c r="I978" s="23"/>
      <c r="J978" s="23"/>
      <c r="K978" s="23"/>
    </row>
    <row r="979" spans="1:11">
      <c r="A979" s="41"/>
      <c r="B979" s="41"/>
      <c r="C979" s="23"/>
      <c r="D979" s="23"/>
      <c r="F979" s="23"/>
      <c r="H979" s="23"/>
      <c r="I979" s="23"/>
      <c r="J979" s="23"/>
      <c r="K979" s="23"/>
    </row>
    <row r="980" spans="1:11">
      <c r="A980" s="41"/>
      <c r="B980" s="41"/>
      <c r="C980" s="23"/>
      <c r="D980" s="23"/>
      <c r="F980" s="23"/>
      <c r="H980" s="23"/>
      <c r="I980" s="23"/>
      <c r="J980" s="23"/>
      <c r="K980" s="23"/>
    </row>
    <row r="981" spans="1:11">
      <c r="A981" s="41"/>
      <c r="B981" s="41"/>
      <c r="C981" s="23"/>
      <c r="D981" s="23"/>
      <c r="F981" s="23"/>
      <c r="H981" s="23"/>
      <c r="I981" s="23"/>
      <c r="J981" s="23"/>
      <c r="K981" s="23"/>
    </row>
    <row r="982" spans="1:11">
      <c r="A982" s="41"/>
      <c r="B982" s="41"/>
      <c r="C982" s="23"/>
      <c r="D982" s="23"/>
      <c r="F982" s="23"/>
      <c r="H982" s="23"/>
      <c r="I982" s="23"/>
      <c r="J982" s="23"/>
      <c r="K982" s="23"/>
    </row>
    <row r="983" spans="1:11">
      <c r="A983" s="41"/>
      <c r="B983" s="41"/>
      <c r="C983" s="23"/>
      <c r="D983" s="23"/>
      <c r="F983" s="23"/>
      <c r="H983" s="23"/>
      <c r="I983" s="23"/>
      <c r="J983" s="23"/>
      <c r="K983" s="23"/>
    </row>
    <row r="984" spans="1:11">
      <c r="A984" s="41"/>
      <c r="B984" s="41"/>
      <c r="C984" s="23"/>
      <c r="D984" s="23"/>
      <c r="F984" s="23"/>
      <c r="H984" s="23"/>
      <c r="I984" s="23"/>
      <c r="J984" s="23"/>
      <c r="K984" s="23"/>
    </row>
    <row r="985" spans="1:11">
      <c r="A985" s="41"/>
      <c r="B985" s="41"/>
      <c r="C985" s="23"/>
      <c r="D985" s="23"/>
      <c r="F985" s="23"/>
      <c r="H985" s="23"/>
      <c r="I985" s="23"/>
      <c r="J985" s="23"/>
      <c r="K985" s="23"/>
    </row>
    <row r="986" spans="1:11">
      <c r="A986" s="41"/>
      <c r="B986" s="41"/>
      <c r="C986" s="23"/>
      <c r="D986" s="23"/>
      <c r="F986" s="23"/>
      <c r="H986" s="23"/>
      <c r="I986" s="23"/>
      <c r="J986" s="23"/>
      <c r="K986" s="23"/>
    </row>
    <row r="987" spans="1:11">
      <c r="A987" s="41"/>
      <c r="B987" s="41"/>
      <c r="C987" s="23"/>
      <c r="D987" s="23"/>
      <c r="F987" s="23"/>
      <c r="H987" s="23"/>
      <c r="I987" s="23"/>
      <c r="J987" s="23"/>
      <c r="K987" s="23"/>
    </row>
    <row r="988" spans="1:11">
      <c r="A988" s="41"/>
      <c r="B988" s="41"/>
      <c r="C988" s="23"/>
      <c r="D988" s="23"/>
      <c r="F988" s="23"/>
      <c r="H988" s="23"/>
      <c r="I988" s="23"/>
      <c r="J988" s="23"/>
      <c r="K988" s="23"/>
    </row>
    <row r="989" spans="1:11">
      <c r="A989" s="41"/>
      <c r="B989" s="41"/>
      <c r="C989" s="23"/>
      <c r="D989" s="23"/>
      <c r="F989" s="23"/>
      <c r="H989" s="23"/>
      <c r="I989" s="23"/>
      <c r="J989" s="23"/>
      <c r="K989" s="23"/>
    </row>
    <row r="990" spans="1:11">
      <c r="A990" s="41"/>
      <c r="B990" s="41"/>
      <c r="C990" s="23"/>
      <c r="D990" s="23"/>
      <c r="F990" s="23"/>
      <c r="H990" s="23"/>
      <c r="I990" s="23"/>
      <c r="J990" s="23"/>
      <c r="K990" s="23"/>
    </row>
    <row r="991" spans="1:11">
      <c r="A991" s="41"/>
      <c r="B991" s="41"/>
      <c r="C991" s="23"/>
      <c r="D991" s="23"/>
      <c r="F991" s="23"/>
      <c r="H991" s="23"/>
      <c r="I991" s="23"/>
      <c r="J991" s="23"/>
      <c r="K991" s="23"/>
    </row>
    <row r="992" spans="1:11">
      <c r="A992" s="41"/>
      <c r="B992" s="41"/>
      <c r="C992" s="23"/>
      <c r="D992" s="23"/>
      <c r="F992" s="23"/>
      <c r="H992" s="23"/>
      <c r="I992" s="23"/>
      <c r="J992" s="23"/>
      <c r="K992" s="23"/>
    </row>
    <row r="993" spans="1:11">
      <c r="A993" s="41"/>
      <c r="B993" s="41"/>
      <c r="C993" s="23"/>
      <c r="D993" s="23"/>
      <c r="F993" s="23"/>
      <c r="H993" s="23"/>
      <c r="I993" s="23"/>
      <c r="J993" s="23"/>
      <c r="K993" s="23"/>
    </row>
    <row r="994" spans="1:11">
      <c r="A994" s="41"/>
      <c r="B994" s="41"/>
      <c r="C994" s="23"/>
      <c r="D994" s="23"/>
      <c r="F994" s="23"/>
      <c r="H994" s="23"/>
      <c r="I994" s="23"/>
      <c r="J994" s="23"/>
      <c r="K994" s="23"/>
    </row>
    <row r="995" spans="1:11">
      <c r="A995" s="41"/>
      <c r="B995" s="41"/>
      <c r="C995" s="23"/>
      <c r="D995" s="23"/>
      <c r="F995" s="23"/>
      <c r="H995" s="23"/>
      <c r="I995" s="23"/>
      <c r="J995" s="23"/>
      <c r="K995" s="23"/>
    </row>
    <row r="996" spans="1:11">
      <c r="A996" s="41"/>
      <c r="B996" s="41"/>
      <c r="C996" s="23"/>
      <c r="D996" s="23"/>
      <c r="F996" s="23"/>
      <c r="H996" s="23"/>
      <c r="I996" s="23"/>
      <c r="J996" s="23"/>
      <c r="K996" s="23"/>
    </row>
    <row r="997" spans="1:11">
      <c r="A997" s="41"/>
      <c r="B997" s="41"/>
      <c r="C997" s="23"/>
      <c r="D997" s="23"/>
      <c r="F997" s="23"/>
      <c r="H997" s="23"/>
      <c r="I997" s="23"/>
      <c r="J997" s="23"/>
      <c r="K997" s="23"/>
    </row>
    <row r="998" spans="1:11">
      <c r="A998" s="41"/>
      <c r="B998" s="41"/>
      <c r="C998" s="23"/>
      <c r="D998" s="23"/>
      <c r="F998" s="23"/>
      <c r="H998" s="23"/>
      <c r="I998" s="23"/>
      <c r="J998" s="23"/>
      <c r="K998" s="23"/>
    </row>
    <row r="999" spans="1:11">
      <c r="A999" s="41"/>
      <c r="B999" s="41"/>
      <c r="C999" s="23"/>
      <c r="D999" s="23"/>
      <c r="F999" s="23"/>
      <c r="H999" s="23"/>
      <c r="I999" s="23"/>
      <c r="J999" s="23"/>
      <c r="K999" s="23"/>
    </row>
    <row r="1000" spans="1:11">
      <c r="A1000" s="41"/>
      <c r="B1000" s="41"/>
      <c r="C1000" s="23"/>
      <c r="D1000" s="23"/>
      <c r="F1000" s="23"/>
      <c r="H1000" s="23"/>
      <c r="I1000" s="23"/>
      <c r="J1000" s="23"/>
      <c r="K1000" s="2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6"/>
  <sheetViews>
    <sheetView workbookViewId="0">
      <selection activeCell="B2" sqref="B2"/>
    </sheetView>
  </sheetViews>
  <sheetFormatPr defaultColWidth="12.5703125" defaultRowHeight="15.75" customHeight="1"/>
  <cols>
    <col min="2" max="2" width="10.85546875" customWidth="1"/>
    <col min="3" max="3" width="13.85546875" customWidth="1"/>
    <col min="4" max="4" width="51.28515625" bestFit="1" customWidth="1"/>
    <col min="5" max="5" width="29.85546875" customWidth="1"/>
  </cols>
  <sheetData>
    <row r="1" spans="1:28" ht="24.75" customHeight="1">
      <c r="A1" s="42" t="s">
        <v>255</v>
      </c>
      <c r="B1" s="42" t="s">
        <v>256</v>
      </c>
      <c r="C1" s="42" t="s">
        <v>257</v>
      </c>
      <c r="D1" s="42" t="s">
        <v>258</v>
      </c>
      <c r="E1" s="42" t="s">
        <v>259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8" ht="12.75">
      <c r="A2" s="44" t="s">
        <v>260</v>
      </c>
      <c r="B2" s="44" t="e">
        <f ca="1">PALPITES!K$106</f>
        <v>#VALUE!</v>
      </c>
      <c r="C2" s="44">
        <f ca="1">PALPITES!L$106</f>
        <v>0</v>
      </c>
    </row>
    <row r="3" spans="1:28" ht="12.75">
      <c r="A3" s="44" t="s">
        <v>261</v>
      </c>
      <c r="B3" s="44">
        <f ca="1">PALPITES!O$106</f>
        <v>0</v>
      </c>
      <c r="C3" s="44">
        <f ca="1">PALPITES!P$106</f>
        <v>0</v>
      </c>
      <c r="D3" s="44"/>
      <c r="E3" s="44"/>
    </row>
    <row r="4" spans="1:28" ht="12.75">
      <c r="A4" s="44" t="s">
        <v>262</v>
      </c>
      <c r="B4" s="44">
        <f ca="1">PALPITES!S$106</f>
        <v>0</v>
      </c>
      <c r="C4" s="44">
        <f ca="1">PALPITES!T$106</f>
        <v>0</v>
      </c>
      <c r="D4" s="44"/>
      <c r="E4" s="44"/>
    </row>
    <row r="5" spans="1:28" ht="12.75">
      <c r="A5" s="44" t="s">
        <v>263</v>
      </c>
      <c r="B5" s="44">
        <f ca="1">PALPITES!W$106</f>
        <v>0</v>
      </c>
      <c r="C5" s="44">
        <f ca="1">PALPITES!X$106</f>
        <v>0</v>
      </c>
      <c r="D5" s="44"/>
      <c r="E5" s="44"/>
    </row>
    <row r="6" spans="1:28" ht="12.75">
      <c r="A6" s="44" t="s">
        <v>264</v>
      </c>
      <c r="B6" s="44">
        <f>PALPITES!AA$106</f>
        <v>0</v>
      </c>
      <c r="C6" s="44">
        <f>PALPITES!AB$106</f>
        <v>0</v>
      </c>
      <c r="D6" s="44"/>
      <c r="E6" s="44"/>
    </row>
    <row r="7" spans="1:28" ht="12.75">
      <c r="A7" s="44" t="s">
        <v>265</v>
      </c>
      <c r="B7" s="44">
        <f ca="1">PALPITES!AE$106</f>
        <v>0</v>
      </c>
      <c r="C7" s="44">
        <f ca="1">PALPITES!AF$106</f>
        <v>0</v>
      </c>
      <c r="D7" s="44"/>
      <c r="E7" s="44"/>
    </row>
    <row r="8" spans="1:28" ht="12.75">
      <c r="A8" s="44" t="s">
        <v>266</v>
      </c>
      <c r="B8" s="44">
        <f ca="1">PALPITES!AI$106</f>
        <v>0</v>
      </c>
      <c r="C8" s="44">
        <f ca="1">PALPITES!AJ$106</f>
        <v>0</v>
      </c>
      <c r="D8" s="44"/>
      <c r="E8" s="44"/>
    </row>
    <row r="9" spans="1:28" ht="12.75">
      <c r="A9" s="44" t="s">
        <v>267</v>
      </c>
      <c r="B9" s="44">
        <f ca="1">PALPITES!AM$106</f>
        <v>0</v>
      </c>
      <c r="C9" s="44">
        <f ca="1">PALPITES!AN$106</f>
        <v>0</v>
      </c>
      <c r="D9" s="44"/>
      <c r="E9" s="44"/>
    </row>
    <row r="10" spans="1:28" ht="12.75">
      <c r="A10" s="44" t="s">
        <v>268</v>
      </c>
      <c r="B10" s="44">
        <f ca="1">PALPITES!AQ$106</f>
        <v>0</v>
      </c>
      <c r="C10" s="44">
        <f ca="1">PALPITES!AR$106</f>
        <v>0</v>
      </c>
      <c r="D10" s="44"/>
      <c r="E10" s="44"/>
    </row>
    <row r="11" spans="1:28" ht="12.75">
      <c r="A11" s="44" t="s">
        <v>269</v>
      </c>
      <c r="B11" s="44">
        <f ca="1">PALPITES!AU$106</f>
        <v>0</v>
      </c>
      <c r="C11" s="44">
        <f ca="1">PALPITES!AV$106</f>
        <v>0</v>
      </c>
      <c r="D11" s="44"/>
      <c r="E11" s="44"/>
    </row>
    <row r="12" spans="1:28" ht="12.75">
      <c r="A12" s="44" t="s">
        <v>270</v>
      </c>
      <c r="B12" s="44">
        <f>PALPITES!AY$106</f>
        <v>0</v>
      </c>
      <c r="C12" s="44">
        <f>PALPITES!AZ$106</f>
        <v>0</v>
      </c>
      <c r="D12" s="44"/>
      <c r="E12" s="44"/>
    </row>
    <row r="13" spans="1:28" ht="12.75">
      <c r="A13" s="44" t="s">
        <v>271</v>
      </c>
      <c r="B13" s="44">
        <f ca="1">PALPITES!BC$106</f>
        <v>0</v>
      </c>
      <c r="C13" s="44">
        <f ca="1">PALPITES!BD$106</f>
        <v>0</v>
      </c>
      <c r="D13" s="44"/>
      <c r="E13" s="44"/>
    </row>
    <row r="14" spans="1:28" ht="12.75">
      <c r="A14" s="44" t="s">
        <v>272</v>
      </c>
      <c r="B14" s="44">
        <f ca="1">PALPITES!BG$106</f>
        <v>0</v>
      </c>
      <c r="C14" s="44">
        <f ca="1">PALPITES!BH$106</f>
        <v>0</v>
      </c>
      <c r="D14" s="44"/>
      <c r="E14" s="44"/>
    </row>
    <row r="15" spans="1:28" ht="12.75">
      <c r="A15" s="44" t="s">
        <v>273</v>
      </c>
      <c r="B15" s="44">
        <f ca="1">PALPITES!BK$106</f>
        <v>0</v>
      </c>
      <c r="C15" s="44">
        <f ca="1">PALPITES!BL$106</f>
        <v>0</v>
      </c>
      <c r="D15" s="44"/>
      <c r="E15" s="44"/>
    </row>
    <row r="16" spans="1:28" ht="12.75">
      <c r="A16" s="44" t="s">
        <v>274</v>
      </c>
      <c r="B16" s="44"/>
      <c r="C16" s="44"/>
      <c r="D16" s="4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M1000"/>
  <sheetViews>
    <sheetView workbookViewId="0">
      <pane ySplit="1" topLeftCell="A2" activePane="bottomLeft" state="frozen"/>
      <selection pane="bottomLeft" activeCell="M2" sqref="M2"/>
    </sheetView>
  </sheetViews>
  <sheetFormatPr defaultColWidth="12.5703125" defaultRowHeight="15.75" customHeight="1"/>
  <cols>
    <col min="1" max="1" width="5" customWidth="1"/>
    <col min="2" max="2" width="6" customWidth="1"/>
    <col min="3" max="3" width="10" customWidth="1"/>
    <col min="4" max="4" width="17.28515625" customWidth="1"/>
    <col min="5" max="5" width="7.140625" customWidth="1"/>
    <col min="6" max="6" width="5" customWidth="1"/>
    <col min="7" max="7" width="7.140625" customWidth="1"/>
    <col min="8" max="8" width="20.7109375" customWidth="1"/>
    <col min="9" max="64" width="5.140625" customWidth="1"/>
  </cols>
  <sheetData>
    <row r="1" spans="1:65" ht="27" customHeight="1">
      <c r="A1" s="45" t="str">
        <f>CALENDARIO!A1</f>
        <v>Jogo</v>
      </c>
      <c r="B1" s="46" t="str">
        <f>CALENDARIO!B1</f>
        <v>Data</v>
      </c>
      <c r="C1" s="45" t="str">
        <f>CALENDARIO!C1</f>
        <v>Hora</v>
      </c>
      <c r="D1" s="45" t="str">
        <f>CALENDARIO!D1</f>
        <v>Time 1</v>
      </c>
      <c r="E1" s="45" t="str">
        <f>CALENDARIO!E1</f>
        <v>Placar 1</v>
      </c>
      <c r="F1" s="45" t="str">
        <f>CALENDARIO!F1</f>
        <v>x</v>
      </c>
      <c r="G1" s="45" t="str">
        <f>CALENDARIO!G1</f>
        <v>Placar 2</v>
      </c>
      <c r="H1" s="45" t="str">
        <f>CALENDARIO!H1</f>
        <v>Time 2</v>
      </c>
      <c r="I1" s="80" t="str">
        <f>CONFIG!A2</f>
        <v>ALICE</v>
      </c>
      <c r="J1" s="79"/>
      <c r="K1" s="47" t="s">
        <v>275</v>
      </c>
      <c r="L1" s="47" t="s">
        <v>276</v>
      </c>
      <c r="M1" s="78" t="str">
        <f>CONFIG!A3</f>
        <v>ANNE</v>
      </c>
      <c r="N1" s="79"/>
      <c r="O1" s="48" t="s">
        <v>275</v>
      </c>
      <c r="P1" s="48" t="s">
        <v>276</v>
      </c>
      <c r="Q1" s="80" t="str">
        <f>CONFIG!A4</f>
        <v>CARLINHOS</v>
      </c>
      <c r="R1" s="79"/>
      <c r="S1" s="47" t="s">
        <v>275</v>
      </c>
      <c r="T1" s="47" t="s">
        <v>276</v>
      </c>
      <c r="U1" s="78" t="str">
        <f>CONFIG!A5</f>
        <v>DEDE</v>
      </c>
      <c r="V1" s="79"/>
      <c r="W1" s="48" t="s">
        <v>275</v>
      </c>
      <c r="X1" s="48" t="s">
        <v>276</v>
      </c>
      <c r="Y1" s="80" t="str">
        <f>CONFIG!A6</f>
        <v>ERIKA</v>
      </c>
      <c r="Z1" s="79"/>
      <c r="AA1" s="47" t="s">
        <v>275</v>
      </c>
      <c r="AB1" s="47" t="s">
        <v>276</v>
      </c>
      <c r="AC1" s="78" t="str">
        <f>CONFIG!A7</f>
        <v>GUTO</v>
      </c>
      <c r="AD1" s="79"/>
      <c r="AE1" s="48" t="s">
        <v>275</v>
      </c>
      <c r="AF1" s="48" t="s">
        <v>276</v>
      </c>
      <c r="AG1" s="80" t="str">
        <f>CONFIG!A8</f>
        <v>HELENA</v>
      </c>
      <c r="AH1" s="79"/>
      <c r="AI1" s="47" t="s">
        <v>275</v>
      </c>
      <c r="AJ1" s="47" t="s">
        <v>276</v>
      </c>
      <c r="AK1" s="78" t="str">
        <f>CONFIG!A9</f>
        <v>JULIA</v>
      </c>
      <c r="AL1" s="79"/>
      <c r="AM1" s="48" t="s">
        <v>275</v>
      </c>
      <c r="AN1" s="48" t="s">
        <v>276</v>
      </c>
      <c r="AO1" s="80" t="str">
        <f>CONFIG!A10</f>
        <v>KANOO</v>
      </c>
      <c r="AP1" s="79"/>
      <c r="AQ1" s="47" t="s">
        <v>275</v>
      </c>
      <c r="AR1" s="47" t="s">
        <v>276</v>
      </c>
      <c r="AS1" s="78" t="str">
        <f>CONFIG!A11</f>
        <v>KATIA</v>
      </c>
      <c r="AT1" s="79"/>
      <c r="AU1" s="48" t="s">
        <v>275</v>
      </c>
      <c r="AV1" s="48" t="s">
        <v>276</v>
      </c>
      <c r="AW1" s="80" t="str">
        <f>CONFIG!A12</f>
        <v>RAFA</v>
      </c>
      <c r="AX1" s="79"/>
      <c r="AY1" s="47" t="s">
        <v>275</v>
      </c>
      <c r="AZ1" s="47" t="s">
        <v>276</v>
      </c>
      <c r="BA1" s="78" t="str">
        <f>CONFIG!A13</f>
        <v>RAQUEL</v>
      </c>
      <c r="BB1" s="79"/>
      <c r="BC1" s="48" t="s">
        <v>275</v>
      </c>
      <c r="BD1" s="48" t="s">
        <v>276</v>
      </c>
      <c r="BE1" s="80" t="str">
        <f>CONFIG!A14</f>
        <v>RENATO</v>
      </c>
      <c r="BF1" s="79"/>
      <c r="BG1" s="47" t="s">
        <v>275</v>
      </c>
      <c r="BH1" s="47" t="s">
        <v>276</v>
      </c>
      <c r="BI1" s="78" t="str">
        <f>CONFIG!A15</f>
        <v>ZE</v>
      </c>
      <c r="BJ1" s="79"/>
      <c r="BK1" s="48" t="s">
        <v>275</v>
      </c>
      <c r="BL1" s="48" t="s">
        <v>276</v>
      </c>
      <c r="BM1" s="4"/>
    </row>
    <row r="2" spans="1:65" ht="12.75">
      <c r="A2" s="49">
        <f>CALENDARIO!A2</f>
        <v>1</v>
      </c>
      <c r="B2" s="50">
        <f>CALENDARIO!B2</f>
        <v>46184</v>
      </c>
      <c r="C2" s="51">
        <f>CALENDARIO!C2</f>
        <v>0.66666666666666663</v>
      </c>
      <c r="D2" s="52" t="str">
        <f>CALENDARIO!D2</f>
        <v>México</v>
      </c>
      <c r="E2" s="52">
        <f>CALENDARIO!E2</f>
        <v>0</v>
      </c>
      <c r="F2" s="49" t="str">
        <f>CALENDARIO!F2</f>
        <v>x</v>
      </c>
      <c r="G2" s="49">
        <f>CALENDARIO!G2</f>
        <v>0</v>
      </c>
      <c r="H2" s="52" t="str">
        <f>CALENDARIO!H2</f>
        <v>África do Sul</v>
      </c>
      <c r="I2" s="53" t="str">
        <f ca="1">IFERROR(__xludf.DUMMYFUNCTION("IMPORTRANGE(CONFIG!D2, ""JOGOS!E2:E105"")"),"#N/A")</f>
        <v>#N/A</v>
      </c>
      <c r="J2" s="53" t="str">
        <f ca="1">IFERROR(__xludf.DUMMYFUNCTION("IMPORTRANGE(CONFIG!D2, ""JOGOS!G2:G105"")"),"#N/A")</f>
        <v>#N/A</v>
      </c>
      <c r="K2" s="53" t="e">
        <f ca="1">IF(OR(I2="", J2=""), 0, IF(OR($E2="", $G2=""), "", (IF(SIGN($E2-$G2)=SIGN(I2-J2), 2, 0) + IF($E2=I2, 1, 0) + IF($G2=J2, 1, 0) + IF(AND($E2=I2, $G2=J2), 1, 0))))</f>
        <v>#VALUE!</v>
      </c>
      <c r="L2" s="53">
        <f t="shared" ref="L2:L105" ca="1" si="0">IF(OR(I2="", J2="", $E2="", $G2=""), 0, IF(AND($E2=I2, $G2=J2), 1, 0))</f>
        <v>0</v>
      </c>
      <c r="M2" s="53" t="str">
        <f ca="1">IFERROR(__xludf.DUMMYFUNCTION("IMPORTRANGE(CONFIG!D3, ""JOGOS!E2:E105"")"),"")</f>
        <v/>
      </c>
      <c r="N2" s="53" t="str">
        <f ca="1">IFERROR(__xludf.DUMMYFUNCTION("IMPORTRANGE(CONFIG!D3, ""JOGOS!G2:G105"")"),"")</f>
        <v/>
      </c>
      <c r="O2" s="53">
        <f t="shared" ref="O2:O105" ca="1" si="1">IF(OR(M2="", N2=""), 0, IF(OR($E2="", $G2=""), "", (IF(SIGN($E2-$G2)=SIGN(M2-N2), 2, 0) + IF($E2=M2, 1, 0) + IF($G2=N2, 1, 0) + IF(AND($E2=M2, $G2=N2), 1, 0))))</f>
        <v>0</v>
      </c>
      <c r="P2" s="53">
        <f t="shared" ref="P2:P105" ca="1" si="2">IF(OR(M2="", N2="", $E2="", $G2=""), 0, IF(AND($E2=M2, $G2=N2), 1, 0))</f>
        <v>0</v>
      </c>
      <c r="Q2" s="53" t="str">
        <f ca="1">IFERROR(__xludf.DUMMYFUNCTION("IMPORTRANGE(CONFIG!D4, ""JOGOS!E2:E105"")"),"")</f>
        <v/>
      </c>
      <c r="R2" s="53" t="str">
        <f ca="1">IFERROR(__xludf.DUMMYFUNCTION("IMPORTRANGE(CONFIG!D4, ""JOGOS!G2:G105"")"),"")</f>
        <v/>
      </c>
      <c r="S2" s="53">
        <f t="shared" ref="S2:S105" ca="1" si="3">IF(OR(Q2="", R2=""), 0, IF(OR($E2="", $G2=""), "", (IF(SIGN($E2-$G2)=SIGN(Q2-R2), 2, 0) + IF($E2=Q2, 1, 0) + IF($G2=R2, 1, 0) + IF(AND($E2=Q2, $G2=R2), 1, 0))))</f>
        <v>0</v>
      </c>
      <c r="T2" s="53">
        <f t="shared" ref="T2:T105" ca="1" si="4">IF(OR(Q2="", R2="", $E2="", $G2=""), 0, IF(AND($E2=Q2, $G2=R2), 1, 0))</f>
        <v>0</v>
      </c>
      <c r="U2" s="53" t="str">
        <f ca="1">IFERROR(__xludf.DUMMYFUNCTION("IMPORTRANGE(CONFIG!D5, ""JOGOS!E2:E105"")"),"")</f>
        <v/>
      </c>
      <c r="V2" s="53" t="str">
        <f ca="1">IFERROR(__xludf.DUMMYFUNCTION("IMPORTRANGE(CONFIG!D5, ""JOGOS!G2:G105"")"),"")</f>
        <v/>
      </c>
      <c r="W2" s="53">
        <f t="shared" ref="W2:W105" ca="1" si="5">IF(OR(U2="", V2=""), 0, IF(OR($E2="", $G2=""), "", (IF(SIGN($E2-$G2)=SIGN(U2-V2), 2, 0) + IF($E2=U2, 1, 0) + IF($G2=V2, 1, 0) + IF(AND($E2=U2, $G2=V2), 1, 0))))</f>
        <v>0</v>
      </c>
      <c r="X2" s="53">
        <f t="shared" ref="X2:X105" ca="1" si="6">IF(OR(U2="", V2="", $E2="", $G2=""), 0, IF(AND($E2=U2, $G2=V2), 1, 0))</f>
        <v>0</v>
      </c>
      <c r="Y2" s="53"/>
      <c r="Z2" s="53"/>
      <c r="AA2" s="53">
        <f t="shared" ref="AA2:AA105" si="7">IF(OR(Y2="", Z2=""), 0, IF(OR($E2="", $G2=""), "", (IF(SIGN($E2-$G2)=SIGN(Y2-Z2), 2, 0) + IF($E2=Y2, 1, 0) + IF($G2=Z2, 1, 0) + IF(AND($E2=Y2, $G2=Z2), 1, 0))))</f>
        <v>0</v>
      </c>
      <c r="AB2" s="53">
        <f t="shared" ref="AB2:AB105" si="8">IF(OR(Y2="", Z2="", $E2="", $G2=""), 0, IF(AND($E2=Y2, $G2=Z2), 1, 0))</f>
        <v>0</v>
      </c>
      <c r="AC2" s="53" t="str">
        <f ca="1">IFERROR(__xludf.DUMMYFUNCTION("IMPORTRANGE(CONFIG!D7, ""JOGOS!E2:E105"")"),"")</f>
        <v/>
      </c>
      <c r="AD2" s="53" t="str">
        <f ca="1">IFERROR(__xludf.DUMMYFUNCTION("IMPORTRANGE(CONFIG!D7, ""JOGOS!G2:G105"")"),"")</f>
        <v/>
      </c>
      <c r="AE2" s="53">
        <f t="shared" ref="AE2:AE105" ca="1" si="9">IF(OR(AC2="", AD2=""), 0, IF(OR($E2="", $G2=""), "", (IF(SIGN($E2-$G2)=SIGN(AC2-AD2), 2, 0) + IF($E2=AC2, 1, 0) + IF($G2=AD2, 1, 0) + IF(AND($E2=AC2, $G2=AD2), 1, 0))))</f>
        <v>0</v>
      </c>
      <c r="AF2" s="53">
        <f t="shared" ref="AF2:AF105" ca="1" si="10">IF(OR(AC2="", AD2="", $E2="", $G2=""), 0, IF(AND($E2=AC2, $G2=AD2), 1, 0))</f>
        <v>0</v>
      </c>
      <c r="AG2" s="53" t="str">
        <f ca="1">IFERROR(__xludf.DUMMYFUNCTION("IMPORTRANGE(CONFIG!D8, ""JOGOS!E2:E105"")"),"")</f>
        <v/>
      </c>
      <c r="AH2" s="53" t="str">
        <f ca="1">IFERROR(__xludf.DUMMYFUNCTION("IMPORTRANGE(CONFIG!D8, ""JOGOS!G2:G105"")"),"")</f>
        <v/>
      </c>
      <c r="AI2" s="53">
        <f t="shared" ref="AI2:AI105" ca="1" si="11">IF(OR(AG2="", AH2=""), 0, IF(OR($E2="", $G2=""), "", (IF(SIGN($E2-$G2)=SIGN(AG2-AH2), 2, 0) + IF($E2=AG2, 1, 0) + IF($G2=AH2, 1, 0) + IF(AND($E2=AG2, $G2=AH2), 1, 0))))</f>
        <v>0</v>
      </c>
      <c r="AJ2" s="53">
        <f t="shared" ref="AJ2:AJ105" ca="1" si="12">IF(OR(AG2="", AH2="", $E2="", $G2=""), 0, IF(AND($E2=AG2, $G2=AH2), 1, 0))</f>
        <v>0</v>
      </c>
      <c r="AK2" s="53" t="str">
        <f ca="1">IFERROR(__xludf.DUMMYFUNCTION("IMPORTRANGE(CONFIG!D9, ""JOGOS!E2:E105"")"),"")</f>
        <v/>
      </c>
      <c r="AL2" s="53" t="str">
        <f ca="1">IFERROR(__xludf.DUMMYFUNCTION("IMPORTRANGE(CONFIG!D9, ""JOGOS!G2:G105"")"),"")</f>
        <v/>
      </c>
      <c r="AM2" s="53">
        <f t="shared" ref="AM2:AM105" ca="1" si="13">IF(OR(AK2="", AL2=""), 0, IF(OR($E2="", $G2=""), "", (IF(SIGN($E2-$G2)=SIGN(AK2-AL2), 2, 0) + IF($E2=AK2, 1, 0) + IF($G2=AL2, 1, 0) + IF(AND($E2=AK2, $G2=AL2), 1, 0))))</f>
        <v>0</v>
      </c>
      <c r="AN2" s="53">
        <f t="shared" ref="AN2:AN105" ca="1" si="14">IF(OR(AK2="", AL2="", $E2="", $G2=""), 0, IF(AND($E2=AK2, $G2=AL2), 1, 0))</f>
        <v>0</v>
      </c>
      <c r="AO2" s="53" t="str">
        <f ca="1">IFERROR(__xludf.DUMMYFUNCTION("IMPORTRANGE(CONFIG!D10, ""JOGOS!E2:E105"")"),"")</f>
        <v/>
      </c>
      <c r="AP2" s="53" t="str">
        <f ca="1">IFERROR(__xludf.DUMMYFUNCTION("IMPORTRANGE(CONFIG!D10, ""JOGOS!G2:G105"")"),"")</f>
        <v/>
      </c>
      <c r="AQ2" s="53">
        <f t="shared" ref="AQ2:AQ105" ca="1" si="15">IF(OR(AO2="", AP2=""), 0, IF(OR($E2="", $G2=""), "", (IF(SIGN($E2-$G2)=SIGN(AO2-AP2), 2, 0) + IF($E2=AO2, 1, 0) + IF($G2=AP2, 1, 0) + IF(AND($E2=AO2, $G2=AP2), 1, 0))))</f>
        <v>0</v>
      </c>
      <c r="AR2" s="53">
        <f t="shared" ref="AR2:AR105" ca="1" si="16">IF(OR(AO2="", AP2="", $E2="", $G2=""), 0, IF(AND($E2=AO2, $G2=AP2), 1, 0))</f>
        <v>0</v>
      </c>
      <c r="AS2" s="53" t="str">
        <f ca="1">IFERROR(__xludf.DUMMYFUNCTION("IMPORTRANGE(CONFIG!D11, ""JOGOS!E2:E105"")"),"")</f>
        <v/>
      </c>
      <c r="AT2" s="53" t="str">
        <f ca="1">IFERROR(__xludf.DUMMYFUNCTION("IMPORTRANGE(CONFIG!D11, ""JOGOS!G2:G105"")"),"")</f>
        <v/>
      </c>
      <c r="AU2" s="53">
        <f t="shared" ref="AU2:AU105" ca="1" si="17">IF(OR(AS2="", AT2=""), 0, IF(OR($E2="", $G2=""), "", (IF(SIGN($E2-$G2)=SIGN(AS2-AT2), 2, 0) + IF($E2=AS2, 1, 0) + IF($G2=AT2, 1, 0) + IF(AND($E2=AS2, $G2=AT2), 1, 0))))</f>
        <v>0</v>
      </c>
      <c r="AV2" s="53">
        <f t="shared" ref="AV2:AV105" ca="1" si="18">IF(OR(AS2="", AT2="", $E2="", $G2=""), 0, IF(AND($E2=AS2, $G2=AT2), 1, 0))</f>
        <v>0</v>
      </c>
      <c r="AW2" s="53"/>
      <c r="AX2" s="53"/>
      <c r="AY2" s="53">
        <f t="shared" ref="AY2:AY105" si="19">IF(OR(AW2="", AX2=""), 0, IF(OR($E2="", $G2=""), "", (IF(SIGN($E2-$G2)=SIGN(AW2-AX2), 2, 0) + IF($E2=AW2, 1, 0) + IF($G2=AX2, 1, 0) + IF(AND($E2=AW2, $G2=AX2), 1, 0))))</f>
        <v>0</v>
      </c>
      <c r="AZ2" s="53">
        <f t="shared" ref="AZ2:AZ105" si="20">IF(OR(AW2="", AX2="", $E2="", $G2=""), 0, IF(AND($E2=AW2, $G2=AX2), 1, 0))</f>
        <v>0</v>
      </c>
      <c r="BA2" s="53" t="str">
        <f ca="1">IFERROR(__xludf.DUMMYFUNCTION("IMPORTRANGE(CONFIG!D13, ""JOGOS!E2:E105"")"),"")</f>
        <v/>
      </c>
      <c r="BB2" s="53" t="str">
        <f ca="1">IFERROR(__xludf.DUMMYFUNCTION("IMPORTRANGE(CONFIG!D13, ""JOGOS!G2:G105"")"),"")</f>
        <v/>
      </c>
      <c r="BC2" s="53">
        <f t="shared" ref="BC2:BC105" ca="1" si="21">IF(OR(BA2="", BB2=""), 0, IF(OR($E2="", $G2=""), "", (IF(SIGN($E2-$G2)=SIGN(BA2-BB2), 2, 0) + IF($E2=BA2, 1, 0) + IF($G2=BB2, 1, 0) + IF(AND($E2=BA2, $G2=BB2), 1, 0))))</f>
        <v>0</v>
      </c>
      <c r="BD2" s="53">
        <f t="shared" ref="BD2:BD105" ca="1" si="22">IF(OR(BA2="", BB2="", $E2="", $G2=""), 0, IF(AND($E2=BA2, $G2=BB2), 1, 0))</f>
        <v>0</v>
      </c>
      <c r="BE2" s="53" t="str">
        <f ca="1">IFERROR(__xludf.DUMMYFUNCTION("IMPORTRANGE(CONFIG!D14, ""JOGOS!E2:E105"")"),"")</f>
        <v/>
      </c>
      <c r="BF2" s="53" t="str">
        <f ca="1">IFERROR(__xludf.DUMMYFUNCTION("IMPORTRANGE(CONFIG!D14, ""JOGOS!G2:G105"")"),"")</f>
        <v/>
      </c>
      <c r="BG2" s="53">
        <f t="shared" ref="BG2:BG105" ca="1" si="23">IF(OR(BE2="", BF2=""), 0, IF(OR($E2="", $G2=""), "", (IF(SIGN($E2-$G2)=SIGN(BE2-BF2), 2, 0) + IF($E2=BE2, 1, 0) + IF($G2=BF2, 1, 0) + IF(AND($E2=BE2, $G2=BF2), 1, 0))))</f>
        <v>0</v>
      </c>
      <c r="BH2" s="53">
        <f t="shared" ref="BH2:BH105" ca="1" si="24">IF(OR(BE2="", BF2="", $E2="", $G2=""), 0, IF(AND($E2=BE2, $G2=BF2), 1, 0))</f>
        <v>0</v>
      </c>
      <c r="BI2" s="53" t="str">
        <f ca="1">IFERROR(__xludf.DUMMYFUNCTION("IMPORTRANGE(CONFIG!D15, ""JOGOS!E2:E105"")"),"")</f>
        <v/>
      </c>
      <c r="BJ2" s="53" t="str">
        <f ca="1">IFERROR(__xludf.DUMMYFUNCTION("IMPORTRANGE(CONFIG!D15, ""JOGOS!G2:G105"")"),"")</f>
        <v/>
      </c>
      <c r="BK2" s="53">
        <f t="shared" ref="BK2:BK105" ca="1" si="25">IF(OR(BI2="", BJ2=""), 0, IF(OR($E2="", $G2=""), "", (IF(SIGN($E2-$G2)=SIGN(BI2-BJ2), 2, 0) + IF($E2=BI2, 1, 0) + IF($G2=BJ2, 1, 0) + IF(AND($E2=BI2, $G2=BJ2), 1, 0))))</f>
        <v>0</v>
      </c>
      <c r="BL2" s="53">
        <f t="shared" ref="BL2:BL105" ca="1" si="26">IF(OR(BI2="", BJ2="", $E2="", $G2=""), 0, IF(AND($E2=BI2, $G2=BJ2), 1, 0))</f>
        <v>0</v>
      </c>
      <c r="BM2" s="54"/>
    </row>
    <row r="3" spans="1:65" ht="12.75">
      <c r="A3" s="49">
        <f>CALENDARIO!A3</f>
        <v>2</v>
      </c>
      <c r="B3" s="50">
        <f>CALENDARIO!B3</f>
        <v>46184</v>
      </c>
      <c r="C3" s="51">
        <f>CALENDARIO!C3</f>
        <v>0.95833333333333337</v>
      </c>
      <c r="D3" s="52" t="str">
        <f>CALENDARIO!D3</f>
        <v>República da Coreia</v>
      </c>
      <c r="E3" s="52">
        <f>CALENDARIO!E3</f>
        <v>0</v>
      </c>
      <c r="F3" s="49" t="str">
        <f>CALENDARIO!F3</f>
        <v>x</v>
      </c>
      <c r="G3" s="49">
        <f>CALENDARIO!G3</f>
        <v>0</v>
      </c>
      <c r="H3" s="52" t="str">
        <f>CALENDARIO!H3</f>
        <v>República Tcheca</v>
      </c>
      <c r="I3" s="53"/>
      <c r="J3" s="53"/>
      <c r="K3" s="53">
        <f t="shared" ref="K2:K105" si="27">IF(OR(I3="", J3=""), 0, IF(OR($E3="", $G3=""), "", (IF(SIGN($E3-$G3)=SIGN(I3-J3), 2, 0) + IF($E3=I3, 1, 0) + IF($G3=J3, 1, 0) + IF(AND($E3=I3, $G3=J3), 1, 0))))</f>
        <v>0</v>
      </c>
      <c r="L3" s="53">
        <f t="shared" si="0"/>
        <v>0</v>
      </c>
      <c r="M3" s="53"/>
      <c r="N3" s="53"/>
      <c r="O3" s="53">
        <f t="shared" si="1"/>
        <v>0</v>
      </c>
      <c r="P3" s="53">
        <f t="shared" si="2"/>
        <v>0</v>
      </c>
      <c r="Q3" s="53"/>
      <c r="R3" s="53"/>
      <c r="S3" s="53">
        <f t="shared" si="3"/>
        <v>0</v>
      </c>
      <c r="T3" s="53">
        <f t="shared" si="4"/>
        <v>0</v>
      </c>
      <c r="U3" s="53"/>
      <c r="V3" s="53"/>
      <c r="W3" s="53">
        <f t="shared" si="5"/>
        <v>0</v>
      </c>
      <c r="X3" s="53">
        <f t="shared" si="6"/>
        <v>0</v>
      </c>
      <c r="Y3" s="53"/>
      <c r="Z3" s="53"/>
      <c r="AA3" s="53">
        <f t="shared" si="7"/>
        <v>0</v>
      </c>
      <c r="AB3" s="53">
        <f t="shared" si="8"/>
        <v>0</v>
      </c>
      <c r="AC3" s="53"/>
      <c r="AD3" s="53"/>
      <c r="AE3" s="53">
        <f t="shared" si="9"/>
        <v>0</v>
      </c>
      <c r="AF3" s="53">
        <f t="shared" si="10"/>
        <v>0</v>
      </c>
      <c r="AG3" s="53"/>
      <c r="AH3" s="53"/>
      <c r="AI3" s="53">
        <f t="shared" si="11"/>
        <v>0</v>
      </c>
      <c r="AJ3" s="53">
        <f t="shared" si="12"/>
        <v>0</v>
      </c>
      <c r="AK3" s="53"/>
      <c r="AL3" s="53"/>
      <c r="AM3" s="53">
        <f t="shared" si="13"/>
        <v>0</v>
      </c>
      <c r="AN3" s="53">
        <f t="shared" si="14"/>
        <v>0</v>
      </c>
      <c r="AO3" s="53"/>
      <c r="AP3" s="53"/>
      <c r="AQ3" s="53">
        <f t="shared" si="15"/>
        <v>0</v>
      </c>
      <c r="AR3" s="53">
        <f t="shared" si="16"/>
        <v>0</v>
      </c>
      <c r="AS3" s="53"/>
      <c r="AT3" s="53"/>
      <c r="AU3" s="53">
        <f t="shared" si="17"/>
        <v>0</v>
      </c>
      <c r="AV3" s="53">
        <f t="shared" si="18"/>
        <v>0</v>
      </c>
      <c r="AW3" s="53"/>
      <c r="AX3" s="53"/>
      <c r="AY3" s="53">
        <f t="shared" si="19"/>
        <v>0</v>
      </c>
      <c r="AZ3" s="53">
        <f t="shared" si="20"/>
        <v>0</v>
      </c>
      <c r="BA3" s="53"/>
      <c r="BB3" s="53"/>
      <c r="BC3" s="53">
        <f t="shared" si="21"/>
        <v>0</v>
      </c>
      <c r="BD3" s="53">
        <f t="shared" si="22"/>
        <v>0</v>
      </c>
      <c r="BE3" s="53"/>
      <c r="BF3" s="53"/>
      <c r="BG3" s="53">
        <f t="shared" si="23"/>
        <v>0</v>
      </c>
      <c r="BH3" s="53">
        <f t="shared" si="24"/>
        <v>0</v>
      </c>
      <c r="BI3" s="53"/>
      <c r="BJ3" s="53"/>
      <c r="BK3" s="53">
        <f t="shared" si="25"/>
        <v>0</v>
      </c>
      <c r="BL3" s="53">
        <f t="shared" si="26"/>
        <v>0</v>
      </c>
      <c r="BM3" s="54"/>
    </row>
    <row r="4" spans="1:65" ht="12.75">
      <c r="A4" s="49">
        <f>CALENDARIO!A4</f>
        <v>3</v>
      </c>
      <c r="B4" s="50">
        <f>CALENDARIO!B4</f>
        <v>46185</v>
      </c>
      <c r="C4" s="51">
        <f>CALENDARIO!C4</f>
        <v>0.66666666666666663</v>
      </c>
      <c r="D4" s="52" t="str">
        <f>CALENDARIO!D4</f>
        <v>Canadá</v>
      </c>
      <c r="E4" s="52">
        <f>CALENDARIO!E4</f>
        <v>0</v>
      </c>
      <c r="F4" s="49" t="str">
        <f>CALENDARIO!F4</f>
        <v>x</v>
      </c>
      <c r="G4" s="49">
        <f>CALENDARIO!G4</f>
        <v>0</v>
      </c>
      <c r="H4" s="52" t="str">
        <f>CALENDARIO!H4</f>
        <v>Bósnia e Herzegovina</v>
      </c>
      <c r="I4" s="53"/>
      <c r="J4" s="53"/>
      <c r="K4" s="53">
        <f t="shared" si="27"/>
        <v>0</v>
      </c>
      <c r="L4" s="53">
        <f t="shared" si="0"/>
        <v>0</v>
      </c>
      <c r="M4" s="53"/>
      <c r="N4" s="53"/>
      <c r="O4" s="53">
        <f t="shared" si="1"/>
        <v>0</v>
      </c>
      <c r="P4" s="53">
        <f t="shared" si="2"/>
        <v>0</v>
      </c>
      <c r="Q4" s="53"/>
      <c r="R4" s="53"/>
      <c r="S4" s="53">
        <f t="shared" si="3"/>
        <v>0</v>
      </c>
      <c r="T4" s="53">
        <f t="shared" si="4"/>
        <v>0</v>
      </c>
      <c r="U4" s="53"/>
      <c r="V4" s="53"/>
      <c r="W4" s="53">
        <f t="shared" si="5"/>
        <v>0</v>
      </c>
      <c r="X4" s="53">
        <f t="shared" si="6"/>
        <v>0</v>
      </c>
      <c r="Y4" s="53"/>
      <c r="Z4" s="53"/>
      <c r="AA4" s="53">
        <f t="shared" si="7"/>
        <v>0</v>
      </c>
      <c r="AB4" s="53">
        <f t="shared" si="8"/>
        <v>0</v>
      </c>
      <c r="AC4" s="53"/>
      <c r="AD4" s="53"/>
      <c r="AE4" s="53">
        <f t="shared" si="9"/>
        <v>0</v>
      </c>
      <c r="AF4" s="53">
        <f t="shared" si="10"/>
        <v>0</v>
      </c>
      <c r="AG4" s="53"/>
      <c r="AH4" s="53"/>
      <c r="AI4" s="53">
        <f t="shared" si="11"/>
        <v>0</v>
      </c>
      <c r="AJ4" s="53">
        <f t="shared" si="12"/>
        <v>0</v>
      </c>
      <c r="AK4" s="53"/>
      <c r="AL4" s="53"/>
      <c r="AM4" s="53">
        <f t="shared" si="13"/>
        <v>0</v>
      </c>
      <c r="AN4" s="53">
        <f t="shared" si="14"/>
        <v>0</v>
      </c>
      <c r="AO4" s="53"/>
      <c r="AP4" s="53"/>
      <c r="AQ4" s="53">
        <f t="shared" si="15"/>
        <v>0</v>
      </c>
      <c r="AR4" s="53">
        <f t="shared" si="16"/>
        <v>0</v>
      </c>
      <c r="AS4" s="53"/>
      <c r="AT4" s="53"/>
      <c r="AU4" s="53">
        <f t="shared" si="17"/>
        <v>0</v>
      </c>
      <c r="AV4" s="53">
        <f t="shared" si="18"/>
        <v>0</v>
      </c>
      <c r="AW4" s="53"/>
      <c r="AX4" s="53"/>
      <c r="AY4" s="53">
        <f t="shared" si="19"/>
        <v>0</v>
      </c>
      <c r="AZ4" s="53">
        <f t="shared" si="20"/>
        <v>0</v>
      </c>
      <c r="BA4" s="53"/>
      <c r="BB4" s="53"/>
      <c r="BC4" s="53">
        <f t="shared" si="21"/>
        <v>0</v>
      </c>
      <c r="BD4" s="53">
        <f t="shared" si="22"/>
        <v>0</v>
      </c>
      <c r="BE4" s="53"/>
      <c r="BF4" s="53"/>
      <c r="BG4" s="53">
        <f t="shared" si="23"/>
        <v>0</v>
      </c>
      <c r="BH4" s="53">
        <f t="shared" si="24"/>
        <v>0</v>
      </c>
      <c r="BI4" s="53"/>
      <c r="BJ4" s="53"/>
      <c r="BK4" s="53">
        <f t="shared" si="25"/>
        <v>0</v>
      </c>
      <c r="BL4" s="53">
        <f t="shared" si="26"/>
        <v>0</v>
      </c>
      <c r="BM4" s="54"/>
    </row>
    <row r="5" spans="1:65" ht="12.75">
      <c r="A5" s="49">
        <f>CALENDARIO!A5</f>
        <v>4</v>
      </c>
      <c r="B5" s="50">
        <f>CALENDARIO!B5</f>
        <v>46185</v>
      </c>
      <c r="C5" s="51">
        <f>CALENDARIO!C5</f>
        <v>0.91666666666666663</v>
      </c>
      <c r="D5" s="52" t="str">
        <f>CALENDARIO!D5</f>
        <v>Estados Unidos</v>
      </c>
      <c r="E5" s="52">
        <f>CALENDARIO!E5</f>
        <v>0</v>
      </c>
      <c r="F5" s="49" t="str">
        <f>CALENDARIO!F5</f>
        <v>x</v>
      </c>
      <c r="G5" s="49">
        <f>CALENDARIO!G5</f>
        <v>0</v>
      </c>
      <c r="H5" s="52" t="str">
        <f>CALENDARIO!H5</f>
        <v>Paraguai</v>
      </c>
      <c r="I5" s="53"/>
      <c r="J5" s="53"/>
      <c r="K5" s="53">
        <f t="shared" si="27"/>
        <v>0</v>
      </c>
      <c r="L5" s="53">
        <f t="shared" si="0"/>
        <v>0</v>
      </c>
      <c r="M5" s="53"/>
      <c r="N5" s="53"/>
      <c r="O5" s="53">
        <f t="shared" si="1"/>
        <v>0</v>
      </c>
      <c r="P5" s="53">
        <f t="shared" si="2"/>
        <v>0</v>
      </c>
      <c r="Q5" s="53"/>
      <c r="R5" s="53"/>
      <c r="S5" s="53">
        <f t="shared" si="3"/>
        <v>0</v>
      </c>
      <c r="T5" s="53">
        <f t="shared" si="4"/>
        <v>0</v>
      </c>
      <c r="U5" s="53"/>
      <c r="V5" s="53"/>
      <c r="W5" s="53">
        <f t="shared" si="5"/>
        <v>0</v>
      </c>
      <c r="X5" s="53">
        <f t="shared" si="6"/>
        <v>0</v>
      </c>
      <c r="Y5" s="53"/>
      <c r="Z5" s="53"/>
      <c r="AA5" s="53">
        <f t="shared" si="7"/>
        <v>0</v>
      </c>
      <c r="AB5" s="53">
        <f t="shared" si="8"/>
        <v>0</v>
      </c>
      <c r="AC5" s="53"/>
      <c r="AD5" s="53"/>
      <c r="AE5" s="53">
        <f t="shared" si="9"/>
        <v>0</v>
      </c>
      <c r="AF5" s="53">
        <f t="shared" si="10"/>
        <v>0</v>
      </c>
      <c r="AG5" s="53"/>
      <c r="AH5" s="53"/>
      <c r="AI5" s="53">
        <f t="shared" si="11"/>
        <v>0</v>
      </c>
      <c r="AJ5" s="53">
        <f t="shared" si="12"/>
        <v>0</v>
      </c>
      <c r="AK5" s="53"/>
      <c r="AL5" s="53"/>
      <c r="AM5" s="53">
        <f t="shared" si="13"/>
        <v>0</v>
      </c>
      <c r="AN5" s="53">
        <f t="shared" si="14"/>
        <v>0</v>
      </c>
      <c r="AO5" s="53"/>
      <c r="AP5" s="53"/>
      <c r="AQ5" s="53">
        <f t="shared" si="15"/>
        <v>0</v>
      </c>
      <c r="AR5" s="53">
        <f t="shared" si="16"/>
        <v>0</v>
      </c>
      <c r="AS5" s="53"/>
      <c r="AT5" s="53"/>
      <c r="AU5" s="53">
        <f t="shared" si="17"/>
        <v>0</v>
      </c>
      <c r="AV5" s="53">
        <f t="shared" si="18"/>
        <v>0</v>
      </c>
      <c r="AW5" s="53"/>
      <c r="AX5" s="53"/>
      <c r="AY5" s="53">
        <f t="shared" si="19"/>
        <v>0</v>
      </c>
      <c r="AZ5" s="53">
        <f t="shared" si="20"/>
        <v>0</v>
      </c>
      <c r="BA5" s="53"/>
      <c r="BB5" s="53"/>
      <c r="BC5" s="53">
        <f t="shared" si="21"/>
        <v>0</v>
      </c>
      <c r="BD5" s="53">
        <f t="shared" si="22"/>
        <v>0</v>
      </c>
      <c r="BE5" s="53"/>
      <c r="BF5" s="53"/>
      <c r="BG5" s="53">
        <f t="shared" si="23"/>
        <v>0</v>
      </c>
      <c r="BH5" s="53">
        <f t="shared" si="24"/>
        <v>0</v>
      </c>
      <c r="BI5" s="53"/>
      <c r="BJ5" s="53"/>
      <c r="BK5" s="53">
        <f t="shared" si="25"/>
        <v>0</v>
      </c>
      <c r="BL5" s="53">
        <f t="shared" si="26"/>
        <v>0</v>
      </c>
      <c r="BM5" s="54"/>
    </row>
    <row r="6" spans="1:65" ht="12.75">
      <c r="A6" s="49">
        <f>CALENDARIO!A6</f>
        <v>5</v>
      </c>
      <c r="B6" s="50">
        <f>CALENDARIO!B6</f>
        <v>46186</v>
      </c>
      <c r="C6" s="51">
        <f>CALENDARIO!C6</f>
        <v>0.66666666666666663</v>
      </c>
      <c r="D6" s="52" t="str">
        <f>CALENDARIO!D6</f>
        <v>Catar</v>
      </c>
      <c r="E6" s="52">
        <f>CALENDARIO!E6</f>
        <v>0</v>
      </c>
      <c r="F6" s="49" t="str">
        <f>CALENDARIO!F6</f>
        <v>x</v>
      </c>
      <c r="G6" s="49">
        <f>CALENDARIO!G6</f>
        <v>0</v>
      </c>
      <c r="H6" s="52" t="str">
        <f>CALENDARIO!H6</f>
        <v>Suíça</v>
      </c>
      <c r="I6" s="53"/>
      <c r="J6" s="53"/>
      <c r="K6" s="53">
        <f t="shared" si="27"/>
        <v>0</v>
      </c>
      <c r="L6" s="53">
        <f t="shared" si="0"/>
        <v>0</v>
      </c>
      <c r="M6" s="53"/>
      <c r="N6" s="53"/>
      <c r="O6" s="53">
        <f t="shared" si="1"/>
        <v>0</v>
      </c>
      <c r="P6" s="53">
        <f t="shared" si="2"/>
        <v>0</v>
      </c>
      <c r="Q6" s="53"/>
      <c r="R6" s="53"/>
      <c r="S6" s="53">
        <f t="shared" si="3"/>
        <v>0</v>
      </c>
      <c r="T6" s="53">
        <f t="shared" si="4"/>
        <v>0</v>
      </c>
      <c r="U6" s="53"/>
      <c r="V6" s="53"/>
      <c r="W6" s="53">
        <f t="shared" si="5"/>
        <v>0</v>
      </c>
      <c r="X6" s="53">
        <f t="shared" si="6"/>
        <v>0</v>
      </c>
      <c r="Y6" s="53"/>
      <c r="Z6" s="53"/>
      <c r="AA6" s="53">
        <f t="shared" si="7"/>
        <v>0</v>
      </c>
      <c r="AB6" s="53">
        <f t="shared" si="8"/>
        <v>0</v>
      </c>
      <c r="AC6" s="53"/>
      <c r="AD6" s="53"/>
      <c r="AE6" s="53">
        <f t="shared" si="9"/>
        <v>0</v>
      </c>
      <c r="AF6" s="53">
        <f t="shared" si="10"/>
        <v>0</v>
      </c>
      <c r="AG6" s="53"/>
      <c r="AH6" s="53"/>
      <c r="AI6" s="53">
        <f t="shared" si="11"/>
        <v>0</v>
      </c>
      <c r="AJ6" s="53">
        <f t="shared" si="12"/>
        <v>0</v>
      </c>
      <c r="AK6" s="53"/>
      <c r="AL6" s="53"/>
      <c r="AM6" s="53">
        <f t="shared" si="13"/>
        <v>0</v>
      </c>
      <c r="AN6" s="53">
        <f t="shared" si="14"/>
        <v>0</v>
      </c>
      <c r="AO6" s="53"/>
      <c r="AP6" s="53"/>
      <c r="AQ6" s="53">
        <f t="shared" si="15"/>
        <v>0</v>
      </c>
      <c r="AR6" s="53">
        <f t="shared" si="16"/>
        <v>0</v>
      </c>
      <c r="AS6" s="53"/>
      <c r="AT6" s="53"/>
      <c r="AU6" s="53">
        <f t="shared" si="17"/>
        <v>0</v>
      </c>
      <c r="AV6" s="53">
        <f t="shared" si="18"/>
        <v>0</v>
      </c>
      <c r="AW6" s="53"/>
      <c r="AX6" s="53"/>
      <c r="AY6" s="53">
        <f t="shared" si="19"/>
        <v>0</v>
      </c>
      <c r="AZ6" s="53">
        <f t="shared" si="20"/>
        <v>0</v>
      </c>
      <c r="BA6" s="53"/>
      <c r="BB6" s="53"/>
      <c r="BC6" s="53">
        <f t="shared" si="21"/>
        <v>0</v>
      </c>
      <c r="BD6" s="53">
        <f t="shared" si="22"/>
        <v>0</v>
      </c>
      <c r="BE6" s="53"/>
      <c r="BF6" s="53"/>
      <c r="BG6" s="53">
        <f t="shared" si="23"/>
        <v>0</v>
      </c>
      <c r="BH6" s="53">
        <f t="shared" si="24"/>
        <v>0</v>
      </c>
      <c r="BI6" s="53"/>
      <c r="BJ6" s="53"/>
      <c r="BK6" s="53">
        <f t="shared" si="25"/>
        <v>0</v>
      </c>
      <c r="BL6" s="53">
        <f t="shared" si="26"/>
        <v>0</v>
      </c>
      <c r="BM6" s="54"/>
    </row>
    <row r="7" spans="1:65" ht="12.75">
      <c r="A7" s="49">
        <f>CALENDARIO!A7</f>
        <v>6</v>
      </c>
      <c r="B7" s="50">
        <f>CALENDARIO!B7</f>
        <v>46186</v>
      </c>
      <c r="C7" s="51">
        <f>CALENDARIO!C7</f>
        <v>0.79166666666666663</v>
      </c>
      <c r="D7" s="52" t="str">
        <f>CALENDARIO!D7</f>
        <v>Brasil</v>
      </c>
      <c r="E7" s="52">
        <f>CALENDARIO!E7</f>
        <v>0</v>
      </c>
      <c r="F7" s="49" t="str">
        <f>CALENDARIO!F7</f>
        <v>x</v>
      </c>
      <c r="G7" s="49">
        <f>CALENDARIO!G7</f>
        <v>0</v>
      </c>
      <c r="H7" s="52" t="str">
        <f>CALENDARIO!H7</f>
        <v>Marrocos</v>
      </c>
      <c r="I7" s="53"/>
      <c r="J7" s="53"/>
      <c r="K7" s="53">
        <f t="shared" si="27"/>
        <v>0</v>
      </c>
      <c r="L7" s="53">
        <f t="shared" si="0"/>
        <v>0</v>
      </c>
      <c r="M7" s="53"/>
      <c r="N7" s="53"/>
      <c r="O7" s="53">
        <f t="shared" si="1"/>
        <v>0</v>
      </c>
      <c r="P7" s="53">
        <f t="shared" si="2"/>
        <v>0</v>
      </c>
      <c r="Q7" s="53"/>
      <c r="R7" s="53"/>
      <c r="S7" s="53">
        <f t="shared" si="3"/>
        <v>0</v>
      </c>
      <c r="T7" s="53">
        <f t="shared" si="4"/>
        <v>0</v>
      </c>
      <c r="U7" s="53"/>
      <c r="V7" s="53"/>
      <c r="W7" s="53">
        <f t="shared" si="5"/>
        <v>0</v>
      </c>
      <c r="X7" s="53">
        <f t="shared" si="6"/>
        <v>0</v>
      </c>
      <c r="Y7" s="53"/>
      <c r="Z7" s="53"/>
      <c r="AA7" s="53">
        <f t="shared" si="7"/>
        <v>0</v>
      </c>
      <c r="AB7" s="53">
        <f t="shared" si="8"/>
        <v>0</v>
      </c>
      <c r="AC7" s="53"/>
      <c r="AD7" s="53"/>
      <c r="AE7" s="53">
        <f t="shared" si="9"/>
        <v>0</v>
      </c>
      <c r="AF7" s="53">
        <f t="shared" si="10"/>
        <v>0</v>
      </c>
      <c r="AG7" s="53"/>
      <c r="AH7" s="53"/>
      <c r="AI7" s="53">
        <f t="shared" si="11"/>
        <v>0</v>
      </c>
      <c r="AJ7" s="53">
        <f t="shared" si="12"/>
        <v>0</v>
      </c>
      <c r="AK7" s="53"/>
      <c r="AL7" s="53"/>
      <c r="AM7" s="53">
        <f t="shared" si="13"/>
        <v>0</v>
      </c>
      <c r="AN7" s="53">
        <f t="shared" si="14"/>
        <v>0</v>
      </c>
      <c r="AO7" s="53"/>
      <c r="AP7" s="53"/>
      <c r="AQ7" s="53">
        <f t="shared" si="15"/>
        <v>0</v>
      </c>
      <c r="AR7" s="53">
        <f t="shared" si="16"/>
        <v>0</v>
      </c>
      <c r="AS7" s="53"/>
      <c r="AT7" s="53"/>
      <c r="AU7" s="53">
        <f t="shared" si="17"/>
        <v>0</v>
      </c>
      <c r="AV7" s="53">
        <f t="shared" si="18"/>
        <v>0</v>
      </c>
      <c r="AW7" s="53"/>
      <c r="AX7" s="53"/>
      <c r="AY7" s="53">
        <f t="shared" si="19"/>
        <v>0</v>
      </c>
      <c r="AZ7" s="53">
        <f t="shared" si="20"/>
        <v>0</v>
      </c>
      <c r="BA7" s="53"/>
      <c r="BB7" s="53"/>
      <c r="BC7" s="53">
        <f t="shared" si="21"/>
        <v>0</v>
      </c>
      <c r="BD7" s="53">
        <f t="shared" si="22"/>
        <v>0</v>
      </c>
      <c r="BE7" s="53"/>
      <c r="BF7" s="53"/>
      <c r="BG7" s="53">
        <f t="shared" si="23"/>
        <v>0</v>
      </c>
      <c r="BH7" s="53">
        <f t="shared" si="24"/>
        <v>0</v>
      </c>
      <c r="BI7" s="53"/>
      <c r="BJ7" s="53"/>
      <c r="BK7" s="53">
        <f t="shared" si="25"/>
        <v>0</v>
      </c>
      <c r="BL7" s="53">
        <f t="shared" si="26"/>
        <v>0</v>
      </c>
      <c r="BM7" s="54"/>
    </row>
    <row r="8" spans="1:65" ht="12.75">
      <c r="A8" s="49">
        <f>CALENDARIO!A8</f>
        <v>7</v>
      </c>
      <c r="B8" s="50">
        <f>CALENDARIO!B8</f>
        <v>46186</v>
      </c>
      <c r="C8" s="51">
        <f>CALENDARIO!C8</f>
        <v>0.91666666666666663</v>
      </c>
      <c r="D8" s="52" t="str">
        <f>CALENDARIO!D8</f>
        <v>Haiti</v>
      </c>
      <c r="E8" s="52">
        <f>CALENDARIO!E8</f>
        <v>0</v>
      </c>
      <c r="F8" s="49" t="str">
        <f>CALENDARIO!F8</f>
        <v>x</v>
      </c>
      <c r="G8" s="49">
        <f>CALENDARIO!G8</f>
        <v>0</v>
      </c>
      <c r="H8" s="52" t="str">
        <f>CALENDARIO!H8</f>
        <v>Escócia</v>
      </c>
      <c r="I8" s="53"/>
      <c r="J8" s="53"/>
      <c r="K8" s="53">
        <f t="shared" si="27"/>
        <v>0</v>
      </c>
      <c r="L8" s="53">
        <f t="shared" si="0"/>
        <v>0</v>
      </c>
      <c r="M8" s="53"/>
      <c r="N8" s="53"/>
      <c r="O8" s="53">
        <f t="shared" si="1"/>
        <v>0</v>
      </c>
      <c r="P8" s="53">
        <f t="shared" si="2"/>
        <v>0</v>
      </c>
      <c r="Q8" s="53"/>
      <c r="R8" s="53"/>
      <c r="S8" s="53">
        <f t="shared" si="3"/>
        <v>0</v>
      </c>
      <c r="T8" s="53">
        <f t="shared" si="4"/>
        <v>0</v>
      </c>
      <c r="U8" s="53"/>
      <c r="V8" s="53"/>
      <c r="W8" s="53">
        <f t="shared" si="5"/>
        <v>0</v>
      </c>
      <c r="X8" s="53">
        <f t="shared" si="6"/>
        <v>0</v>
      </c>
      <c r="Y8" s="53"/>
      <c r="Z8" s="53"/>
      <c r="AA8" s="53">
        <f t="shared" si="7"/>
        <v>0</v>
      </c>
      <c r="AB8" s="53">
        <f t="shared" si="8"/>
        <v>0</v>
      </c>
      <c r="AC8" s="53"/>
      <c r="AD8" s="53"/>
      <c r="AE8" s="53">
        <f t="shared" si="9"/>
        <v>0</v>
      </c>
      <c r="AF8" s="53">
        <f t="shared" si="10"/>
        <v>0</v>
      </c>
      <c r="AG8" s="53"/>
      <c r="AH8" s="53"/>
      <c r="AI8" s="53">
        <f t="shared" si="11"/>
        <v>0</v>
      </c>
      <c r="AJ8" s="53">
        <f t="shared" si="12"/>
        <v>0</v>
      </c>
      <c r="AK8" s="53"/>
      <c r="AL8" s="53"/>
      <c r="AM8" s="53">
        <f t="shared" si="13"/>
        <v>0</v>
      </c>
      <c r="AN8" s="53">
        <f t="shared" si="14"/>
        <v>0</v>
      </c>
      <c r="AO8" s="53"/>
      <c r="AP8" s="53"/>
      <c r="AQ8" s="53">
        <f t="shared" si="15"/>
        <v>0</v>
      </c>
      <c r="AR8" s="53">
        <f t="shared" si="16"/>
        <v>0</v>
      </c>
      <c r="AS8" s="53"/>
      <c r="AT8" s="53"/>
      <c r="AU8" s="53">
        <f t="shared" si="17"/>
        <v>0</v>
      </c>
      <c r="AV8" s="53">
        <f t="shared" si="18"/>
        <v>0</v>
      </c>
      <c r="AW8" s="53"/>
      <c r="AX8" s="53"/>
      <c r="AY8" s="53">
        <f t="shared" si="19"/>
        <v>0</v>
      </c>
      <c r="AZ8" s="53">
        <f t="shared" si="20"/>
        <v>0</v>
      </c>
      <c r="BA8" s="53"/>
      <c r="BB8" s="53"/>
      <c r="BC8" s="53">
        <f t="shared" si="21"/>
        <v>0</v>
      </c>
      <c r="BD8" s="53">
        <f t="shared" si="22"/>
        <v>0</v>
      </c>
      <c r="BE8" s="53"/>
      <c r="BF8" s="53"/>
      <c r="BG8" s="53">
        <f t="shared" si="23"/>
        <v>0</v>
      </c>
      <c r="BH8" s="53">
        <f t="shared" si="24"/>
        <v>0</v>
      </c>
      <c r="BI8" s="53"/>
      <c r="BJ8" s="53"/>
      <c r="BK8" s="53">
        <f t="shared" si="25"/>
        <v>0</v>
      </c>
      <c r="BL8" s="53">
        <f t="shared" si="26"/>
        <v>0</v>
      </c>
      <c r="BM8" s="54"/>
    </row>
    <row r="9" spans="1:65" ht="12.75">
      <c r="A9" s="49">
        <f>CALENDARIO!A9</f>
        <v>8</v>
      </c>
      <c r="B9" s="50">
        <f>CALENDARIO!B9</f>
        <v>46187</v>
      </c>
      <c r="C9" s="51">
        <f>CALENDARIO!C9</f>
        <v>4.1666666666666664E-2</v>
      </c>
      <c r="D9" s="52" t="str">
        <f>CALENDARIO!D9</f>
        <v>Austrália</v>
      </c>
      <c r="E9" s="52">
        <f>CALENDARIO!E9</f>
        <v>0</v>
      </c>
      <c r="F9" s="49" t="str">
        <f>CALENDARIO!F9</f>
        <v>x</v>
      </c>
      <c r="G9" s="49">
        <f>CALENDARIO!G9</f>
        <v>0</v>
      </c>
      <c r="H9" s="52" t="str">
        <f>CALENDARIO!H9</f>
        <v>Turquia</v>
      </c>
      <c r="I9" s="53"/>
      <c r="J9" s="53"/>
      <c r="K9" s="53">
        <f t="shared" si="27"/>
        <v>0</v>
      </c>
      <c r="L9" s="53">
        <f t="shared" si="0"/>
        <v>0</v>
      </c>
      <c r="M9" s="53"/>
      <c r="N9" s="53"/>
      <c r="O9" s="53">
        <f t="shared" si="1"/>
        <v>0</v>
      </c>
      <c r="P9" s="53">
        <f t="shared" si="2"/>
        <v>0</v>
      </c>
      <c r="Q9" s="53"/>
      <c r="R9" s="53"/>
      <c r="S9" s="53">
        <f t="shared" si="3"/>
        <v>0</v>
      </c>
      <c r="T9" s="53">
        <f t="shared" si="4"/>
        <v>0</v>
      </c>
      <c r="U9" s="53"/>
      <c r="V9" s="53"/>
      <c r="W9" s="53">
        <f t="shared" si="5"/>
        <v>0</v>
      </c>
      <c r="X9" s="53">
        <f t="shared" si="6"/>
        <v>0</v>
      </c>
      <c r="Y9" s="53"/>
      <c r="Z9" s="53"/>
      <c r="AA9" s="53">
        <f t="shared" si="7"/>
        <v>0</v>
      </c>
      <c r="AB9" s="53">
        <f t="shared" si="8"/>
        <v>0</v>
      </c>
      <c r="AC9" s="53"/>
      <c r="AD9" s="53"/>
      <c r="AE9" s="53">
        <f t="shared" si="9"/>
        <v>0</v>
      </c>
      <c r="AF9" s="53">
        <f t="shared" si="10"/>
        <v>0</v>
      </c>
      <c r="AG9" s="53"/>
      <c r="AH9" s="53"/>
      <c r="AI9" s="53">
        <f t="shared" si="11"/>
        <v>0</v>
      </c>
      <c r="AJ9" s="53">
        <f t="shared" si="12"/>
        <v>0</v>
      </c>
      <c r="AK9" s="53"/>
      <c r="AL9" s="53"/>
      <c r="AM9" s="53">
        <f t="shared" si="13"/>
        <v>0</v>
      </c>
      <c r="AN9" s="53">
        <f t="shared" si="14"/>
        <v>0</v>
      </c>
      <c r="AO9" s="53"/>
      <c r="AP9" s="53"/>
      <c r="AQ9" s="53">
        <f t="shared" si="15"/>
        <v>0</v>
      </c>
      <c r="AR9" s="53">
        <f t="shared" si="16"/>
        <v>0</v>
      </c>
      <c r="AS9" s="53"/>
      <c r="AT9" s="53"/>
      <c r="AU9" s="53">
        <f t="shared" si="17"/>
        <v>0</v>
      </c>
      <c r="AV9" s="53">
        <f t="shared" si="18"/>
        <v>0</v>
      </c>
      <c r="AW9" s="53"/>
      <c r="AX9" s="53"/>
      <c r="AY9" s="53">
        <f t="shared" si="19"/>
        <v>0</v>
      </c>
      <c r="AZ9" s="53">
        <f t="shared" si="20"/>
        <v>0</v>
      </c>
      <c r="BA9" s="53"/>
      <c r="BB9" s="53"/>
      <c r="BC9" s="53">
        <f t="shared" si="21"/>
        <v>0</v>
      </c>
      <c r="BD9" s="53">
        <f t="shared" si="22"/>
        <v>0</v>
      </c>
      <c r="BE9" s="53"/>
      <c r="BF9" s="53"/>
      <c r="BG9" s="53">
        <f t="shared" si="23"/>
        <v>0</v>
      </c>
      <c r="BH9" s="53">
        <f t="shared" si="24"/>
        <v>0</v>
      </c>
      <c r="BI9" s="53"/>
      <c r="BJ9" s="53"/>
      <c r="BK9" s="53">
        <f t="shared" si="25"/>
        <v>0</v>
      </c>
      <c r="BL9" s="53">
        <f t="shared" si="26"/>
        <v>0</v>
      </c>
      <c r="BM9" s="54"/>
    </row>
    <row r="10" spans="1:65" ht="12.75">
      <c r="A10" s="49">
        <f>CALENDARIO!A10</f>
        <v>9</v>
      </c>
      <c r="B10" s="50">
        <f>CALENDARIO!B10</f>
        <v>46187</v>
      </c>
      <c r="C10" s="51">
        <f>CALENDARIO!C10</f>
        <v>0.58333333333333337</v>
      </c>
      <c r="D10" s="52" t="str">
        <f>CALENDARIO!D10</f>
        <v>Alemanha</v>
      </c>
      <c r="E10" s="52">
        <f>CALENDARIO!E10</f>
        <v>0</v>
      </c>
      <c r="F10" s="49" t="str">
        <f>CALENDARIO!F10</f>
        <v>x</v>
      </c>
      <c r="G10" s="49">
        <f>CALENDARIO!G10</f>
        <v>0</v>
      </c>
      <c r="H10" s="52" t="str">
        <f>CALENDARIO!H10</f>
        <v>Curaçau</v>
      </c>
      <c r="I10" s="53"/>
      <c r="J10" s="53"/>
      <c r="K10" s="53">
        <f t="shared" si="27"/>
        <v>0</v>
      </c>
      <c r="L10" s="53">
        <f t="shared" si="0"/>
        <v>0</v>
      </c>
      <c r="M10" s="53"/>
      <c r="N10" s="53"/>
      <c r="O10" s="53">
        <f t="shared" si="1"/>
        <v>0</v>
      </c>
      <c r="P10" s="53">
        <f t="shared" si="2"/>
        <v>0</v>
      </c>
      <c r="Q10" s="53"/>
      <c r="R10" s="53"/>
      <c r="S10" s="53">
        <f t="shared" si="3"/>
        <v>0</v>
      </c>
      <c r="T10" s="53">
        <f t="shared" si="4"/>
        <v>0</v>
      </c>
      <c r="U10" s="53"/>
      <c r="V10" s="53"/>
      <c r="W10" s="53">
        <f t="shared" si="5"/>
        <v>0</v>
      </c>
      <c r="X10" s="53">
        <f t="shared" si="6"/>
        <v>0</v>
      </c>
      <c r="Y10" s="53"/>
      <c r="Z10" s="53"/>
      <c r="AA10" s="53">
        <f t="shared" si="7"/>
        <v>0</v>
      </c>
      <c r="AB10" s="53">
        <f t="shared" si="8"/>
        <v>0</v>
      </c>
      <c r="AC10" s="53"/>
      <c r="AD10" s="53"/>
      <c r="AE10" s="53">
        <f t="shared" si="9"/>
        <v>0</v>
      </c>
      <c r="AF10" s="53">
        <f t="shared" si="10"/>
        <v>0</v>
      </c>
      <c r="AG10" s="53"/>
      <c r="AH10" s="53"/>
      <c r="AI10" s="53">
        <f t="shared" si="11"/>
        <v>0</v>
      </c>
      <c r="AJ10" s="53">
        <f t="shared" si="12"/>
        <v>0</v>
      </c>
      <c r="AK10" s="53"/>
      <c r="AL10" s="53"/>
      <c r="AM10" s="53">
        <f t="shared" si="13"/>
        <v>0</v>
      </c>
      <c r="AN10" s="53">
        <f t="shared" si="14"/>
        <v>0</v>
      </c>
      <c r="AO10" s="53"/>
      <c r="AP10" s="53"/>
      <c r="AQ10" s="53">
        <f t="shared" si="15"/>
        <v>0</v>
      </c>
      <c r="AR10" s="53">
        <f t="shared" si="16"/>
        <v>0</v>
      </c>
      <c r="AS10" s="53"/>
      <c r="AT10" s="53"/>
      <c r="AU10" s="53">
        <f t="shared" si="17"/>
        <v>0</v>
      </c>
      <c r="AV10" s="53">
        <f t="shared" si="18"/>
        <v>0</v>
      </c>
      <c r="AW10" s="53"/>
      <c r="AX10" s="53"/>
      <c r="AY10" s="53">
        <f t="shared" si="19"/>
        <v>0</v>
      </c>
      <c r="AZ10" s="53">
        <f t="shared" si="20"/>
        <v>0</v>
      </c>
      <c r="BA10" s="53"/>
      <c r="BB10" s="53"/>
      <c r="BC10" s="53">
        <f t="shared" si="21"/>
        <v>0</v>
      </c>
      <c r="BD10" s="53">
        <f t="shared" si="22"/>
        <v>0</v>
      </c>
      <c r="BE10" s="53"/>
      <c r="BF10" s="53"/>
      <c r="BG10" s="53">
        <f t="shared" si="23"/>
        <v>0</v>
      </c>
      <c r="BH10" s="53">
        <f t="shared" si="24"/>
        <v>0</v>
      </c>
      <c r="BI10" s="53"/>
      <c r="BJ10" s="53"/>
      <c r="BK10" s="53">
        <f t="shared" si="25"/>
        <v>0</v>
      </c>
      <c r="BL10" s="53">
        <f t="shared" si="26"/>
        <v>0</v>
      </c>
      <c r="BM10" s="54"/>
    </row>
    <row r="11" spans="1:65" ht="12.75">
      <c r="A11" s="49">
        <f>CALENDARIO!A11</f>
        <v>10</v>
      </c>
      <c r="B11" s="50">
        <f>CALENDARIO!B11</f>
        <v>46187</v>
      </c>
      <c r="C11" s="51">
        <f>CALENDARIO!C11</f>
        <v>0.83333333333333337</v>
      </c>
      <c r="D11" s="52" t="str">
        <f>CALENDARIO!D11</f>
        <v>Costa do Marfim</v>
      </c>
      <c r="E11" s="52">
        <f>CALENDARIO!E11</f>
        <v>0</v>
      </c>
      <c r="F11" s="49" t="str">
        <f>CALENDARIO!F11</f>
        <v>x</v>
      </c>
      <c r="G11" s="49">
        <f>CALENDARIO!G11</f>
        <v>0</v>
      </c>
      <c r="H11" s="52" t="str">
        <f>CALENDARIO!H11</f>
        <v>Equador</v>
      </c>
      <c r="I11" s="53"/>
      <c r="J11" s="53"/>
      <c r="K11" s="53">
        <f t="shared" si="27"/>
        <v>0</v>
      </c>
      <c r="L11" s="53">
        <f t="shared" si="0"/>
        <v>0</v>
      </c>
      <c r="M11" s="53"/>
      <c r="N11" s="53"/>
      <c r="O11" s="53">
        <f t="shared" si="1"/>
        <v>0</v>
      </c>
      <c r="P11" s="53">
        <f t="shared" si="2"/>
        <v>0</v>
      </c>
      <c r="Q11" s="53"/>
      <c r="R11" s="53"/>
      <c r="S11" s="53">
        <f t="shared" si="3"/>
        <v>0</v>
      </c>
      <c r="T11" s="53">
        <f t="shared" si="4"/>
        <v>0</v>
      </c>
      <c r="U11" s="53"/>
      <c r="V11" s="53"/>
      <c r="W11" s="53">
        <f t="shared" si="5"/>
        <v>0</v>
      </c>
      <c r="X11" s="53">
        <f t="shared" si="6"/>
        <v>0</v>
      </c>
      <c r="Y11" s="53"/>
      <c r="Z11" s="53"/>
      <c r="AA11" s="53">
        <f t="shared" si="7"/>
        <v>0</v>
      </c>
      <c r="AB11" s="53">
        <f t="shared" si="8"/>
        <v>0</v>
      </c>
      <c r="AC11" s="53"/>
      <c r="AD11" s="53"/>
      <c r="AE11" s="53">
        <f t="shared" si="9"/>
        <v>0</v>
      </c>
      <c r="AF11" s="53">
        <f t="shared" si="10"/>
        <v>0</v>
      </c>
      <c r="AG11" s="53"/>
      <c r="AH11" s="53"/>
      <c r="AI11" s="53">
        <f t="shared" si="11"/>
        <v>0</v>
      </c>
      <c r="AJ11" s="53">
        <f t="shared" si="12"/>
        <v>0</v>
      </c>
      <c r="AK11" s="53"/>
      <c r="AL11" s="53"/>
      <c r="AM11" s="53">
        <f t="shared" si="13"/>
        <v>0</v>
      </c>
      <c r="AN11" s="53">
        <f t="shared" si="14"/>
        <v>0</v>
      </c>
      <c r="AO11" s="53"/>
      <c r="AP11" s="53"/>
      <c r="AQ11" s="53">
        <f t="shared" si="15"/>
        <v>0</v>
      </c>
      <c r="AR11" s="53">
        <f t="shared" si="16"/>
        <v>0</v>
      </c>
      <c r="AS11" s="53"/>
      <c r="AT11" s="53"/>
      <c r="AU11" s="53">
        <f t="shared" si="17"/>
        <v>0</v>
      </c>
      <c r="AV11" s="53">
        <f t="shared" si="18"/>
        <v>0</v>
      </c>
      <c r="AW11" s="53"/>
      <c r="AX11" s="53"/>
      <c r="AY11" s="53">
        <f t="shared" si="19"/>
        <v>0</v>
      </c>
      <c r="AZ11" s="53">
        <f t="shared" si="20"/>
        <v>0</v>
      </c>
      <c r="BA11" s="53"/>
      <c r="BB11" s="53"/>
      <c r="BC11" s="53">
        <f t="shared" si="21"/>
        <v>0</v>
      </c>
      <c r="BD11" s="53">
        <f t="shared" si="22"/>
        <v>0</v>
      </c>
      <c r="BE11" s="53"/>
      <c r="BF11" s="53"/>
      <c r="BG11" s="53">
        <f t="shared" si="23"/>
        <v>0</v>
      </c>
      <c r="BH11" s="53">
        <f t="shared" si="24"/>
        <v>0</v>
      </c>
      <c r="BI11" s="53"/>
      <c r="BJ11" s="53"/>
      <c r="BK11" s="53">
        <f t="shared" si="25"/>
        <v>0</v>
      </c>
      <c r="BL11" s="53">
        <f t="shared" si="26"/>
        <v>0</v>
      </c>
      <c r="BM11" s="54"/>
    </row>
    <row r="12" spans="1:65" ht="12.75">
      <c r="A12" s="49">
        <f>CALENDARIO!A12</f>
        <v>11</v>
      </c>
      <c r="B12" s="50">
        <f>CALENDARIO!B12</f>
        <v>46187</v>
      </c>
      <c r="C12" s="51">
        <f>CALENDARIO!C12</f>
        <v>0.70833333333333337</v>
      </c>
      <c r="D12" s="52" t="str">
        <f>CALENDARIO!D12</f>
        <v>Holanda</v>
      </c>
      <c r="E12" s="52">
        <f>CALENDARIO!E12</f>
        <v>0</v>
      </c>
      <c r="F12" s="49" t="str">
        <f>CALENDARIO!F12</f>
        <v>x</v>
      </c>
      <c r="G12" s="49">
        <f>CALENDARIO!G12</f>
        <v>0</v>
      </c>
      <c r="H12" s="52" t="str">
        <f>CALENDARIO!H12</f>
        <v>Japão</v>
      </c>
      <c r="I12" s="53"/>
      <c r="J12" s="53"/>
      <c r="K12" s="53">
        <f t="shared" si="27"/>
        <v>0</v>
      </c>
      <c r="L12" s="53">
        <f t="shared" si="0"/>
        <v>0</v>
      </c>
      <c r="M12" s="53"/>
      <c r="N12" s="53"/>
      <c r="O12" s="53">
        <f t="shared" si="1"/>
        <v>0</v>
      </c>
      <c r="P12" s="53">
        <f t="shared" si="2"/>
        <v>0</v>
      </c>
      <c r="Q12" s="53"/>
      <c r="R12" s="53"/>
      <c r="S12" s="53">
        <f t="shared" si="3"/>
        <v>0</v>
      </c>
      <c r="T12" s="53">
        <f t="shared" si="4"/>
        <v>0</v>
      </c>
      <c r="U12" s="53"/>
      <c r="V12" s="53"/>
      <c r="W12" s="53">
        <f t="shared" si="5"/>
        <v>0</v>
      </c>
      <c r="X12" s="53">
        <f t="shared" si="6"/>
        <v>0</v>
      </c>
      <c r="Y12" s="53"/>
      <c r="Z12" s="53"/>
      <c r="AA12" s="53">
        <f t="shared" si="7"/>
        <v>0</v>
      </c>
      <c r="AB12" s="53">
        <f t="shared" si="8"/>
        <v>0</v>
      </c>
      <c r="AC12" s="53"/>
      <c r="AD12" s="53"/>
      <c r="AE12" s="53">
        <f t="shared" si="9"/>
        <v>0</v>
      </c>
      <c r="AF12" s="53">
        <f t="shared" si="10"/>
        <v>0</v>
      </c>
      <c r="AG12" s="53"/>
      <c r="AH12" s="53"/>
      <c r="AI12" s="53">
        <f t="shared" si="11"/>
        <v>0</v>
      </c>
      <c r="AJ12" s="53">
        <f t="shared" si="12"/>
        <v>0</v>
      </c>
      <c r="AK12" s="53"/>
      <c r="AL12" s="53"/>
      <c r="AM12" s="53">
        <f t="shared" si="13"/>
        <v>0</v>
      </c>
      <c r="AN12" s="53">
        <f t="shared" si="14"/>
        <v>0</v>
      </c>
      <c r="AO12" s="53"/>
      <c r="AP12" s="53"/>
      <c r="AQ12" s="53">
        <f t="shared" si="15"/>
        <v>0</v>
      </c>
      <c r="AR12" s="53">
        <f t="shared" si="16"/>
        <v>0</v>
      </c>
      <c r="AS12" s="53"/>
      <c r="AT12" s="53"/>
      <c r="AU12" s="53">
        <f t="shared" si="17"/>
        <v>0</v>
      </c>
      <c r="AV12" s="53">
        <f t="shared" si="18"/>
        <v>0</v>
      </c>
      <c r="AW12" s="53"/>
      <c r="AX12" s="53"/>
      <c r="AY12" s="53">
        <f t="shared" si="19"/>
        <v>0</v>
      </c>
      <c r="AZ12" s="53">
        <f t="shared" si="20"/>
        <v>0</v>
      </c>
      <c r="BA12" s="53"/>
      <c r="BB12" s="53"/>
      <c r="BC12" s="53">
        <f t="shared" si="21"/>
        <v>0</v>
      </c>
      <c r="BD12" s="53">
        <f t="shared" si="22"/>
        <v>0</v>
      </c>
      <c r="BE12" s="53"/>
      <c r="BF12" s="53"/>
      <c r="BG12" s="53">
        <f t="shared" si="23"/>
        <v>0</v>
      </c>
      <c r="BH12" s="53">
        <f t="shared" si="24"/>
        <v>0</v>
      </c>
      <c r="BI12" s="53"/>
      <c r="BJ12" s="53"/>
      <c r="BK12" s="53">
        <f t="shared" si="25"/>
        <v>0</v>
      </c>
      <c r="BL12" s="53">
        <f t="shared" si="26"/>
        <v>0</v>
      </c>
      <c r="BM12" s="54"/>
    </row>
    <row r="13" spans="1:65" ht="12.75">
      <c r="A13" s="49">
        <f>CALENDARIO!A13</f>
        <v>12</v>
      </c>
      <c r="B13" s="50">
        <f>CALENDARIO!B13</f>
        <v>46187</v>
      </c>
      <c r="C13" s="51">
        <f>CALENDARIO!C13</f>
        <v>0.95833333333333337</v>
      </c>
      <c r="D13" s="52" t="str">
        <f>CALENDARIO!D13</f>
        <v>Suécia</v>
      </c>
      <c r="E13" s="52">
        <f>CALENDARIO!E13</f>
        <v>0</v>
      </c>
      <c r="F13" s="49" t="str">
        <f>CALENDARIO!F13</f>
        <v>x</v>
      </c>
      <c r="G13" s="49">
        <f>CALENDARIO!G13</f>
        <v>0</v>
      </c>
      <c r="H13" s="52" t="str">
        <f>CALENDARIO!H13</f>
        <v>Tunísia</v>
      </c>
      <c r="I13" s="53"/>
      <c r="J13" s="53"/>
      <c r="K13" s="53">
        <f t="shared" si="27"/>
        <v>0</v>
      </c>
      <c r="L13" s="53">
        <f t="shared" si="0"/>
        <v>0</v>
      </c>
      <c r="M13" s="53"/>
      <c r="N13" s="53"/>
      <c r="O13" s="53">
        <f t="shared" si="1"/>
        <v>0</v>
      </c>
      <c r="P13" s="53">
        <f t="shared" si="2"/>
        <v>0</v>
      </c>
      <c r="Q13" s="53"/>
      <c r="R13" s="53"/>
      <c r="S13" s="53">
        <f t="shared" si="3"/>
        <v>0</v>
      </c>
      <c r="T13" s="53">
        <f t="shared" si="4"/>
        <v>0</v>
      </c>
      <c r="U13" s="53"/>
      <c r="V13" s="53"/>
      <c r="W13" s="53">
        <f t="shared" si="5"/>
        <v>0</v>
      </c>
      <c r="X13" s="53">
        <f t="shared" si="6"/>
        <v>0</v>
      </c>
      <c r="Y13" s="53"/>
      <c r="Z13" s="53"/>
      <c r="AA13" s="53">
        <f t="shared" si="7"/>
        <v>0</v>
      </c>
      <c r="AB13" s="53">
        <f t="shared" si="8"/>
        <v>0</v>
      </c>
      <c r="AC13" s="53"/>
      <c r="AD13" s="53"/>
      <c r="AE13" s="53">
        <f t="shared" si="9"/>
        <v>0</v>
      </c>
      <c r="AF13" s="53">
        <f t="shared" si="10"/>
        <v>0</v>
      </c>
      <c r="AG13" s="53"/>
      <c r="AH13" s="53"/>
      <c r="AI13" s="53">
        <f t="shared" si="11"/>
        <v>0</v>
      </c>
      <c r="AJ13" s="53">
        <f t="shared" si="12"/>
        <v>0</v>
      </c>
      <c r="AK13" s="53"/>
      <c r="AL13" s="53"/>
      <c r="AM13" s="53">
        <f t="shared" si="13"/>
        <v>0</v>
      </c>
      <c r="AN13" s="53">
        <f t="shared" si="14"/>
        <v>0</v>
      </c>
      <c r="AO13" s="53"/>
      <c r="AP13" s="53"/>
      <c r="AQ13" s="53">
        <f t="shared" si="15"/>
        <v>0</v>
      </c>
      <c r="AR13" s="53">
        <f t="shared" si="16"/>
        <v>0</v>
      </c>
      <c r="AS13" s="53"/>
      <c r="AT13" s="53"/>
      <c r="AU13" s="53">
        <f t="shared" si="17"/>
        <v>0</v>
      </c>
      <c r="AV13" s="53">
        <f t="shared" si="18"/>
        <v>0</v>
      </c>
      <c r="AW13" s="53"/>
      <c r="AX13" s="53"/>
      <c r="AY13" s="53">
        <f t="shared" si="19"/>
        <v>0</v>
      </c>
      <c r="AZ13" s="53">
        <f t="shared" si="20"/>
        <v>0</v>
      </c>
      <c r="BA13" s="53"/>
      <c r="BB13" s="53"/>
      <c r="BC13" s="53">
        <f t="shared" si="21"/>
        <v>0</v>
      </c>
      <c r="BD13" s="53">
        <f t="shared" si="22"/>
        <v>0</v>
      </c>
      <c r="BE13" s="53"/>
      <c r="BF13" s="53"/>
      <c r="BG13" s="53">
        <f t="shared" si="23"/>
        <v>0</v>
      </c>
      <c r="BH13" s="53">
        <f t="shared" si="24"/>
        <v>0</v>
      </c>
      <c r="BI13" s="53"/>
      <c r="BJ13" s="53"/>
      <c r="BK13" s="53">
        <f t="shared" si="25"/>
        <v>0</v>
      </c>
      <c r="BL13" s="53">
        <f t="shared" si="26"/>
        <v>0</v>
      </c>
      <c r="BM13" s="54"/>
    </row>
    <row r="14" spans="1:65" ht="12.75">
      <c r="A14" s="49">
        <f>CALENDARIO!A14</f>
        <v>13</v>
      </c>
      <c r="B14" s="50">
        <f>CALENDARIO!B14</f>
        <v>46188</v>
      </c>
      <c r="C14" s="51">
        <f>CALENDARIO!C14</f>
        <v>0.54166666666666663</v>
      </c>
      <c r="D14" s="52" t="str">
        <f>CALENDARIO!D14</f>
        <v>Espanha</v>
      </c>
      <c r="E14" s="52">
        <f>CALENDARIO!E14</f>
        <v>0</v>
      </c>
      <c r="F14" s="49" t="str">
        <f>CALENDARIO!F14</f>
        <v>x</v>
      </c>
      <c r="G14" s="49">
        <f>CALENDARIO!G14</f>
        <v>0</v>
      </c>
      <c r="H14" s="52" t="str">
        <f>CALENDARIO!H14</f>
        <v>Cabo Verde</v>
      </c>
      <c r="I14" s="53"/>
      <c r="J14" s="53"/>
      <c r="K14" s="53">
        <f t="shared" si="27"/>
        <v>0</v>
      </c>
      <c r="L14" s="53">
        <f t="shared" si="0"/>
        <v>0</v>
      </c>
      <c r="M14" s="53"/>
      <c r="N14" s="53"/>
      <c r="O14" s="53">
        <f t="shared" si="1"/>
        <v>0</v>
      </c>
      <c r="P14" s="53">
        <f t="shared" si="2"/>
        <v>0</v>
      </c>
      <c r="Q14" s="53"/>
      <c r="R14" s="53"/>
      <c r="S14" s="53">
        <f t="shared" si="3"/>
        <v>0</v>
      </c>
      <c r="T14" s="53">
        <f t="shared" si="4"/>
        <v>0</v>
      </c>
      <c r="U14" s="53"/>
      <c r="V14" s="53"/>
      <c r="W14" s="53">
        <f t="shared" si="5"/>
        <v>0</v>
      </c>
      <c r="X14" s="53">
        <f t="shared" si="6"/>
        <v>0</v>
      </c>
      <c r="Y14" s="53"/>
      <c r="Z14" s="53"/>
      <c r="AA14" s="53">
        <f t="shared" si="7"/>
        <v>0</v>
      </c>
      <c r="AB14" s="53">
        <f t="shared" si="8"/>
        <v>0</v>
      </c>
      <c r="AC14" s="53"/>
      <c r="AD14" s="53"/>
      <c r="AE14" s="53">
        <f t="shared" si="9"/>
        <v>0</v>
      </c>
      <c r="AF14" s="53">
        <f t="shared" si="10"/>
        <v>0</v>
      </c>
      <c r="AG14" s="53"/>
      <c r="AH14" s="53"/>
      <c r="AI14" s="53">
        <f t="shared" si="11"/>
        <v>0</v>
      </c>
      <c r="AJ14" s="53">
        <f t="shared" si="12"/>
        <v>0</v>
      </c>
      <c r="AK14" s="53"/>
      <c r="AL14" s="53"/>
      <c r="AM14" s="53">
        <f t="shared" si="13"/>
        <v>0</v>
      </c>
      <c r="AN14" s="53">
        <f t="shared" si="14"/>
        <v>0</v>
      </c>
      <c r="AO14" s="53"/>
      <c r="AP14" s="53"/>
      <c r="AQ14" s="53">
        <f t="shared" si="15"/>
        <v>0</v>
      </c>
      <c r="AR14" s="53">
        <f t="shared" si="16"/>
        <v>0</v>
      </c>
      <c r="AS14" s="53"/>
      <c r="AT14" s="53"/>
      <c r="AU14" s="53">
        <f t="shared" si="17"/>
        <v>0</v>
      </c>
      <c r="AV14" s="53">
        <f t="shared" si="18"/>
        <v>0</v>
      </c>
      <c r="AW14" s="53"/>
      <c r="AX14" s="53"/>
      <c r="AY14" s="53">
        <f t="shared" si="19"/>
        <v>0</v>
      </c>
      <c r="AZ14" s="53">
        <f t="shared" si="20"/>
        <v>0</v>
      </c>
      <c r="BA14" s="53"/>
      <c r="BB14" s="53"/>
      <c r="BC14" s="53">
        <f t="shared" si="21"/>
        <v>0</v>
      </c>
      <c r="BD14" s="53">
        <f t="shared" si="22"/>
        <v>0</v>
      </c>
      <c r="BE14" s="53"/>
      <c r="BF14" s="53"/>
      <c r="BG14" s="53">
        <f t="shared" si="23"/>
        <v>0</v>
      </c>
      <c r="BH14" s="53">
        <f t="shared" si="24"/>
        <v>0</v>
      </c>
      <c r="BI14" s="53"/>
      <c r="BJ14" s="53"/>
      <c r="BK14" s="53">
        <f t="shared" si="25"/>
        <v>0</v>
      </c>
      <c r="BL14" s="53">
        <f t="shared" si="26"/>
        <v>0</v>
      </c>
      <c r="BM14" s="54"/>
    </row>
    <row r="15" spans="1:65" ht="12.75">
      <c r="A15" s="49">
        <f>CALENDARIO!A15</f>
        <v>14</v>
      </c>
      <c r="B15" s="50">
        <f>CALENDARIO!B15</f>
        <v>46188</v>
      </c>
      <c r="C15" s="51">
        <f>CALENDARIO!C15</f>
        <v>0.79166666666666663</v>
      </c>
      <c r="D15" s="52" t="str">
        <f>CALENDARIO!D15</f>
        <v>Arábia Saudita</v>
      </c>
      <c r="E15" s="52">
        <f>CALENDARIO!E15</f>
        <v>0</v>
      </c>
      <c r="F15" s="49" t="str">
        <f>CALENDARIO!F15</f>
        <v>x</v>
      </c>
      <c r="G15" s="49">
        <f>CALENDARIO!G15</f>
        <v>0</v>
      </c>
      <c r="H15" s="52" t="str">
        <f>CALENDARIO!H15</f>
        <v>Uruguai</v>
      </c>
      <c r="I15" s="53"/>
      <c r="J15" s="53"/>
      <c r="K15" s="53">
        <f t="shared" si="27"/>
        <v>0</v>
      </c>
      <c r="L15" s="53">
        <f t="shared" si="0"/>
        <v>0</v>
      </c>
      <c r="M15" s="53"/>
      <c r="N15" s="53"/>
      <c r="O15" s="53">
        <f t="shared" si="1"/>
        <v>0</v>
      </c>
      <c r="P15" s="53">
        <f t="shared" si="2"/>
        <v>0</v>
      </c>
      <c r="Q15" s="53"/>
      <c r="R15" s="53"/>
      <c r="S15" s="53">
        <f t="shared" si="3"/>
        <v>0</v>
      </c>
      <c r="T15" s="53">
        <f t="shared" si="4"/>
        <v>0</v>
      </c>
      <c r="U15" s="53"/>
      <c r="V15" s="53"/>
      <c r="W15" s="53">
        <f t="shared" si="5"/>
        <v>0</v>
      </c>
      <c r="X15" s="53">
        <f t="shared" si="6"/>
        <v>0</v>
      </c>
      <c r="Y15" s="53"/>
      <c r="Z15" s="53"/>
      <c r="AA15" s="53">
        <f t="shared" si="7"/>
        <v>0</v>
      </c>
      <c r="AB15" s="53">
        <f t="shared" si="8"/>
        <v>0</v>
      </c>
      <c r="AC15" s="53"/>
      <c r="AD15" s="53"/>
      <c r="AE15" s="53">
        <f t="shared" si="9"/>
        <v>0</v>
      </c>
      <c r="AF15" s="53">
        <f t="shared" si="10"/>
        <v>0</v>
      </c>
      <c r="AG15" s="53"/>
      <c r="AH15" s="53"/>
      <c r="AI15" s="53">
        <f t="shared" si="11"/>
        <v>0</v>
      </c>
      <c r="AJ15" s="53">
        <f t="shared" si="12"/>
        <v>0</v>
      </c>
      <c r="AK15" s="53"/>
      <c r="AL15" s="53"/>
      <c r="AM15" s="53">
        <f t="shared" si="13"/>
        <v>0</v>
      </c>
      <c r="AN15" s="53">
        <f t="shared" si="14"/>
        <v>0</v>
      </c>
      <c r="AO15" s="53"/>
      <c r="AP15" s="53"/>
      <c r="AQ15" s="53">
        <f t="shared" si="15"/>
        <v>0</v>
      </c>
      <c r="AR15" s="53">
        <f t="shared" si="16"/>
        <v>0</v>
      </c>
      <c r="AS15" s="53"/>
      <c r="AT15" s="53"/>
      <c r="AU15" s="53">
        <f t="shared" si="17"/>
        <v>0</v>
      </c>
      <c r="AV15" s="53">
        <f t="shared" si="18"/>
        <v>0</v>
      </c>
      <c r="AW15" s="53"/>
      <c r="AX15" s="53"/>
      <c r="AY15" s="53">
        <f t="shared" si="19"/>
        <v>0</v>
      </c>
      <c r="AZ15" s="53">
        <f t="shared" si="20"/>
        <v>0</v>
      </c>
      <c r="BA15" s="53"/>
      <c r="BB15" s="53"/>
      <c r="BC15" s="53">
        <f t="shared" si="21"/>
        <v>0</v>
      </c>
      <c r="BD15" s="53">
        <f t="shared" si="22"/>
        <v>0</v>
      </c>
      <c r="BE15" s="53"/>
      <c r="BF15" s="53"/>
      <c r="BG15" s="53">
        <f t="shared" si="23"/>
        <v>0</v>
      </c>
      <c r="BH15" s="53">
        <f t="shared" si="24"/>
        <v>0</v>
      </c>
      <c r="BI15" s="53"/>
      <c r="BJ15" s="53"/>
      <c r="BK15" s="53">
        <f t="shared" si="25"/>
        <v>0</v>
      </c>
      <c r="BL15" s="53">
        <f t="shared" si="26"/>
        <v>0</v>
      </c>
      <c r="BM15" s="54"/>
    </row>
    <row r="16" spans="1:65" ht="12.75">
      <c r="A16" s="49">
        <f>CALENDARIO!A16</f>
        <v>15</v>
      </c>
      <c r="B16" s="50">
        <f>CALENDARIO!B16</f>
        <v>46188</v>
      </c>
      <c r="C16" s="51">
        <f>CALENDARIO!C16</f>
        <v>0.66666666666666663</v>
      </c>
      <c r="D16" s="52" t="str">
        <f>CALENDARIO!D16</f>
        <v>Bélgica</v>
      </c>
      <c r="E16" s="52">
        <f>CALENDARIO!E16</f>
        <v>0</v>
      </c>
      <c r="F16" s="49" t="str">
        <f>CALENDARIO!F16</f>
        <v>x</v>
      </c>
      <c r="G16" s="49">
        <f>CALENDARIO!G16</f>
        <v>0</v>
      </c>
      <c r="H16" s="52" t="str">
        <f>CALENDARIO!H16</f>
        <v>Egito</v>
      </c>
      <c r="I16" s="53"/>
      <c r="J16" s="53"/>
      <c r="K16" s="53">
        <f t="shared" si="27"/>
        <v>0</v>
      </c>
      <c r="L16" s="53">
        <f t="shared" si="0"/>
        <v>0</v>
      </c>
      <c r="M16" s="53"/>
      <c r="N16" s="53"/>
      <c r="O16" s="53">
        <f t="shared" si="1"/>
        <v>0</v>
      </c>
      <c r="P16" s="53">
        <f t="shared" si="2"/>
        <v>0</v>
      </c>
      <c r="Q16" s="53"/>
      <c r="R16" s="53"/>
      <c r="S16" s="53">
        <f t="shared" si="3"/>
        <v>0</v>
      </c>
      <c r="T16" s="53">
        <f t="shared" si="4"/>
        <v>0</v>
      </c>
      <c r="U16" s="53"/>
      <c r="V16" s="53"/>
      <c r="W16" s="53">
        <f t="shared" si="5"/>
        <v>0</v>
      </c>
      <c r="X16" s="53">
        <f t="shared" si="6"/>
        <v>0</v>
      </c>
      <c r="Y16" s="53"/>
      <c r="Z16" s="53"/>
      <c r="AA16" s="53">
        <f t="shared" si="7"/>
        <v>0</v>
      </c>
      <c r="AB16" s="53">
        <f t="shared" si="8"/>
        <v>0</v>
      </c>
      <c r="AC16" s="53"/>
      <c r="AD16" s="53"/>
      <c r="AE16" s="53">
        <f t="shared" si="9"/>
        <v>0</v>
      </c>
      <c r="AF16" s="53">
        <f t="shared" si="10"/>
        <v>0</v>
      </c>
      <c r="AG16" s="53"/>
      <c r="AH16" s="53"/>
      <c r="AI16" s="53">
        <f t="shared" si="11"/>
        <v>0</v>
      </c>
      <c r="AJ16" s="53">
        <f t="shared" si="12"/>
        <v>0</v>
      </c>
      <c r="AK16" s="53"/>
      <c r="AL16" s="53"/>
      <c r="AM16" s="53">
        <f t="shared" si="13"/>
        <v>0</v>
      </c>
      <c r="AN16" s="53">
        <f t="shared" si="14"/>
        <v>0</v>
      </c>
      <c r="AO16" s="53"/>
      <c r="AP16" s="53"/>
      <c r="AQ16" s="53">
        <f t="shared" si="15"/>
        <v>0</v>
      </c>
      <c r="AR16" s="53">
        <f t="shared" si="16"/>
        <v>0</v>
      </c>
      <c r="AS16" s="53"/>
      <c r="AT16" s="53"/>
      <c r="AU16" s="53">
        <f t="shared" si="17"/>
        <v>0</v>
      </c>
      <c r="AV16" s="53">
        <f t="shared" si="18"/>
        <v>0</v>
      </c>
      <c r="AW16" s="53"/>
      <c r="AX16" s="53"/>
      <c r="AY16" s="53">
        <f t="shared" si="19"/>
        <v>0</v>
      </c>
      <c r="AZ16" s="53">
        <f t="shared" si="20"/>
        <v>0</v>
      </c>
      <c r="BA16" s="53"/>
      <c r="BB16" s="53"/>
      <c r="BC16" s="53">
        <f t="shared" si="21"/>
        <v>0</v>
      </c>
      <c r="BD16" s="53">
        <f t="shared" si="22"/>
        <v>0</v>
      </c>
      <c r="BE16" s="53"/>
      <c r="BF16" s="53"/>
      <c r="BG16" s="53">
        <f t="shared" si="23"/>
        <v>0</v>
      </c>
      <c r="BH16" s="53">
        <f t="shared" si="24"/>
        <v>0</v>
      </c>
      <c r="BI16" s="53"/>
      <c r="BJ16" s="53"/>
      <c r="BK16" s="53">
        <f t="shared" si="25"/>
        <v>0</v>
      </c>
      <c r="BL16" s="53">
        <f t="shared" si="26"/>
        <v>0</v>
      </c>
      <c r="BM16" s="54"/>
    </row>
    <row r="17" spans="1:65" ht="12.75">
      <c r="A17" s="49">
        <f>CALENDARIO!A17</f>
        <v>16</v>
      </c>
      <c r="B17" s="50">
        <f>CALENDARIO!B17</f>
        <v>46188</v>
      </c>
      <c r="C17" s="51">
        <f>CALENDARIO!C17</f>
        <v>0.91666666666666663</v>
      </c>
      <c r="D17" s="52" t="str">
        <f>CALENDARIO!D17</f>
        <v>Irã</v>
      </c>
      <c r="E17" s="52">
        <f>CALENDARIO!E17</f>
        <v>0</v>
      </c>
      <c r="F17" s="49" t="str">
        <f>CALENDARIO!F17</f>
        <v>x</v>
      </c>
      <c r="G17" s="49">
        <f>CALENDARIO!G17</f>
        <v>0</v>
      </c>
      <c r="H17" s="52" t="str">
        <f>CALENDARIO!H17</f>
        <v>Nova Zelândia</v>
      </c>
      <c r="I17" s="53"/>
      <c r="J17" s="53"/>
      <c r="K17" s="53">
        <f t="shared" si="27"/>
        <v>0</v>
      </c>
      <c r="L17" s="53">
        <f t="shared" si="0"/>
        <v>0</v>
      </c>
      <c r="M17" s="53"/>
      <c r="N17" s="53"/>
      <c r="O17" s="53">
        <f t="shared" si="1"/>
        <v>0</v>
      </c>
      <c r="P17" s="53">
        <f t="shared" si="2"/>
        <v>0</v>
      </c>
      <c r="Q17" s="53"/>
      <c r="R17" s="53"/>
      <c r="S17" s="53">
        <f t="shared" si="3"/>
        <v>0</v>
      </c>
      <c r="T17" s="53">
        <f t="shared" si="4"/>
        <v>0</v>
      </c>
      <c r="U17" s="53"/>
      <c r="V17" s="53"/>
      <c r="W17" s="53">
        <f t="shared" si="5"/>
        <v>0</v>
      </c>
      <c r="X17" s="53">
        <f t="shared" si="6"/>
        <v>0</v>
      </c>
      <c r="Y17" s="53"/>
      <c r="Z17" s="53"/>
      <c r="AA17" s="53">
        <f t="shared" si="7"/>
        <v>0</v>
      </c>
      <c r="AB17" s="53">
        <f t="shared" si="8"/>
        <v>0</v>
      </c>
      <c r="AC17" s="53"/>
      <c r="AD17" s="53"/>
      <c r="AE17" s="53">
        <f t="shared" si="9"/>
        <v>0</v>
      </c>
      <c r="AF17" s="53">
        <f t="shared" si="10"/>
        <v>0</v>
      </c>
      <c r="AG17" s="53"/>
      <c r="AH17" s="53"/>
      <c r="AI17" s="53">
        <f t="shared" si="11"/>
        <v>0</v>
      </c>
      <c r="AJ17" s="53">
        <f t="shared" si="12"/>
        <v>0</v>
      </c>
      <c r="AK17" s="53"/>
      <c r="AL17" s="53"/>
      <c r="AM17" s="53">
        <f t="shared" si="13"/>
        <v>0</v>
      </c>
      <c r="AN17" s="53">
        <f t="shared" si="14"/>
        <v>0</v>
      </c>
      <c r="AO17" s="53"/>
      <c r="AP17" s="53"/>
      <c r="AQ17" s="53">
        <f t="shared" si="15"/>
        <v>0</v>
      </c>
      <c r="AR17" s="53">
        <f t="shared" si="16"/>
        <v>0</v>
      </c>
      <c r="AS17" s="53"/>
      <c r="AT17" s="53"/>
      <c r="AU17" s="53">
        <f t="shared" si="17"/>
        <v>0</v>
      </c>
      <c r="AV17" s="53">
        <f t="shared" si="18"/>
        <v>0</v>
      </c>
      <c r="AW17" s="53"/>
      <c r="AX17" s="53"/>
      <c r="AY17" s="53">
        <f t="shared" si="19"/>
        <v>0</v>
      </c>
      <c r="AZ17" s="53">
        <f t="shared" si="20"/>
        <v>0</v>
      </c>
      <c r="BA17" s="53"/>
      <c r="BB17" s="53"/>
      <c r="BC17" s="53">
        <f t="shared" si="21"/>
        <v>0</v>
      </c>
      <c r="BD17" s="53">
        <f t="shared" si="22"/>
        <v>0</v>
      </c>
      <c r="BE17" s="53"/>
      <c r="BF17" s="53"/>
      <c r="BG17" s="53">
        <f t="shared" si="23"/>
        <v>0</v>
      </c>
      <c r="BH17" s="53">
        <f t="shared" si="24"/>
        <v>0</v>
      </c>
      <c r="BI17" s="53"/>
      <c r="BJ17" s="53"/>
      <c r="BK17" s="53">
        <f t="shared" si="25"/>
        <v>0</v>
      </c>
      <c r="BL17" s="53">
        <f t="shared" si="26"/>
        <v>0</v>
      </c>
      <c r="BM17" s="54"/>
    </row>
    <row r="18" spans="1:65" ht="12.75">
      <c r="A18" s="49">
        <f>CALENDARIO!A18</f>
        <v>17</v>
      </c>
      <c r="B18" s="50">
        <f>CALENDARIO!B18</f>
        <v>46190</v>
      </c>
      <c r="C18" s="51">
        <f>CALENDARIO!C18</f>
        <v>4.1666666666666664E-2</v>
      </c>
      <c r="D18" s="52" t="str">
        <f>CALENDARIO!D18</f>
        <v>Áustria</v>
      </c>
      <c r="E18" s="52">
        <f>CALENDARIO!E18</f>
        <v>0</v>
      </c>
      <c r="F18" s="49" t="str">
        <f>CALENDARIO!F18</f>
        <v>x</v>
      </c>
      <c r="G18" s="49">
        <f>CALENDARIO!G18</f>
        <v>0</v>
      </c>
      <c r="H18" s="52" t="str">
        <f>CALENDARIO!H18</f>
        <v>Jordânia</v>
      </c>
      <c r="I18" s="53"/>
      <c r="J18" s="53"/>
      <c r="K18" s="53">
        <f t="shared" si="27"/>
        <v>0</v>
      </c>
      <c r="L18" s="53">
        <f t="shared" si="0"/>
        <v>0</v>
      </c>
      <c r="M18" s="53"/>
      <c r="N18" s="53"/>
      <c r="O18" s="53">
        <f t="shared" si="1"/>
        <v>0</v>
      </c>
      <c r="P18" s="53">
        <f t="shared" si="2"/>
        <v>0</v>
      </c>
      <c r="Q18" s="53"/>
      <c r="R18" s="53"/>
      <c r="S18" s="53">
        <f t="shared" si="3"/>
        <v>0</v>
      </c>
      <c r="T18" s="53">
        <f t="shared" si="4"/>
        <v>0</v>
      </c>
      <c r="U18" s="53"/>
      <c r="V18" s="53"/>
      <c r="W18" s="53">
        <f t="shared" si="5"/>
        <v>0</v>
      </c>
      <c r="X18" s="53">
        <f t="shared" si="6"/>
        <v>0</v>
      </c>
      <c r="Y18" s="53"/>
      <c r="Z18" s="53"/>
      <c r="AA18" s="53">
        <f t="shared" si="7"/>
        <v>0</v>
      </c>
      <c r="AB18" s="53">
        <f t="shared" si="8"/>
        <v>0</v>
      </c>
      <c r="AC18" s="53"/>
      <c r="AD18" s="53"/>
      <c r="AE18" s="53">
        <f t="shared" si="9"/>
        <v>0</v>
      </c>
      <c r="AF18" s="53">
        <f t="shared" si="10"/>
        <v>0</v>
      </c>
      <c r="AG18" s="53"/>
      <c r="AH18" s="53"/>
      <c r="AI18" s="53">
        <f t="shared" si="11"/>
        <v>0</v>
      </c>
      <c r="AJ18" s="53">
        <f t="shared" si="12"/>
        <v>0</v>
      </c>
      <c r="AK18" s="53"/>
      <c r="AL18" s="53"/>
      <c r="AM18" s="53">
        <f t="shared" si="13"/>
        <v>0</v>
      </c>
      <c r="AN18" s="53">
        <f t="shared" si="14"/>
        <v>0</v>
      </c>
      <c r="AO18" s="53"/>
      <c r="AP18" s="53"/>
      <c r="AQ18" s="53">
        <f t="shared" si="15"/>
        <v>0</v>
      </c>
      <c r="AR18" s="53">
        <f t="shared" si="16"/>
        <v>0</v>
      </c>
      <c r="AS18" s="53"/>
      <c r="AT18" s="53"/>
      <c r="AU18" s="53">
        <f t="shared" si="17"/>
        <v>0</v>
      </c>
      <c r="AV18" s="53">
        <f t="shared" si="18"/>
        <v>0</v>
      </c>
      <c r="AW18" s="53"/>
      <c r="AX18" s="53"/>
      <c r="AY18" s="53">
        <f t="shared" si="19"/>
        <v>0</v>
      </c>
      <c r="AZ18" s="53">
        <f t="shared" si="20"/>
        <v>0</v>
      </c>
      <c r="BA18" s="53"/>
      <c r="BB18" s="53"/>
      <c r="BC18" s="53">
        <f t="shared" si="21"/>
        <v>0</v>
      </c>
      <c r="BD18" s="53">
        <f t="shared" si="22"/>
        <v>0</v>
      </c>
      <c r="BE18" s="53"/>
      <c r="BF18" s="53"/>
      <c r="BG18" s="53">
        <f t="shared" si="23"/>
        <v>0</v>
      </c>
      <c r="BH18" s="53">
        <f t="shared" si="24"/>
        <v>0</v>
      </c>
      <c r="BI18" s="53"/>
      <c r="BJ18" s="53"/>
      <c r="BK18" s="53">
        <f t="shared" si="25"/>
        <v>0</v>
      </c>
      <c r="BL18" s="53">
        <f t="shared" si="26"/>
        <v>0</v>
      </c>
      <c r="BM18" s="54"/>
    </row>
    <row r="19" spans="1:65" ht="12.75">
      <c r="A19" s="49">
        <f>CALENDARIO!A19</f>
        <v>18</v>
      </c>
      <c r="B19" s="50">
        <f>CALENDARIO!B19</f>
        <v>46189</v>
      </c>
      <c r="C19" s="51">
        <f>CALENDARIO!C19</f>
        <v>0.66666666666666663</v>
      </c>
      <c r="D19" s="52" t="str">
        <f>CALENDARIO!D19</f>
        <v>França</v>
      </c>
      <c r="E19" s="52">
        <f>CALENDARIO!E19</f>
        <v>0</v>
      </c>
      <c r="F19" s="49" t="str">
        <f>CALENDARIO!F19</f>
        <v>x</v>
      </c>
      <c r="G19" s="49">
        <f>CALENDARIO!G19</f>
        <v>0</v>
      </c>
      <c r="H19" s="52" t="str">
        <f>CALENDARIO!H19</f>
        <v>Senegal</v>
      </c>
      <c r="I19" s="53"/>
      <c r="J19" s="53"/>
      <c r="K19" s="53">
        <f t="shared" si="27"/>
        <v>0</v>
      </c>
      <c r="L19" s="53">
        <f t="shared" si="0"/>
        <v>0</v>
      </c>
      <c r="M19" s="53"/>
      <c r="N19" s="53"/>
      <c r="O19" s="53">
        <f t="shared" si="1"/>
        <v>0</v>
      </c>
      <c r="P19" s="53">
        <f t="shared" si="2"/>
        <v>0</v>
      </c>
      <c r="Q19" s="53"/>
      <c r="R19" s="53"/>
      <c r="S19" s="53">
        <f t="shared" si="3"/>
        <v>0</v>
      </c>
      <c r="T19" s="53">
        <f t="shared" si="4"/>
        <v>0</v>
      </c>
      <c r="U19" s="53"/>
      <c r="V19" s="53"/>
      <c r="W19" s="53">
        <f t="shared" si="5"/>
        <v>0</v>
      </c>
      <c r="X19" s="53">
        <f t="shared" si="6"/>
        <v>0</v>
      </c>
      <c r="Y19" s="53"/>
      <c r="Z19" s="53"/>
      <c r="AA19" s="53">
        <f t="shared" si="7"/>
        <v>0</v>
      </c>
      <c r="AB19" s="53">
        <f t="shared" si="8"/>
        <v>0</v>
      </c>
      <c r="AC19" s="53"/>
      <c r="AD19" s="53"/>
      <c r="AE19" s="53">
        <f t="shared" si="9"/>
        <v>0</v>
      </c>
      <c r="AF19" s="53">
        <f t="shared" si="10"/>
        <v>0</v>
      </c>
      <c r="AG19" s="53"/>
      <c r="AH19" s="53"/>
      <c r="AI19" s="53">
        <f t="shared" si="11"/>
        <v>0</v>
      </c>
      <c r="AJ19" s="53">
        <f t="shared" si="12"/>
        <v>0</v>
      </c>
      <c r="AK19" s="53"/>
      <c r="AL19" s="53"/>
      <c r="AM19" s="53">
        <f t="shared" si="13"/>
        <v>0</v>
      </c>
      <c r="AN19" s="53">
        <f t="shared" si="14"/>
        <v>0</v>
      </c>
      <c r="AO19" s="53"/>
      <c r="AP19" s="53"/>
      <c r="AQ19" s="53">
        <f t="shared" si="15"/>
        <v>0</v>
      </c>
      <c r="AR19" s="53">
        <f t="shared" si="16"/>
        <v>0</v>
      </c>
      <c r="AS19" s="53"/>
      <c r="AT19" s="53"/>
      <c r="AU19" s="53">
        <f t="shared" si="17"/>
        <v>0</v>
      </c>
      <c r="AV19" s="53">
        <f t="shared" si="18"/>
        <v>0</v>
      </c>
      <c r="AW19" s="53"/>
      <c r="AX19" s="53"/>
      <c r="AY19" s="53">
        <f t="shared" si="19"/>
        <v>0</v>
      </c>
      <c r="AZ19" s="53">
        <f t="shared" si="20"/>
        <v>0</v>
      </c>
      <c r="BA19" s="53"/>
      <c r="BB19" s="53"/>
      <c r="BC19" s="53">
        <f t="shared" si="21"/>
        <v>0</v>
      </c>
      <c r="BD19" s="53">
        <f t="shared" si="22"/>
        <v>0</v>
      </c>
      <c r="BE19" s="53"/>
      <c r="BF19" s="53"/>
      <c r="BG19" s="53">
        <f t="shared" si="23"/>
        <v>0</v>
      </c>
      <c r="BH19" s="53">
        <f t="shared" si="24"/>
        <v>0</v>
      </c>
      <c r="BI19" s="53"/>
      <c r="BJ19" s="53"/>
      <c r="BK19" s="53">
        <f t="shared" si="25"/>
        <v>0</v>
      </c>
      <c r="BL19" s="53">
        <f t="shared" si="26"/>
        <v>0</v>
      </c>
      <c r="BM19" s="54"/>
    </row>
    <row r="20" spans="1:65" ht="12.75">
      <c r="A20" s="49">
        <f>CALENDARIO!A20</f>
        <v>19</v>
      </c>
      <c r="B20" s="50">
        <f>CALENDARIO!B20</f>
        <v>46189</v>
      </c>
      <c r="C20" s="51">
        <f>CALENDARIO!C20</f>
        <v>0.79166666666666663</v>
      </c>
      <c r="D20" s="52" t="str">
        <f>CALENDARIO!D20</f>
        <v>Iraque</v>
      </c>
      <c r="E20" s="52">
        <f>CALENDARIO!E20</f>
        <v>0</v>
      </c>
      <c r="F20" s="49" t="str">
        <f>CALENDARIO!F20</f>
        <v>x</v>
      </c>
      <c r="G20" s="49">
        <f>CALENDARIO!G20</f>
        <v>0</v>
      </c>
      <c r="H20" s="52" t="str">
        <f>CALENDARIO!H20</f>
        <v>Noruega</v>
      </c>
      <c r="I20" s="53"/>
      <c r="J20" s="53"/>
      <c r="K20" s="53">
        <f t="shared" si="27"/>
        <v>0</v>
      </c>
      <c r="L20" s="53">
        <f t="shared" si="0"/>
        <v>0</v>
      </c>
      <c r="M20" s="53"/>
      <c r="N20" s="53"/>
      <c r="O20" s="53">
        <f t="shared" si="1"/>
        <v>0</v>
      </c>
      <c r="P20" s="53">
        <f t="shared" si="2"/>
        <v>0</v>
      </c>
      <c r="Q20" s="53"/>
      <c r="R20" s="53"/>
      <c r="S20" s="53">
        <f t="shared" si="3"/>
        <v>0</v>
      </c>
      <c r="T20" s="53">
        <f t="shared" si="4"/>
        <v>0</v>
      </c>
      <c r="U20" s="53"/>
      <c r="V20" s="53"/>
      <c r="W20" s="53">
        <f t="shared" si="5"/>
        <v>0</v>
      </c>
      <c r="X20" s="53">
        <f t="shared" si="6"/>
        <v>0</v>
      </c>
      <c r="Y20" s="53"/>
      <c r="Z20" s="53"/>
      <c r="AA20" s="53">
        <f t="shared" si="7"/>
        <v>0</v>
      </c>
      <c r="AB20" s="53">
        <f t="shared" si="8"/>
        <v>0</v>
      </c>
      <c r="AC20" s="53"/>
      <c r="AD20" s="53"/>
      <c r="AE20" s="53">
        <f t="shared" si="9"/>
        <v>0</v>
      </c>
      <c r="AF20" s="53">
        <f t="shared" si="10"/>
        <v>0</v>
      </c>
      <c r="AG20" s="53"/>
      <c r="AH20" s="53"/>
      <c r="AI20" s="53">
        <f t="shared" si="11"/>
        <v>0</v>
      </c>
      <c r="AJ20" s="53">
        <f t="shared" si="12"/>
        <v>0</v>
      </c>
      <c r="AK20" s="53"/>
      <c r="AL20" s="53"/>
      <c r="AM20" s="53">
        <f t="shared" si="13"/>
        <v>0</v>
      </c>
      <c r="AN20" s="53">
        <f t="shared" si="14"/>
        <v>0</v>
      </c>
      <c r="AO20" s="53"/>
      <c r="AP20" s="53"/>
      <c r="AQ20" s="53">
        <f t="shared" si="15"/>
        <v>0</v>
      </c>
      <c r="AR20" s="53">
        <f t="shared" si="16"/>
        <v>0</v>
      </c>
      <c r="AS20" s="53"/>
      <c r="AT20" s="53"/>
      <c r="AU20" s="53">
        <f t="shared" si="17"/>
        <v>0</v>
      </c>
      <c r="AV20" s="53">
        <f t="shared" si="18"/>
        <v>0</v>
      </c>
      <c r="AW20" s="53"/>
      <c r="AX20" s="53"/>
      <c r="AY20" s="53">
        <f t="shared" si="19"/>
        <v>0</v>
      </c>
      <c r="AZ20" s="53">
        <f t="shared" si="20"/>
        <v>0</v>
      </c>
      <c r="BA20" s="53"/>
      <c r="BB20" s="53"/>
      <c r="BC20" s="53">
        <f t="shared" si="21"/>
        <v>0</v>
      </c>
      <c r="BD20" s="53">
        <f t="shared" si="22"/>
        <v>0</v>
      </c>
      <c r="BE20" s="53"/>
      <c r="BF20" s="53"/>
      <c r="BG20" s="53">
        <f t="shared" si="23"/>
        <v>0</v>
      </c>
      <c r="BH20" s="53">
        <f t="shared" si="24"/>
        <v>0</v>
      </c>
      <c r="BI20" s="53"/>
      <c r="BJ20" s="53"/>
      <c r="BK20" s="53">
        <f t="shared" si="25"/>
        <v>0</v>
      </c>
      <c r="BL20" s="53">
        <f t="shared" si="26"/>
        <v>0</v>
      </c>
      <c r="BM20" s="54"/>
    </row>
    <row r="21" spans="1:65" ht="12.75">
      <c r="A21" s="49">
        <f>CALENDARIO!A21</f>
        <v>20</v>
      </c>
      <c r="B21" s="50">
        <f>CALENDARIO!B21</f>
        <v>46189</v>
      </c>
      <c r="C21" s="51">
        <f>CALENDARIO!C21</f>
        <v>0.91666666666666663</v>
      </c>
      <c r="D21" s="52" t="str">
        <f>CALENDARIO!D21</f>
        <v>Argentina</v>
      </c>
      <c r="E21" s="52">
        <f>CALENDARIO!E21</f>
        <v>0</v>
      </c>
      <c r="F21" s="49" t="str">
        <f>CALENDARIO!F21</f>
        <v>x</v>
      </c>
      <c r="G21" s="49">
        <f>CALENDARIO!G21</f>
        <v>0</v>
      </c>
      <c r="H21" s="52" t="str">
        <f>CALENDARIO!H21</f>
        <v>Argélia</v>
      </c>
      <c r="I21" s="53"/>
      <c r="J21" s="53"/>
      <c r="K21" s="53">
        <f t="shared" si="27"/>
        <v>0</v>
      </c>
      <c r="L21" s="53">
        <f t="shared" si="0"/>
        <v>0</v>
      </c>
      <c r="M21" s="53"/>
      <c r="N21" s="53"/>
      <c r="O21" s="53">
        <f t="shared" si="1"/>
        <v>0</v>
      </c>
      <c r="P21" s="53">
        <f t="shared" si="2"/>
        <v>0</v>
      </c>
      <c r="Q21" s="53"/>
      <c r="R21" s="53"/>
      <c r="S21" s="53">
        <f t="shared" si="3"/>
        <v>0</v>
      </c>
      <c r="T21" s="53">
        <f t="shared" si="4"/>
        <v>0</v>
      </c>
      <c r="U21" s="53"/>
      <c r="V21" s="53"/>
      <c r="W21" s="53">
        <f t="shared" si="5"/>
        <v>0</v>
      </c>
      <c r="X21" s="53">
        <f t="shared" si="6"/>
        <v>0</v>
      </c>
      <c r="Y21" s="53"/>
      <c r="Z21" s="53"/>
      <c r="AA21" s="53">
        <f t="shared" si="7"/>
        <v>0</v>
      </c>
      <c r="AB21" s="53">
        <f t="shared" si="8"/>
        <v>0</v>
      </c>
      <c r="AC21" s="53"/>
      <c r="AD21" s="53"/>
      <c r="AE21" s="53">
        <f t="shared" si="9"/>
        <v>0</v>
      </c>
      <c r="AF21" s="53">
        <f t="shared" si="10"/>
        <v>0</v>
      </c>
      <c r="AG21" s="53"/>
      <c r="AH21" s="53"/>
      <c r="AI21" s="53">
        <f t="shared" si="11"/>
        <v>0</v>
      </c>
      <c r="AJ21" s="53">
        <f t="shared" si="12"/>
        <v>0</v>
      </c>
      <c r="AK21" s="53"/>
      <c r="AL21" s="53"/>
      <c r="AM21" s="53">
        <f t="shared" si="13"/>
        <v>0</v>
      </c>
      <c r="AN21" s="53">
        <f t="shared" si="14"/>
        <v>0</v>
      </c>
      <c r="AO21" s="53"/>
      <c r="AP21" s="53"/>
      <c r="AQ21" s="53">
        <f t="shared" si="15"/>
        <v>0</v>
      </c>
      <c r="AR21" s="53">
        <f t="shared" si="16"/>
        <v>0</v>
      </c>
      <c r="AS21" s="53"/>
      <c r="AT21" s="53"/>
      <c r="AU21" s="53">
        <f t="shared" si="17"/>
        <v>0</v>
      </c>
      <c r="AV21" s="53">
        <f t="shared" si="18"/>
        <v>0</v>
      </c>
      <c r="AW21" s="53"/>
      <c r="AX21" s="53"/>
      <c r="AY21" s="53">
        <f t="shared" si="19"/>
        <v>0</v>
      </c>
      <c r="AZ21" s="53">
        <f t="shared" si="20"/>
        <v>0</v>
      </c>
      <c r="BA21" s="53"/>
      <c r="BB21" s="53"/>
      <c r="BC21" s="53">
        <f t="shared" si="21"/>
        <v>0</v>
      </c>
      <c r="BD21" s="53">
        <f t="shared" si="22"/>
        <v>0</v>
      </c>
      <c r="BE21" s="53"/>
      <c r="BF21" s="53"/>
      <c r="BG21" s="53">
        <f t="shared" si="23"/>
        <v>0</v>
      </c>
      <c r="BH21" s="53">
        <f t="shared" si="24"/>
        <v>0</v>
      </c>
      <c r="BI21" s="53"/>
      <c r="BJ21" s="53"/>
      <c r="BK21" s="53">
        <f t="shared" si="25"/>
        <v>0</v>
      </c>
      <c r="BL21" s="53">
        <f t="shared" si="26"/>
        <v>0</v>
      </c>
      <c r="BM21" s="54"/>
    </row>
    <row r="22" spans="1:65" ht="12.75">
      <c r="A22" s="49">
        <f>CALENDARIO!A22</f>
        <v>21</v>
      </c>
      <c r="B22" s="50">
        <f>CALENDARIO!B22</f>
        <v>46190</v>
      </c>
      <c r="C22" s="51">
        <f>CALENDARIO!C22</f>
        <v>0.58333333333333337</v>
      </c>
      <c r="D22" s="52" t="str">
        <f>CALENDARIO!D22</f>
        <v>Portugal</v>
      </c>
      <c r="E22" s="52">
        <f>CALENDARIO!E22</f>
        <v>0</v>
      </c>
      <c r="F22" s="49" t="str">
        <f>CALENDARIO!F22</f>
        <v>x</v>
      </c>
      <c r="G22" s="49">
        <f>CALENDARIO!G22</f>
        <v>0</v>
      </c>
      <c r="H22" s="52" t="str">
        <f>CALENDARIO!H22</f>
        <v>Rep. Dem. do Congo</v>
      </c>
      <c r="I22" s="53"/>
      <c r="J22" s="53"/>
      <c r="K22" s="53">
        <f t="shared" si="27"/>
        <v>0</v>
      </c>
      <c r="L22" s="53">
        <f t="shared" si="0"/>
        <v>0</v>
      </c>
      <c r="M22" s="53"/>
      <c r="N22" s="53"/>
      <c r="O22" s="53">
        <f t="shared" si="1"/>
        <v>0</v>
      </c>
      <c r="P22" s="53">
        <f t="shared" si="2"/>
        <v>0</v>
      </c>
      <c r="Q22" s="53"/>
      <c r="R22" s="53"/>
      <c r="S22" s="53">
        <f t="shared" si="3"/>
        <v>0</v>
      </c>
      <c r="T22" s="53">
        <f t="shared" si="4"/>
        <v>0</v>
      </c>
      <c r="U22" s="53"/>
      <c r="V22" s="53"/>
      <c r="W22" s="53">
        <f t="shared" si="5"/>
        <v>0</v>
      </c>
      <c r="X22" s="53">
        <f t="shared" si="6"/>
        <v>0</v>
      </c>
      <c r="Y22" s="53"/>
      <c r="Z22" s="53"/>
      <c r="AA22" s="53">
        <f t="shared" si="7"/>
        <v>0</v>
      </c>
      <c r="AB22" s="53">
        <f t="shared" si="8"/>
        <v>0</v>
      </c>
      <c r="AC22" s="53"/>
      <c r="AD22" s="53"/>
      <c r="AE22" s="53">
        <f t="shared" si="9"/>
        <v>0</v>
      </c>
      <c r="AF22" s="53">
        <f t="shared" si="10"/>
        <v>0</v>
      </c>
      <c r="AG22" s="53"/>
      <c r="AH22" s="53"/>
      <c r="AI22" s="53">
        <f t="shared" si="11"/>
        <v>0</v>
      </c>
      <c r="AJ22" s="53">
        <f t="shared" si="12"/>
        <v>0</v>
      </c>
      <c r="AK22" s="53"/>
      <c r="AL22" s="53"/>
      <c r="AM22" s="53">
        <f t="shared" si="13"/>
        <v>0</v>
      </c>
      <c r="AN22" s="53">
        <f t="shared" si="14"/>
        <v>0</v>
      </c>
      <c r="AO22" s="53"/>
      <c r="AP22" s="53"/>
      <c r="AQ22" s="53">
        <f t="shared" si="15"/>
        <v>0</v>
      </c>
      <c r="AR22" s="53">
        <f t="shared" si="16"/>
        <v>0</v>
      </c>
      <c r="AS22" s="53"/>
      <c r="AT22" s="53"/>
      <c r="AU22" s="53">
        <f t="shared" si="17"/>
        <v>0</v>
      </c>
      <c r="AV22" s="53">
        <f t="shared" si="18"/>
        <v>0</v>
      </c>
      <c r="AW22" s="53"/>
      <c r="AX22" s="53"/>
      <c r="AY22" s="53">
        <f t="shared" si="19"/>
        <v>0</v>
      </c>
      <c r="AZ22" s="53">
        <f t="shared" si="20"/>
        <v>0</v>
      </c>
      <c r="BA22" s="53"/>
      <c r="BB22" s="53"/>
      <c r="BC22" s="53">
        <f t="shared" si="21"/>
        <v>0</v>
      </c>
      <c r="BD22" s="53">
        <f t="shared" si="22"/>
        <v>0</v>
      </c>
      <c r="BE22" s="53"/>
      <c r="BF22" s="53"/>
      <c r="BG22" s="53">
        <f t="shared" si="23"/>
        <v>0</v>
      </c>
      <c r="BH22" s="53">
        <f t="shared" si="24"/>
        <v>0</v>
      </c>
      <c r="BI22" s="53"/>
      <c r="BJ22" s="53"/>
      <c r="BK22" s="53">
        <f t="shared" si="25"/>
        <v>0</v>
      </c>
      <c r="BL22" s="53">
        <f t="shared" si="26"/>
        <v>0</v>
      </c>
      <c r="BM22" s="54"/>
    </row>
    <row r="23" spans="1:65" ht="12.75">
      <c r="A23" s="49">
        <f>CALENDARIO!A23</f>
        <v>22</v>
      </c>
      <c r="B23" s="50">
        <f>CALENDARIO!B23</f>
        <v>46190</v>
      </c>
      <c r="C23" s="51">
        <f>CALENDARIO!C23</f>
        <v>0.70833333333333337</v>
      </c>
      <c r="D23" s="52" t="str">
        <f>CALENDARIO!D23</f>
        <v>Inglaterra</v>
      </c>
      <c r="E23" s="52">
        <f>CALENDARIO!E23</f>
        <v>0</v>
      </c>
      <c r="F23" s="49" t="str">
        <f>CALENDARIO!F23</f>
        <v>x</v>
      </c>
      <c r="G23" s="49">
        <f>CALENDARIO!G23</f>
        <v>0</v>
      </c>
      <c r="H23" s="52" t="str">
        <f>CALENDARIO!H23</f>
        <v>Croácia</v>
      </c>
      <c r="I23" s="53"/>
      <c r="J23" s="53"/>
      <c r="K23" s="53">
        <f t="shared" si="27"/>
        <v>0</v>
      </c>
      <c r="L23" s="53">
        <f t="shared" si="0"/>
        <v>0</v>
      </c>
      <c r="M23" s="53"/>
      <c r="N23" s="53"/>
      <c r="O23" s="53">
        <f t="shared" si="1"/>
        <v>0</v>
      </c>
      <c r="P23" s="53">
        <f t="shared" si="2"/>
        <v>0</v>
      </c>
      <c r="Q23" s="53"/>
      <c r="R23" s="53"/>
      <c r="S23" s="53">
        <f t="shared" si="3"/>
        <v>0</v>
      </c>
      <c r="T23" s="53">
        <f t="shared" si="4"/>
        <v>0</v>
      </c>
      <c r="U23" s="53"/>
      <c r="V23" s="53"/>
      <c r="W23" s="53">
        <f t="shared" si="5"/>
        <v>0</v>
      </c>
      <c r="X23" s="53">
        <f t="shared" si="6"/>
        <v>0</v>
      </c>
      <c r="Y23" s="53"/>
      <c r="Z23" s="53"/>
      <c r="AA23" s="53">
        <f t="shared" si="7"/>
        <v>0</v>
      </c>
      <c r="AB23" s="53">
        <f t="shared" si="8"/>
        <v>0</v>
      </c>
      <c r="AC23" s="53"/>
      <c r="AD23" s="53"/>
      <c r="AE23" s="53">
        <f t="shared" si="9"/>
        <v>0</v>
      </c>
      <c r="AF23" s="53">
        <f t="shared" si="10"/>
        <v>0</v>
      </c>
      <c r="AG23" s="53"/>
      <c r="AH23" s="53"/>
      <c r="AI23" s="53">
        <f t="shared" si="11"/>
        <v>0</v>
      </c>
      <c r="AJ23" s="53">
        <f t="shared" si="12"/>
        <v>0</v>
      </c>
      <c r="AK23" s="53"/>
      <c r="AL23" s="53"/>
      <c r="AM23" s="53">
        <f t="shared" si="13"/>
        <v>0</v>
      </c>
      <c r="AN23" s="53">
        <f t="shared" si="14"/>
        <v>0</v>
      </c>
      <c r="AO23" s="53"/>
      <c r="AP23" s="53"/>
      <c r="AQ23" s="53">
        <f t="shared" si="15"/>
        <v>0</v>
      </c>
      <c r="AR23" s="53">
        <f t="shared" si="16"/>
        <v>0</v>
      </c>
      <c r="AS23" s="53"/>
      <c r="AT23" s="53"/>
      <c r="AU23" s="53">
        <f t="shared" si="17"/>
        <v>0</v>
      </c>
      <c r="AV23" s="53">
        <f t="shared" si="18"/>
        <v>0</v>
      </c>
      <c r="AW23" s="53"/>
      <c r="AX23" s="53"/>
      <c r="AY23" s="53">
        <f t="shared" si="19"/>
        <v>0</v>
      </c>
      <c r="AZ23" s="53">
        <f t="shared" si="20"/>
        <v>0</v>
      </c>
      <c r="BA23" s="53"/>
      <c r="BB23" s="53"/>
      <c r="BC23" s="53">
        <f t="shared" si="21"/>
        <v>0</v>
      </c>
      <c r="BD23" s="53">
        <f t="shared" si="22"/>
        <v>0</v>
      </c>
      <c r="BE23" s="53"/>
      <c r="BF23" s="53"/>
      <c r="BG23" s="53">
        <f t="shared" si="23"/>
        <v>0</v>
      </c>
      <c r="BH23" s="53">
        <f t="shared" si="24"/>
        <v>0</v>
      </c>
      <c r="BI23" s="53"/>
      <c r="BJ23" s="53"/>
      <c r="BK23" s="53">
        <f t="shared" si="25"/>
        <v>0</v>
      </c>
      <c r="BL23" s="53">
        <f t="shared" si="26"/>
        <v>0</v>
      </c>
      <c r="BM23" s="54"/>
    </row>
    <row r="24" spans="1:65" ht="12.75">
      <c r="A24" s="49">
        <f>CALENDARIO!A24</f>
        <v>23</v>
      </c>
      <c r="B24" s="50">
        <f>CALENDARIO!B24</f>
        <v>46190</v>
      </c>
      <c r="C24" s="51">
        <f>CALENDARIO!C24</f>
        <v>0.83333333333333337</v>
      </c>
      <c r="D24" s="52" t="str">
        <f>CALENDARIO!D24</f>
        <v>Gana</v>
      </c>
      <c r="E24" s="52">
        <f>CALENDARIO!E24</f>
        <v>0</v>
      </c>
      <c r="F24" s="49" t="str">
        <f>CALENDARIO!F24</f>
        <v>x</v>
      </c>
      <c r="G24" s="49">
        <f>CALENDARIO!G24</f>
        <v>0</v>
      </c>
      <c r="H24" s="52" t="str">
        <f>CALENDARIO!H24</f>
        <v>Panamá</v>
      </c>
      <c r="I24" s="53"/>
      <c r="J24" s="53"/>
      <c r="K24" s="53">
        <f t="shared" si="27"/>
        <v>0</v>
      </c>
      <c r="L24" s="53">
        <f t="shared" si="0"/>
        <v>0</v>
      </c>
      <c r="M24" s="53"/>
      <c r="N24" s="53"/>
      <c r="O24" s="53">
        <f t="shared" si="1"/>
        <v>0</v>
      </c>
      <c r="P24" s="53">
        <f t="shared" si="2"/>
        <v>0</v>
      </c>
      <c r="Q24" s="53"/>
      <c r="R24" s="53"/>
      <c r="S24" s="53">
        <f t="shared" si="3"/>
        <v>0</v>
      </c>
      <c r="T24" s="53">
        <f t="shared" si="4"/>
        <v>0</v>
      </c>
      <c r="U24" s="53"/>
      <c r="V24" s="53"/>
      <c r="W24" s="53">
        <f t="shared" si="5"/>
        <v>0</v>
      </c>
      <c r="X24" s="53">
        <f t="shared" si="6"/>
        <v>0</v>
      </c>
      <c r="Y24" s="53"/>
      <c r="Z24" s="53"/>
      <c r="AA24" s="53">
        <f t="shared" si="7"/>
        <v>0</v>
      </c>
      <c r="AB24" s="53">
        <f t="shared" si="8"/>
        <v>0</v>
      </c>
      <c r="AC24" s="53"/>
      <c r="AD24" s="53"/>
      <c r="AE24" s="53">
        <f t="shared" si="9"/>
        <v>0</v>
      </c>
      <c r="AF24" s="53">
        <f t="shared" si="10"/>
        <v>0</v>
      </c>
      <c r="AG24" s="53"/>
      <c r="AH24" s="53"/>
      <c r="AI24" s="53">
        <f t="shared" si="11"/>
        <v>0</v>
      </c>
      <c r="AJ24" s="53">
        <f t="shared" si="12"/>
        <v>0</v>
      </c>
      <c r="AK24" s="53"/>
      <c r="AL24" s="53"/>
      <c r="AM24" s="53">
        <f t="shared" si="13"/>
        <v>0</v>
      </c>
      <c r="AN24" s="53">
        <f t="shared" si="14"/>
        <v>0</v>
      </c>
      <c r="AO24" s="53"/>
      <c r="AP24" s="53"/>
      <c r="AQ24" s="53">
        <f t="shared" si="15"/>
        <v>0</v>
      </c>
      <c r="AR24" s="53">
        <f t="shared" si="16"/>
        <v>0</v>
      </c>
      <c r="AS24" s="53"/>
      <c r="AT24" s="53"/>
      <c r="AU24" s="53">
        <f t="shared" si="17"/>
        <v>0</v>
      </c>
      <c r="AV24" s="53">
        <f t="shared" si="18"/>
        <v>0</v>
      </c>
      <c r="AW24" s="53"/>
      <c r="AX24" s="53"/>
      <c r="AY24" s="53">
        <f t="shared" si="19"/>
        <v>0</v>
      </c>
      <c r="AZ24" s="53">
        <f t="shared" si="20"/>
        <v>0</v>
      </c>
      <c r="BA24" s="53"/>
      <c r="BB24" s="53"/>
      <c r="BC24" s="53">
        <f t="shared" si="21"/>
        <v>0</v>
      </c>
      <c r="BD24" s="53">
        <f t="shared" si="22"/>
        <v>0</v>
      </c>
      <c r="BE24" s="53"/>
      <c r="BF24" s="53"/>
      <c r="BG24" s="53">
        <f t="shared" si="23"/>
        <v>0</v>
      </c>
      <c r="BH24" s="53">
        <f t="shared" si="24"/>
        <v>0</v>
      </c>
      <c r="BI24" s="53"/>
      <c r="BJ24" s="53"/>
      <c r="BK24" s="53">
        <f t="shared" si="25"/>
        <v>0</v>
      </c>
      <c r="BL24" s="53">
        <f t="shared" si="26"/>
        <v>0</v>
      </c>
      <c r="BM24" s="54"/>
    </row>
    <row r="25" spans="1:65" ht="12.75">
      <c r="A25" s="49">
        <f>CALENDARIO!A25</f>
        <v>24</v>
      </c>
      <c r="B25" s="50">
        <f>CALENDARIO!B25</f>
        <v>46190</v>
      </c>
      <c r="C25" s="51">
        <f>CALENDARIO!C25</f>
        <v>0.875</v>
      </c>
      <c r="D25" s="52" t="str">
        <f>CALENDARIO!D25</f>
        <v>Uzbequistão</v>
      </c>
      <c r="E25" s="52">
        <f>CALENDARIO!E25</f>
        <v>0</v>
      </c>
      <c r="F25" s="49" t="str">
        <f>CALENDARIO!F25</f>
        <v>x</v>
      </c>
      <c r="G25" s="49">
        <f>CALENDARIO!G25</f>
        <v>0</v>
      </c>
      <c r="H25" s="52" t="str">
        <f>CALENDARIO!H25</f>
        <v>Colômbia</v>
      </c>
      <c r="I25" s="53"/>
      <c r="J25" s="53"/>
      <c r="K25" s="53">
        <f t="shared" si="27"/>
        <v>0</v>
      </c>
      <c r="L25" s="53">
        <f t="shared" si="0"/>
        <v>0</v>
      </c>
      <c r="M25" s="53"/>
      <c r="N25" s="53"/>
      <c r="O25" s="53">
        <f t="shared" si="1"/>
        <v>0</v>
      </c>
      <c r="P25" s="53">
        <f t="shared" si="2"/>
        <v>0</v>
      </c>
      <c r="Q25" s="53"/>
      <c r="R25" s="53"/>
      <c r="S25" s="53">
        <f t="shared" si="3"/>
        <v>0</v>
      </c>
      <c r="T25" s="53">
        <f t="shared" si="4"/>
        <v>0</v>
      </c>
      <c r="U25" s="53"/>
      <c r="V25" s="53"/>
      <c r="W25" s="53">
        <f t="shared" si="5"/>
        <v>0</v>
      </c>
      <c r="X25" s="53">
        <f t="shared" si="6"/>
        <v>0</v>
      </c>
      <c r="Y25" s="53"/>
      <c r="Z25" s="53"/>
      <c r="AA25" s="53">
        <f t="shared" si="7"/>
        <v>0</v>
      </c>
      <c r="AB25" s="53">
        <f t="shared" si="8"/>
        <v>0</v>
      </c>
      <c r="AC25" s="53"/>
      <c r="AD25" s="53"/>
      <c r="AE25" s="53">
        <f t="shared" si="9"/>
        <v>0</v>
      </c>
      <c r="AF25" s="53">
        <f t="shared" si="10"/>
        <v>0</v>
      </c>
      <c r="AG25" s="53"/>
      <c r="AH25" s="53"/>
      <c r="AI25" s="53">
        <f t="shared" si="11"/>
        <v>0</v>
      </c>
      <c r="AJ25" s="53">
        <f t="shared" si="12"/>
        <v>0</v>
      </c>
      <c r="AK25" s="53"/>
      <c r="AL25" s="53"/>
      <c r="AM25" s="53">
        <f t="shared" si="13"/>
        <v>0</v>
      </c>
      <c r="AN25" s="53">
        <f t="shared" si="14"/>
        <v>0</v>
      </c>
      <c r="AO25" s="53"/>
      <c r="AP25" s="53"/>
      <c r="AQ25" s="53">
        <f t="shared" si="15"/>
        <v>0</v>
      </c>
      <c r="AR25" s="53">
        <f t="shared" si="16"/>
        <v>0</v>
      </c>
      <c r="AS25" s="53"/>
      <c r="AT25" s="53"/>
      <c r="AU25" s="53">
        <f t="shared" si="17"/>
        <v>0</v>
      </c>
      <c r="AV25" s="53">
        <f t="shared" si="18"/>
        <v>0</v>
      </c>
      <c r="AW25" s="53"/>
      <c r="AX25" s="53"/>
      <c r="AY25" s="53">
        <f t="shared" si="19"/>
        <v>0</v>
      </c>
      <c r="AZ25" s="53">
        <f t="shared" si="20"/>
        <v>0</v>
      </c>
      <c r="BA25" s="53"/>
      <c r="BB25" s="53"/>
      <c r="BC25" s="53">
        <f t="shared" si="21"/>
        <v>0</v>
      </c>
      <c r="BD25" s="53">
        <f t="shared" si="22"/>
        <v>0</v>
      </c>
      <c r="BE25" s="53"/>
      <c r="BF25" s="53"/>
      <c r="BG25" s="53">
        <f t="shared" si="23"/>
        <v>0</v>
      </c>
      <c r="BH25" s="53">
        <f t="shared" si="24"/>
        <v>0</v>
      </c>
      <c r="BI25" s="53"/>
      <c r="BJ25" s="53"/>
      <c r="BK25" s="53">
        <f t="shared" si="25"/>
        <v>0</v>
      </c>
      <c r="BL25" s="53">
        <f t="shared" si="26"/>
        <v>0</v>
      </c>
      <c r="BM25" s="54"/>
    </row>
    <row r="26" spans="1:65" ht="12.75">
      <c r="A26" s="49">
        <f>CALENDARIO!A26</f>
        <v>25</v>
      </c>
      <c r="B26" s="50">
        <f>CALENDARIO!B26</f>
        <v>46191</v>
      </c>
      <c r="C26" s="51">
        <f>CALENDARIO!C26</f>
        <v>0.54166666666666663</v>
      </c>
      <c r="D26" s="52" t="str">
        <f>CALENDARIO!D26</f>
        <v>República Tcheca</v>
      </c>
      <c r="E26" s="52">
        <f>CALENDARIO!E26</f>
        <v>0</v>
      </c>
      <c r="F26" s="49" t="str">
        <f>CALENDARIO!F26</f>
        <v>x</v>
      </c>
      <c r="G26" s="49">
        <f>CALENDARIO!G26</f>
        <v>0</v>
      </c>
      <c r="H26" s="52" t="str">
        <f>CALENDARIO!H26</f>
        <v>África do Sul</v>
      </c>
      <c r="I26" s="53"/>
      <c r="J26" s="53"/>
      <c r="K26" s="53">
        <f t="shared" si="27"/>
        <v>0</v>
      </c>
      <c r="L26" s="53">
        <f t="shared" si="0"/>
        <v>0</v>
      </c>
      <c r="M26" s="53"/>
      <c r="N26" s="53"/>
      <c r="O26" s="53">
        <f t="shared" si="1"/>
        <v>0</v>
      </c>
      <c r="P26" s="53">
        <f t="shared" si="2"/>
        <v>0</v>
      </c>
      <c r="Q26" s="53"/>
      <c r="R26" s="53"/>
      <c r="S26" s="53">
        <f t="shared" si="3"/>
        <v>0</v>
      </c>
      <c r="T26" s="53">
        <f t="shared" si="4"/>
        <v>0</v>
      </c>
      <c r="U26" s="53"/>
      <c r="V26" s="53"/>
      <c r="W26" s="53">
        <f t="shared" si="5"/>
        <v>0</v>
      </c>
      <c r="X26" s="53">
        <f t="shared" si="6"/>
        <v>0</v>
      </c>
      <c r="Y26" s="53"/>
      <c r="Z26" s="53"/>
      <c r="AA26" s="53">
        <f t="shared" si="7"/>
        <v>0</v>
      </c>
      <c r="AB26" s="53">
        <f t="shared" si="8"/>
        <v>0</v>
      </c>
      <c r="AC26" s="53"/>
      <c r="AD26" s="53"/>
      <c r="AE26" s="53">
        <f t="shared" si="9"/>
        <v>0</v>
      </c>
      <c r="AF26" s="53">
        <f t="shared" si="10"/>
        <v>0</v>
      </c>
      <c r="AG26" s="53"/>
      <c r="AH26" s="53"/>
      <c r="AI26" s="53">
        <f t="shared" si="11"/>
        <v>0</v>
      </c>
      <c r="AJ26" s="53">
        <f t="shared" si="12"/>
        <v>0</v>
      </c>
      <c r="AK26" s="53"/>
      <c r="AL26" s="53"/>
      <c r="AM26" s="53">
        <f t="shared" si="13"/>
        <v>0</v>
      </c>
      <c r="AN26" s="53">
        <f t="shared" si="14"/>
        <v>0</v>
      </c>
      <c r="AO26" s="53"/>
      <c r="AP26" s="53"/>
      <c r="AQ26" s="53">
        <f t="shared" si="15"/>
        <v>0</v>
      </c>
      <c r="AR26" s="53">
        <f t="shared" si="16"/>
        <v>0</v>
      </c>
      <c r="AS26" s="53"/>
      <c r="AT26" s="53"/>
      <c r="AU26" s="53">
        <f t="shared" si="17"/>
        <v>0</v>
      </c>
      <c r="AV26" s="53">
        <f t="shared" si="18"/>
        <v>0</v>
      </c>
      <c r="AW26" s="53"/>
      <c r="AX26" s="53"/>
      <c r="AY26" s="53">
        <f t="shared" si="19"/>
        <v>0</v>
      </c>
      <c r="AZ26" s="53">
        <f t="shared" si="20"/>
        <v>0</v>
      </c>
      <c r="BA26" s="53"/>
      <c r="BB26" s="53"/>
      <c r="BC26" s="53">
        <f t="shared" si="21"/>
        <v>0</v>
      </c>
      <c r="BD26" s="53">
        <f t="shared" si="22"/>
        <v>0</v>
      </c>
      <c r="BE26" s="53"/>
      <c r="BF26" s="53"/>
      <c r="BG26" s="53">
        <f t="shared" si="23"/>
        <v>0</v>
      </c>
      <c r="BH26" s="53">
        <f t="shared" si="24"/>
        <v>0</v>
      </c>
      <c r="BI26" s="53"/>
      <c r="BJ26" s="53"/>
      <c r="BK26" s="53">
        <f t="shared" si="25"/>
        <v>0</v>
      </c>
      <c r="BL26" s="53">
        <f t="shared" si="26"/>
        <v>0</v>
      </c>
      <c r="BM26" s="54"/>
    </row>
    <row r="27" spans="1:65" ht="12.75">
      <c r="A27" s="49">
        <f>CALENDARIO!A27</f>
        <v>26</v>
      </c>
      <c r="B27" s="50">
        <f>CALENDARIO!B27</f>
        <v>46191</v>
      </c>
      <c r="C27" s="51">
        <f>CALENDARIO!C27</f>
        <v>0.66666666666666663</v>
      </c>
      <c r="D27" s="52" t="str">
        <f>CALENDARIO!D27</f>
        <v>Suíça</v>
      </c>
      <c r="E27" s="52">
        <f>CALENDARIO!E27</f>
        <v>0</v>
      </c>
      <c r="F27" s="49" t="str">
        <f>CALENDARIO!F27</f>
        <v>x</v>
      </c>
      <c r="G27" s="49">
        <f>CALENDARIO!G27</f>
        <v>0</v>
      </c>
      <c r="H27" s="52" t="str">
        <f>CALENDARIO!H27</f>
        <v>Bósnia e Herzegovina</v>
      </c>
      <c r="I27" s="53"/>
      <c r="J27" s="53"/>
      <c r="K27" s="53">
        <f t="shared" si="27"/>
        <v>0</v>
      </c>
      <c r="L27" s="53">
        <f t="shared" si="0"/>
        <v>0</v>
      </c>
      <c r="M27" s="53"/>
      <c r="N27" s="53"/>
      <c r="O27" s="53">
        <f t="shared" si="1"/>
        <v>0</v>
      </c>
      <c r="P27" s="53">
        <f t="shared" si="2"/>
        <v>0</v>
      </c>
      <c r="Q27" s="53"/>
      <c r="R27" s="53"/>
      <c r="S27" s="53">
        <f t="shared" si="3"/>
        <v>0</v>
      </c>
      <c r="T27" s="53">
        <f t="shared" si="4"/>
        <v>0</v>
      </c>
      <c r="U27" s="53"/>
      <c r="V27" s="53"/>
      <c r="W27" s="53">
        <f t="shared" si="5"/>
        <v>0</v>
      </c>
      <c r="X27" s="53">
        <f t="shared" si="6"/>
        <v>0</v>
      </c>
      <c r="Y27" s="53"/>
      <c r="Z27" s="53"/>
      <c r="AA27" s="53">
        <f t="shared" si="7"/>
        <v>0</v>
      </c>
      <c r="AB27" s="53">
        <f t="shared" si="8"/>
        <v>0</v>
      </c>
      <c r="AC27" s="53"/>
      <c r="AD27" s="53"/>
      <c r="AE27" s="53">
        <f t="shared" si="9"/>
        <v>0</v>
      </c>
      <c r="AF27" s="53">
        <f t="shared" si="10"/>
        <v>0</v>
      </c>
      <c r="AG27" s="53"/>
      <c r="AH27" s="53"/>
      <c r="AI27" s="53">
        <f t="shared" si="11"/>
        <v>0</v>
      </c>
      <c r="AJ27" s="53">
        <f t="shared" si="12"/>
        <v>0</v>
      </c>
      <c r="AK27" s="53"/>
      <c r="AL27" s="53"/>
      <c r="AM27" s="53">
        <f t="shared" si="13"/>
        <v>0</v>
      </c>
      <c r="AN27" s="53">
        <f t="shared" si="14"/>
        <v>0</v>
      </c>
      <c r="AO27" s="53"/>
      <c r="AP27" s="53"/>
      <c r="AQ27" s="53">
        <f t="shared" si="15"/>
        <v>0</v>
      </c>
      <c r="AR27" s="53">
        <f t="shared" si="16"/>
        <v>0</v>
      </c>
      <c r="AS27" s="53"/>
      <c r="AT27" s="53"/>
      <c r="AU27" s="53">
        <f t="shared" si="17"/>
        <v>0</v>
      </c>
      <c r="AV27" s="53">
        <f t="shared" si="18"/>
        <v>0</v>
      </c>
      <c r="AW27" s="53"/>
      <c r="AX27" s="53"/>
      <c r="AY27" s="53">
        <f t="shared" si="19"/>
        <v>0</v>
      </c>
      <c r="AZ27" s="53">
        <f t="shared" si="20"/>
        <v>0</v>
      </c>
      <c r="BA27" s="53"/>
      <c r="BB27" s="53"/>
      <c r="BC27" s="53">
        <f t="shared" si="21"/>
        <v>0</v>
      </c>
      <c r="BD27" s="53">
        <f t="shared" si="22"/>
        <v>0</v>
      </c>
      <c r="BE27" s="53"/>
      <c r="BF27" s="53"/>
      <c r="BG27" s="53">
        <f t="shared" si="23"/>
        <v>0</v>
      </c>
      <c r="BH27" s="53">
        <f t="shared" si="24"/>
        <v>0</v>
      </c>
      <c r="BI27" s="53"/>
      <c r="BJ27" s="53"/>
      <c r="BK27" s="53">
        <f t="shared" si="25"/>
        <v>0</v>
      </c>
      <c r="BL27" s="53">
        <f t="shared" si="26"/>
        <v>0</v>
      </c>
      <c r="BM27" s="54"/>
    </row>
    <row r="28" spans="1:65" ht="12.75">
      <c r="A28" s="49">
        <f>CALENDARIO!A28</f>
        <v>27</v>
      </c>
      <c r="B28" s="50">
        <f>CALENDARIO!B28</f>
        <v>46191</v>
      </c>
      <c r="C28" s="51">
        <f>CALENDARIO!C28</f>
        <v>0.79166666666666663</v>
      </c>
      <c r="D28" s="52" t="str">
        <f>CALENDARIO!D28</f>
        <v>Canadá</v>
      </c>
      <c r="E28" s="52">
        <f>CALENDARIO!E28</f>
        <v>0</v>
      </c>
      <c r="F28" s="49" t="str">
        <f>CALENDARIO!F28</f>
        <v>x</v>
      </c>
      <c r="G28" s="49">
        <f>CALENDARIO!G28</f>
        <v>0</v>
      </c>
      <c r="H28" s="52" t="str">
        <f>CALENDARIO!H28</f>
        <v>Catar</v>
      </c>
      <c r="I28" s="53"/>
      <c r="J28" s="53"/>
      <c r="K28" s="53">
        <f t="shared" si="27"/>
        <v>0</v>
      </c>
      <c r="L28" s="53">
        <f t="shared" si="0"/>
        <v>0</v>
      </c>
      <c r="M28" s="53"/>
      <c r="N28" s="53"/>
      <c r="O28" s="53">
        <f t="shared" si="1"/>
        <v>0</v>
      </c>
      <c r="P28" s="53">
        <f t="shared" si="2"/>
        <v>0</v>
      </c>
      <c r="Q28" s="53"/>
      <c r="R28" s="53"/>
      <c r="S28" s="53">
        <f t="shared" si="3"/>
        <v>0</v>
      </c>
      <c r="T28" s="53">
        <f t="shared" si="4"/>
        <v>0</v>
      </c>
      <c r="U28" s="53"/>
      <c r="V28" s="53"/>
      <c r="W28" s="53">
        <f t="shared" si="5"/>
        <v>0</v>
      </c>
      <c r="X28" s="53">
        <f t="shared" si="6"/>
        <v>0</v>
      </c>
      <c r="Y28" s="53"/>
      <c r="Z28" s="53"/>
      <c r="AA28" s="53">
        <f t="shared" si="7"/>
        <v>0</v>
      </c>
      <c r="AB28" s="53">
        <f t="shared" si="8"/>
        <v>0</v>
      </c>
      <c r="AC28" s="53"/>
      <c r="AD28" s="53"/>
      <c r="AE28" s="53">
        <f t="shared" si="9"/>
        <v>0</v>
      </c>
      <c r="AF28" s="53">
        <f t="shared" si="10"/>
        <v>0</v>
      </c>
      <c r="AG28" s="53"/>
      <c r="AH28" s="53"/>
      <c r="AI28" s="53">
        <f t="shared" si="11"/>
        <v>0</v>
      </c>
      <c r="AJ28" s="53">
        <f t="shared" si="12"/>
        <v>0</v>
      </c>
      <c r="AK28" s="53"/>
      <c r="AL28" s="53"/>
      <c r="AM28" s="53">
        <f t="shared" si="13"/>
        <v>0</v>
      </c>
      <c r="AN28" s="53">
        <f t="shared" si="14"/>
        <v>0</v>
      </c>
      <c r="AO28" s="53"/>
      <c r="AP28" s="53"/>
      <c r="AQ28" s="53">
        <f t="shared" si="15"/>
        <v>0</v>
      </c>
      <c r="AR28" s="53">
        <f t="shared" si="16"/>
        <v>0</v>
      </c>
      <c r="AS28" s="53"/>
      <c r="AT28" s="53"/>
      <c r="AU28" s="53">
        <f t="shared" si="17"/>
        <v>0</v>
      </c>
      <c r="AV28" s="53">
        <f t="shared" si="18"/>
        <v>0</v>
      </c>
      <c r="AW28" s="53"/>
      <c r="AX28" s="53"/>
      <c r="AY28" s="53">
        <f t="shared" si="19"/>
        <v>0</v>
      </c>
      <c r="AZ28" s="53">
        <f t="shared" si="20"/>
        <v>0</v>
      </c>
      <c r="BA28" s="53"/>
      <c r="BB28" s="53"/>
      <c r="BC28" s="53">
        <f t="shared" si="21"/>
        <v>0</v>
      </c>
      <c r="BD28" s="53">
        <f t="shared" si="22"/>
        <v>0</v>
      </c>
      <c r="BE28" s="53"/>
      <c r="BF28" s="53"/>
      <c r="BG28" s="53">
        <f t="shared" si="23"/>
        <v>0</v>
      </c>
      <c r="BH28" s="53">
        <f t="shared" si="24"/>
        <v>0</v>
      </c>
      <c r="BI28" s="53"/>
      <c r="BJ28" s="53"/>
      <c r="BK28" s="53">
        <f t="shared" si="25"/>
        <v>0</v>
      </c>
      <c r="BL28" s="53">
        <f t="shared" si="26"/>
        <v>0</v>
      </c>
      <c r="BM28" s="54"/>
    </row>
    <row r="29" spans="1:65" ht="12.75">
      <c r="A29" s="49">
        <f>CALENDARIO!A29</f>
        <v>28</v>
      </c>
      <c r="B29" s="50">
        <f>CALENDARIO!B29</f>
        <v>46191</v>
      </c>
      <c r="C29" s="51">
        <f>CALENDARIO!C29</f>
        <v>0.91666666666666663</v>
      </c>
      <c r="D29" s="52" t="str">
        <f>CALENDARIO!D29</f>
        <v>México</v>
      </c>
      <c r="E29" s="52">
        <f>CALENDARIO!E29</f>
        <v>0</v>
      </c>
      <c r="F29" s="49" t="str">
        <f>CALENDARIO!F29</f>
        <v>x</v>
      </c>
      <c r="G29" s="49">
        <f>CALENDARIO!G29</f>
        <v>0</v>
      </c>
      <c r="H29" s="52" t="str">
        <f>CALENDARIO!H29</f>
        <v>República da Coreia</v>
      </c>
      <c r="I29" s="53"/>
      <c r="J29" s="53"/>
      <c r="K29" s="53">
        <f t="shared" si="27"/>
        <v>0</v>
      </c>
      <c r="L29" s="53">
        <f t="shared" si="0"/>
        <v>0</v>
      </c>
      <c r="M29" s="53"/>
      <c r="N29" s="53"/>
      <c r="O29" s="53">
        <f t="shared" si="1"/>
        <v>0</v>
      </c>
      <c r="P29" s="53">
        <f t="shared" si="2"/>
        <v>0</v>
      </c>
      <c r="Q29" s="53"/>
      <c r="R29" s="53"/>
      <c r="S29" s="53">
        <f t="shared" si="3"/>
        <v>0</v>
      </c>
      <c r="T29" s="53">
        <f t="shared" si="4"/>
        <v>0</v>
      </c>
      <c r="U29" s="53"/>
      <c r="V29" s="53"/>
      <c r="W29" s="53">
        <f t="shared" si="5"/>
        <v>0</v>
      </c>
      <c r="X29" s="53">
        <f t="shared" si="6"/>
        <v>0</v>
      </c>
      <c r="Y29" s="53"/>
      <c r="Z29" s="53"/>
      <c r="AA29" s="53">
        <f t="shared" si="7"/>
        <v>0</v>
      </c>
      <c r="AB29" s="53">
        <f t="shared" si="8"/>
        <v>0</v>
      </c>
      <c r="AC29" s="53"/>
      <c r="AD29" s="53"/>
      <c r="AE29" s="53">
        <f t="shared" si="9"/>
        <v>0</v>
      </c>
      <c r="AF29" s="53">
        <f t="shared" si="10"/>
        <v>0</v>
      </c>
      <c r="AG29" s="53"/>
      <c r="AH29" s="53"/>
      <c r="AI29" s="53">
        <f t="shared" si="11"/>
        <v>0</v>
      </c>
      <c r="AJ29" s="53">
        <f t="shared" si="12"/>
        <v>0</v>
      </c>
      <c r="AK29" s="53"/>
      <c r="AL29" s="53"/>
      <c r="AM29" s="53">
        <f t="shared" si="13"/>
        <v>0</v>
      </c>
      <c r="AN29" s="53">
        <f t="shared" si="14"/>
        <v>0</v>
      </c>
      <c r="AO29" s="53"/>
      <c r="AP29" s="53"/>
      <c r="AQ29" s="53">
        <f t="shared" si="15"/>
        <v>0</v>
      </c>
      <c r="AR29" s="53">
        <f t="shared" si="16"/>
        <v>0</v>
      </c>
      <c r="AS29" s="53"/>
      <c r="AT29" s="53"/>
      <c r="AU29" s="53">
        <f t="shared" si="17"/>
        <v>0</v>
      </c>
      <c r="AV29" s="53">
        <f t="shared" si="18"/>
        <v>0</v>
      </c>
      <c r="AW29" s="53"/>
      <c r="AX29" s="53"/>
      <c r="AY29" s="53">
        <f t="shared" si="19"/>
        <v>0</v>
      </c>
      <c r="AZ29" s="53">
        <f t="shared" si="20"/>
        <v>0</v>
      </c>
      <c r="BA29" s="53"/>
      <c r="BB29" s="53"/>
      <c r="BC29" s="53">
        <f t="shared" si="21"/>
        <v>0</v>
      </c>
      <c r="BD29" s="53">
        <f t="shared" si="22"/>
        <v>0</v>
      </c>
      <c r="BE29" s="53"/>
      <c r="BF29" s="53"/>
      <c r="BG29" s="53">
        <f t="shared" si="23"/>
        <v>0</v>
      </c>
      <c r="BH29" s="53">
        <f t="shared" si="24"/>
        <v>0</v>
      </c>
      <c r="BI29" s="53"/>
      <c r="BJ29" s="53"/>
      <c r="BK29" s="53">
        <f t="shared" si="25"/>
        <v>0</v>
      </c>
      <c r="BL29" s="53">
        <f t="shared" si="26"/>
        <v>0</v>
      </c>
      <c r="BM29" s="54"/>
    </row>
    <row r="30" spans="1:65" ht="12.75">
      <c r="A30" s="49">
        <f>CALENDARIO!A30</f>
        <v>29</v>
      </c>
      <c r="B30" s="50">
        <f>CALENDARIO!B30</f>
        <v>46192</v>
      </c>
      <c r="C30" s="51">
        <f>CALENDARIO!C30</f>
        <v>0</v>
      </c>
      <c r="D30" s="52" t="str">
        <f>CALENDARIO!D30</f>
        <v>Turquia</v>
      </c>
      <c r="E30" s="52">
        <f>CALENDARIO!E30</f>
        <v>0</v>
      </c>
      <c r="F30" s="49" t="str">
        <f>CALENDARIO!F30</f>
        <v>x</v>
      </c>
      <c r="G30" s="49">
        <f>CALENDARIO!G30</f>
        <v>0</v>
      </c>
      <c r="H30" s="52" t="str">
        <f>CALENDARIO!H30</f>
        <v>Paraguai</v>
      </c>
      <c r="I30" s="53"/>
      <c r="J30" s="53"/>
      <c r="K30" s="53">
        <f t="shared" si="27"/>
        <v>0</v>
      </c>
      <c r="L30" s="53">
        <f t="shared" si="0"/>
        <v>0</v>
      </c>
      <c r="M30" s="53"/>
      <c r="N30" s="53"/>
      <c r="O30" s="53">
        <f t="shared" si="1"/>
        <v>0</v>
      </c>
      <c r="P30" s="53">
        <f t="shared" si="2"/>
        <v>0</v>
      </c>
      <c r="Q30" s="53"/>
      <c r="R30" s="53"/>
      <c r="S30" s="53">
        <f t="shared" si="3"/>
        <v>0</v>
      </c>
      <c r="T30" s="53">
        <f t="shared" si="4"/>
        <v>0</v>
      </c>
      <c r="U30" s="53"/>
      <c r="V30" s="53"/>
      <c r="W30" s="53">
        <f t="shared" si="5"/>
        <v>0</v>
      </c>
      <c r="X30" s="53">
        <f t="shared" si="6"/>
        <v>0</v>
      </c>
      <c r="Y30" s="53"/>
      <c r="Z30" s="53"/>
      <c r="AA30" s="53">
        <f t="shared" si="7"/>
        <v>0</v>
      </c>
      <c r="AB30" s="53">
        <f t="shared" si="8"/>
        <v>0</v>
      </c>
      <c r="AC30" s="53"/>
      <c r="AD30" s="53"/>
      <c r="AE30" s="53">
        <f t="shared" si="9"/>
        <v>0</v>
      </c>
      <c r="AF30" s="53">
        <f t="shared" si="10"/>
        <v>0</v>
      </c>
      <c r="AG30" s="53"/>
      <c r="AH30" s="53"/>
      <c r="AI30" s="53">
        <f t="shared" si="11"/>
        <v>0</v>
      </c>
      <c r="AJ30" s="53">
        <f t="shared" si="12"/>
        <v>0</v>
      </c>
      <c r="AK30" s="53"/>
      <c r="AL30" s="53"/>
      <c r="AM30" s="53">
        <f t="shared" si="13"/>
        <v>0</v>
      </c>
      <c r="AN30" s="53">
        <f t="shared" si="14"/>
        <v>0</v>
      </c>
      <c r="AO30" s="53"/>
      <c r="AP30" s="53"/>
      <c r="AQ30" s="53">
        <f t="shared" si="15"/>
        <v>0</v>
      </c>
      <c r="AR30" s="53">
        <f t="shared" si="16"/>
        <v>0</v>
      </c>
      <c r="AS30" s="53"/>
      <c r="AT30" s="53"/>
      <c r="AU30" s="53">
        <f t="shared" si="17"/>
        <v>0</v>
      </c>
      <c r="AV30" s="53">
        <f t="shared" si="18"/>
        <v>0</v>
      </c>
      <c r="AW30" s="53"/>
      <c r="AX30" s="53"/>
      <c r="AY30" s="53">
        <f t="shared" si="19"/>
        <v>0</v>
      </c>
      <c r="AZ30" s="53">
        <f t="shared" si="20"/>
        <v>0</v>
      </c>
      <c r="BA30" s="53"/>
      <c r="BB30" s="53"/>
      <c r="BC30" s="53">
        <f t="shared" si="21"/>
        <v>0</v>
      </c>
      <c r="BD30" s="53">
        <f t="shared" si="22"/>
        <v>0</v>
      </c>
      <c r="BE30" s="53"/>
      <c r="BF30" s="53"/>
      <c r="BG30" s="53">
        <f t="shared" si="23"/>
        <v>0</v>
      </c>
      <c r="BH30" s="53">
        <f t="shared" si="24"/>
        <v>0</v>
      </c>
      <c r="BI30" s="53"/>
      <c r="BJ30" s="53"/>
      <c r="BK30" s="53">
        <f t="shared" si="25"/>
        <v>0</v>
      </c>
      <c r="BL30" s="53">
        <f t="shared" si="26"/>
        <v>0</v>
      </c>
      <c r="BM30" s="54"/>
    </row>
    <row r="31" spans="1:65" ht="12.75">
      <c r="A31" s="49">
        <f>CALENDARIO!A31</f>
        <v>30</v>
      </c>
      <c r="B31" s="50">
        <f>CALENDARIO!B31</f>
        <v>46192</v>
      </c>
      <c r="C31" s="51">
        <f>CALENDARIO!C31</f>
        <v>0.66666666666666663</v>
      </c>
      <c r="D31" s="52" t="str">
        <f>CALENDARIO!D31</f>
        <v>Estados Unidos</v>
      </c>
      <c r="E31" s="52">
        <f>CALENDARIO!E31</f>
        <v>0</v>
      </c>
      <c r="F31" s="49" t="str">
        <f>CALENDARIO!F31</f>
        <v>x</v>
      </c>
      <c r="G31" s="49">
        <f>CALENDARIO!G31</f>
        <v>0</v>
      </c>
      <c r="H31" s="52" t="str">
        <f>CALENDARIO!H31</f>
        <v>Austrália</v>
      </c>
      <c r="I31" s="53"/>
      <c r="J31" s="53"/>
      <c r="K31" s="53">
        <f t="shared" si="27"/>
        <v>0</v>
      </c>
      <c r="L31" s="53">
        <f t="shared" si="0"/>
        <v>0</v>
      </c>
      <c r="M31" s="53"/>
      <c r="N31" s="53"/>
      <c r="O31" s="53">
        <f t="shared" si="1"/>
        <v>0</v>
      </c>
      <c r="P31" s="53">
        <f t="shared" si="2"/>
        <v>0</v>
      </c>
      <c r="Q31" s="53"/>
      <c r="R31" s="53"/>
      <c r="S31" s="53">
        <f t="shared" si="3"/>
        <v>0</v>
      </c>
      <c r="T31" s="53">
        <f t="shared" si="4"/>
        <v>0</v>
      </c>
      <c r="U31" s="53"/>
      <c r="V31" s="53"/>
      <c r="W31" s="53">
        <f t="shared" si="5"/>
        <v>0</v>
      </c>
      <c r="X31" s="53">
        <f t="shared" si="6"/>
        <v>0</v>
      </c>
      <c r="Y31" s="53"/>
      <c r="Z31" s="53"/>
      <c r="AA31" s="53">
        <f t="shared" si="7"/>
        <v>0</v>
      </c>
      <c r="AB31" s="53">
        <f t="shared" si="8"/>
        <v>0</v>
      </c>
      <c r="AC31" s="53"/>
      <c r="AD31" s="53"/>
      <c r="AE31" s="53">
        <f t="shared" si="9"/>
        <v>0</v>
      </c>
      <c r="AF31" s="53">
        <f t="shared" si="10"/>
        <v>0</v>
      </c>
      <c r="AG31" s="53"/>
      <c r="AH31" s="53"/>
      <c r="AI31" s="53">
        <f t="shared" si="11"/>
        <v>0</v>
      </c>
      <c r="AJ31" s="53">
        <f t="shared" si="12"/>
        <v>0</v>
      </c>
      <c r="AK31" s="53"/>
      <c r="AL31" s="53"/>
      <c r="AM31" s="53">
        <f t="shared" si="13"/>
        <v>0</v>
      </c>
      <c r="AN31" s="53">
        <f t="shared" si="14"/>
        <v>0</v>
      </c>
      <c r="AO31" s="53"/>
      <c r="AP31" s="53"/>
      <c r="AQ31" s="53">
        <f t="shared" si="15"/>
        <v>0</v>
      </c>
      <c r="AR31" s="53">
        <f t="shared" si="16"/>
        <v>0</v>
      </c>
      <c r="AS31" s="53"/>
      <c r="AT31" s="53"/>
      <c r="AU31" s="53">
        <f t="shared" si="17"/>
        <v>0</v>
      </c>
      <c r="AV31" s="53">
        <f t="shared" si="18"/>
        <v>0</v>
      </c>
      <c r="AW31" s="53"/>
      <c r="AX31" s="53"/>
      <c r="AY31" s="53">
        <f t="shared" si="19"/>
        <v>0</v>
      </c>
      <c r="AZ31" s="53">
        <f t="shared" si="20"/>
        <v>0</v>
      </c>
      <c r="BA31" s="53"/>
      <c r="BB31" s="53"/>
      <c r="BC31" s="53">
        <f t="shared" si="21"/>
        <v>0</v>
      </c>
      <c r="BD31" s="53">
        <f t="shared" si="22"/>
        <v>0</v>
      </c>
      <c r="BE31" s="53"/>
      <c r="BF31" s="53"/>
      <c r="BG31" s="53">
        <f t="shared" si="23"/>
        <v>0</v>
      </c>
      <c r="BH31" s="53">
        <f t="shared" si="24"/>
        <v>0</v>
      </c>
      <c r="BI31" s="53"/>
      <c r="BJ31" s="53"/>
      <c r="BK31" s="53">
        <f t="shared" si="25"/>
        <v>0</v>
      </c>
      <c r="BL31" s="53">
        <f t="shared" si="26"/>
        <v>0</v>
      </c>
      <c r="BM31" s="54"/>
    </row>
    <row r="32" spans="1:65" ht="12.75">
      <c r="A32" s="49">
        <f>CALENDARIO!A32</f>
        <v>31</v>
      </c>
      <c r="B32" s="50">
        <f>CALENDARIO!B32</f>
        <v>46192</v>
      </c>
      <c r="C32" s="51">
        <f>CALENDARIO!C32</f>
        <v>0.79166666666666663</v>
      </c>
      <c r="D32" s="52" t="str">
        <f>CALENDARIO!D32</f>
        <v>Escócia</v>
      </c>
      <c r="E32" s="52">
        <f>CALENDARIO!E32</f>
        <v>0</v>
      </c>
      <c r="F32" s="49" t="str">
        <f>CALENDARIO!F32</f>
        <v>x</v>
      </c>
      <c r="G32" s="49">
        <f>CALENDARIO!G32</f>
        <v>0</v>
      </c>
      <c r="H32" s="52" t="str">
        <f>CALENDARIO!H32</f>
        <v>Marrocos</v>
      </c>
      <c r="I32" s="53"/>
      <c r="J32" s="53"/>
      <c r="K32" s="53">
        <f t="shared" si="27"/>
        <v>0</v>
      </c>
      <c r="L32" s="53">
        <f t="shared" si="0"/>
        <v>0</v>
      </c>
      <c r="M32" s="53"/>
      <c r="N32" s="53"/>
      <c r="O32" s="53">
        <f t="shared" si="1"/>
        <v>0</v>
      </c>
      <c r="P32" s="53">
        <f t="shared" si="2"/>
        <v>0</v>
      </c>
      <c r="Q32" s="53"/>
      <c r="R32" s="53"/>
      <c r="S32" s="53">
        <f t="shared" si="3"/>
        <v>0</v>
      </c>
      <c r="T32" s="53">
        <f t="shared" si="4"/>
        <v>0</v>
      </c>
      <c r="U32" s="53"/>
      <c r="V32" s="53"/>
      <c r="W32" s="53">
        <f t="shared" si="5"/>
        <v>0</v>
      </c>
      <c r="X32" s="53">
        <f t="shared" si="6"/>
        <v>0</v>
      </c>
      <c r="Y32" s="53"/>
      <c r="Z32" s="53"/>
      <c r="AA32" s="53">
        <f t="shared" si="7"/>
        <v>0</v>
      </c>
      <c r="AB32" s="53">
        <f t="shared" si="8"/>
        <v>0</v>
      </c>
      <c r="AC32" s="53"/>
      <c r="AD32" s="53"/>
      <c r="AE32" s="53">
        <f t="shared" si="9"/>
        <v>0</v>
      </c>
      <c r="AF32" s="53">
        <f t="shared" si="10"/>
        <v>0</v>
      </c>
      <c r="AG32" s="53"/>
      <c r="AH32" s="53"/>
      <c r="AI32" s="53">
        <f t="shared" si="11"/>
        <v>0</v>
      </c>
      <c r="AJ32" s="53">
        <f t="shared" si="12"/>
        <v>0</v>
      </c>
      <c r="AK32" s="53"/>
      <c r="AL32" s="53"/>
      <c r="AM32" s="53">
        <f t="shared" si="13"/>
        <v>0</v>
      </c>
      <c r="AN32" s="53">
        <f t="shared" si="14"/>
        <v>0</v>
      </c>
      <c r="AO32" s="53"/>
      <c r="AP32" s="53"/>
      <c r="AQ32" s="53">
        <f t="shared" si="15"/>
        <v>0</v>
      </c>
      <c r="AR32" s="53">
        <f t="shared" si="16"/>
        <v>0</v>
      </c>
      <c r="AS32" s="53"/>
      <c r="AT32" s="53"/>
      <c r="AU32" s="53">
        <f t="shared" si="17"/>
        <v>0</v>
      </c>
      <c r="AV32" s="53">
        <f t="shared" si="18"/>
        <v>0</v>
      </c>
      <c r="AW32" s="53"/>
      <c r="AX32" s="53"/>
      <c r="AY32" s="53">
        <f t="shared" si="19"/>
        <v>0</v>
      </c>
      <c r="AZ32" s="53">
        <f t="shared" si="20"/>
        <v>0</v>
      </c>
      <c r="BA32" s="53"/>
      <c r="BB32" s="53"/>
      <c r="BC32" s="53">
        <f t="shared" si="21"/>
        <v>0</v>
      </c>
      <c r="BD32" s="53">
        <f t="shared" si="22"/>
        <v>0</v>
      </c>
      <c r="BE32" s="53"/>
      <c r="BF32" s="53"/>
      <c r="BG32" s="53">
        <f t="shared" si="23"/>
        <v>0</v>
      </c>
      <c r="BH32" s="53">
        <f t="shared" si="24"/>
        <v>0</v>
      </c>
      <c r="BI32" s="53"/>
      <c r="BJ32" s="53"/>
      <c r="BK32" s="53">
        <f t="shared" si="25"/>
        <v>0</v>
      </c>
      <c r="BL32" s="53">
        <f t="shared" si="26"/>
        <v>0</v>
      </c>
      <c r="BM32" s="54"/>
    </row>
    <row r="33" spans="1:65" ht="12.75">
      <c r="A33" s="49">
        <f>CALENDARIO!A33</f>
        <v>32</v>
      </c>
      <c r="B33" s="50">
        <f>CALENDARIO!B33</f>
        <v>46192</v>
      </c>
      <c r="C33" s="51">
        <f>CALENDARIO!C33</f>
        <v>0.89583333333333337</v>
      </c>
      <c r="D33" s="52" t="str">
        <f>CALENDARIO!D33</f>
        <v>Brasil</v>
      </c>
      <c r="E33" s="52">
        <f>CALENDARIO!E33</f>
        <v>0</v>
      </c>
      <c r="F33" s="49" t="str">
        <f>CALENDARIO!F33</f>
        <v>x</v>
      </c>
      <c r="G33" s="49">
        <f>CALENDARIO!G33</f>
        <v>0</v>
      </c>
      <c r="H33" s="52" t="str">
        <f>CALENDARIO!H33</f>
        <v>Haiti</v>
      </c>
      <c r="I33" s="53"/>
      <c r="J33" s="53"/>
      <c r="K33" s="53">
        <f t="shared" si="27"/>
        <v>0</v>
      </c>
      <c r="L33" s="53">
        <f t="shared" si="0"/>
        <v>0</v>
      </c>
      <c r="M33" s="53"/>
      <c r="N33" s="53"/>
      <c r="O33" s="53">
        <f t="shared" si="1"/>
        <v>0</v>
      </c>
      <c r="P33" s="53">
        <f t="shared" si="2"/>
        <v>0</v>
      </c>
      <c r="Q33" s="53"/>
      <c r="R33" s="53"/>
      <c r="S33" s="53">
        <f t="shared" si="3"/>
        <v>0</v>
      </c>
      <c r="T33" s="53">
        <f t="shared" si="4"/>
        <v>0</v>
      </c>
      <c r="U33" s="53"/>
      <c r="V33" s="53"/>
      <c r="W33" s="53">
        <f t="shared" si="5"/>
        <v>0</v>
      </c>
      <c r="X33" s="53">
        <f t="shared" si="6"/>
        <v>0</v>
      </c>
      <c r="Y33" s="53"/>
      <c r="Z33" s="53"/>
      <c r="AA33" s="53">
        <f t="shared" si="7"/>
        <v>0</v>
      </c>
      <c r="AB33" s="53">
        <f t="shared" si="8"/>
        <v>0</v>
      </c>
      <c r="AC33" s="53"/>
      <c r="AD33" s="53"/>
      <c r="AE33" s="53">
        <f t="shared" si="9"/>
        <v>0</v>
      </c>
      <c r="AF33" s="53">
        <f t="shared" si="10"/>
        <v>0</v>
      </c>
      <c r="AG33" s="53"/>
      <c r="AH33" s="53"/>
      <c r="AI33" s="53">
        <f t="shared" si="11"/>
        <v>0</v>
      </c>
      <c r="AJ33" s="53">
        <f t="shared" si="12"/>
        <v>0</v>
      </c>
      <c r="AK33" s="53"/>
      <c r="AL33" s="53"/>
      <c r="AM33" s="53">
        <f t="shared" si="13"/>
        <v>0</v>
      </c>
      <c r="AN33" s="53">
        <f t="shared" si="14"/>
        <v>0</v>
      </c>
      <c r="AO33" s="53"/>
      <c r="AP33" s="53"/>
      <c r="AQ33" s="53">
        <f t="shared" si="15"/>
        <v>0</v>
      </c>
      <c r="AR33" s="53">
        <f t="shared" si="16"/>
        <v>0</v>
      </c>
      <c r="AS33" s="53"/>
      <c r="AT33" s="53"/>
      <c r="AU33" s="53">
        <f t="shared" si="17"/>
        <v>0</v>
      </c>
      <c r="AV33" s="53">
        <f t="shared" si="18"/>
        <v>0</v>
      </c>
      <c r="AW33" s="53"/>
      <c r="AX33" s="53"/>
      <c r="AY33" s="53">
        <f t="shared" si="19"/>
        <v>0</v>
      </c>
      <c r="AZ33" s="53">
        <f t="shared" si="20"/>
        <v>0</v>
      </c>
      <c r="BA33" s="53"/>
      <c r="BB33" s="53"/>
      <c r="BC33" s="53">
        <f t="shared" si="21"/>
        <v>0</v>
      </c>
      <c r="BD33" s="53">
        <f t="shared" si="22"/>
        <v>0</v>
      </c>
      <c r="BE33" s="53"/>
      <c r="BF33" s="53"/>
      <c r="BG33" s="53">
        <f t="shared" si="23"/>
        <v>0</v>
      </c>
      <c r="BH33" s="53">
        <f t="shared" si="24"/>
        <v>0</v>
      </c>
      <c r="BI33" s="53"/>
      <c r="BJ33" s="53"/>
      <c r="BK33" s="53">
        <f t="shared" si="25"/>
        <v>0</v>
      </c>
      <c r="BL33" s="53">
        <f t="shared" si="26"/>
        <v>0</v>
      </c>
      <c r="BM33" s="54"/>
    </row>
    <row r="34" spans="1:65" ht="12.75">
      <c r="A34" s="49">
        <f>CALENDARIO!A34</f>
        <v>33</v>
      </c>
      <c r="B34" s="50">
        <f>CALENDARIO!B34</f>
        <v>46193</v>
      </c>
      <c r="C34" s="51">
        <f>CALENDARIO!C34</f>
        <v>0.95833333333333337</v>
      </c>
      <c r="D34" s="52" t="str">
        <f>CALENDARIO!D34</f>
        <v>Tunísia</v>
      </c>
      <c r="E34" s="52">
        <f>CALENDARIO!E34</f>
        <v>0</v>
      </c>
      <c r="F34" s="49" t="str">
        <f>CALENDARIO!F34</f>
        <v>x</v>
      </c>
      <c r="G34" s="49">
        <f>CALENDARIO!G34</f>
        <v>0</v>
      </c>
      <c r="H34" s="52" t="str">
        <f>CALENDARIO!H34</f>
        <v>Japão</v>
      </c>
      <c r="I34" s="53"/>
      <c r="J34" s="53"/>
      <c r="K34" s="53">
        <f t="shared" si="27"/>
        <v>0</v>
      </c>
      <c r="L34" s="53">
        <f t="shared" si="0"/>
        <v>0</v>
      </c>
      <c r="M34" s="53"/>
      <c r="N34" s="53"/>
      <c r="O34" s="53">
        <f t="shared" si="1"/>
        <v>0</v>
      </c>
      <c r="P34" s="53">
        <f t="shared" si="2"/>
        <v>0</v>
      </c>
      <c r="Q34" s="53"/>
      <c r="R34" s="53"/>
      <c r="S34" s="53">
        <f t="shared" si="3"/>
        <v>0</v>
      </c>
      <c r="T34" s="53">
        <f t="shared" si="4"/>
        <v>0</v>
      </c>
      <c r="U34" s="53"/>
      <c r="V34" s="53"/>
      <c r="W34" s="53">
        <f t="shared" si="5"/>
        <v>0</v>
      </c>
      <c r="X34" s="53">
        <f t="shared" si="6"/>
        <v>0</v>
      </c>
      <c r="Y34" s="53"/>
      <c r="Z34" s="53"/>
      <c r="AA34" s="53">
        <f t="shared" si="7"/>
        <v>0</v>
      </c>
      <c r="AB34" s="53">
        <f t="shared" si="8"/>
        <v>0</v>
      </c>
      <c r="AC34" s="53"/>
      <c r="AD34" s="53"/>
      <c r="AE34" s="53">
        <f t="shared" si="9"/>
        <v>0</v>
      </c>
      <c r="AF34" s="53">
        <f t="shared" si="10"/>
        <v>0</v>
      </c>
      <c r="AG34" s="53"/>
      <c r="AH34" s="53"/>
      <c r="AI34" s="53">
        <f t="shared" si="11"/>
        <v>0</v>
      </c>
      <c r="AJ34" s="53">
        <f t="shared" si="12"/>
        <v>0</v>
      </c>
      <c r="AK34" s="53"/>
      <c r="AL34" s="53"/>
      <c r="AM34" s="53">
        <f t="shared" si="13"/>
        <v>0</v>
      </c>
      <c r="AN34" s="53">
        <f t="shared" si="14"/>
        <v>0</v>
      </c>
      <c r="AO34" s="53"/>
      <c r="AP34" s="53"/>
      <c r="AQ34" s="53">
        <f t="shared" si="15"/>
        <v>0</v>
      </c>
      <c r="AR34" s="53">
        <f t="shared" si="16"/>
        <v>0</v>
      </c>
      <c r="AS34" s="53"/>
      <c r="AT34" s="53"/>
      <c r="AU34" s="53">
        <f t="shared" si="17"/>
        <v>0</v>
      </c>
      <c r="AV34" s="53">
        <f t="shared" si="18"/>
        <v>0</v>
      </c>
      <c r="AW34" s="53"/>
      <c r="AX34" s="53"/>
      <c r="AY34" s="53">
        <f t="shared" si="19"/>
        <v>0</v>
      </c>
      <c r="AZ34" s="53">
        <f t="shared" si="20"/>
        <v>0</v>
      </c>
      <c r="BA34" s="53"/>
      <c r="BB34" s="53"/>
      <c r="BC34" s="53">
        <f t="shared" si="21"/>
        <v>0</v>
      </c>
      <c r="BD34" s="53">
        <f t="shared" si="22"/>
        <v>0</v>
      </c>
      <c r="BE34" s="53"/>
      <c r="BF34" s="53"/>
      <c r="BG34" s="53">
        <f t="shared" si="23"/>
        <v>0</v>
      </c>
      <c r="BH34" s="53">
        <f t="shared" si="24"/>
        <v>0</v>
      </c>
      <c r="BI34" s="53"/>
      <c r="BJ34" s="53"/>
      <c r="BK34" s="53">
        <f t="shared" si="25"/>
        <v>0</v>
      </c>
      <c r="BL34" s="53">
        <f t="shared" si="26"/>
        <v>0</v>
      </c>
      <c r="BM34" s="54"/>
    </row>
    <row r="35" spans="1:65" ht="12.75">
      <c r="A35" s="49">
        <f>CALENDARIO!A35</f>
        <v>34</v>
      </c>
      <c r="B35" s="50">
        <f>CALENDARIO!B35</f>
        <v>46193</v>
      </c>
      <c r="C35" s="51">
        <f>CALENDARIO!C35</f>
        <v>0.58333333333333337</v>
      </c>
      <c r="D35" s="52" t="str">
        <f>CALENDARIO!D35</f>
        <v>Holanda</v>
      </c>
      <c r="E35" s="52">
        <f>CALENDARIO!E35</f>
        <v>0</v>
      </c>
      <c r="F35" s="49" t="str">
        <f>CALENDARIO!F35</f>
        <v>x</v>
      </c>
      <c r="G35" s="49">
        <f>CALENDARIO!G35</f>
        <v>0</v>
      </c>
      <c r="H35" s="52" t="str">
        <f>CALENDARIO!H35</f>
        <v>Suécia</v>
      </c>
      <c r="I35" s="53"/>
      <c r="J35" s="53"/>
      <c r="K35" s="53">
        <f t="shared" si="27"/>
        <v>0</v>
      </c>
      <c r="L35" s="53">
        <f t="shared" si="0"/>
        <v>0</v>
      </c>
      <c r="M35" s="53"/>
      <c r="N35" s="53"/>
      <c r="O35" s="53">
        <f t="shared" si="1"/>
        <v>0</v>
      </c>
      <c r="P35" s="53">
        <f t="shared" si="2"/>
        <v>0</v>
      </c>
      <c r="Q35" s="53"/>
      <c r="R35" s="53"/>
      <c r="S35" s="53">
        <f t="shared" si="3"/>
        <v>0</v>
      </c>
      <c r="T35" s="53">
        <f t="shared" si="4"/>
        <v>0</v>
      </c>
      <c r="U35" s="53"/>
      <c r="V35" s="53"/>
      <c r="W35" s="53">
        <f t="shared" si="5"/>
        <v>0</v>
      </c>
      <c r="X35" s="53">
        <f t="shared" si="6"/>
        <v>0</v>
      </c>
      <c r="Y35" s="53"/>
      <c r="Z35" s="53"/>
      <c r="AA35" s="53">
        <f t="shared" si="7"/>
        <v>0</v>
      </c>
      <c r="AB35" s="53">
        <f t="shared" si="8"/>
        <v>0</v>
      </c>
      <c r="AC35" s="53"/>
      <c r="AD35" s="53"/>
      <c r="AE35" s="53">
        <f t="shared" si="9"/>
        <v>0</v>
      </c>
      <c r="AF35" s="53">
        <f t="shared" si="10"/>
        <v>0</v>
      </c>
      <c r="AG35" s="53"/>
      <c r="AH35" s="53"/>
      <c r="AI35" s="53">
        <f t="shared" si="11"/>
        <v>0</v>
      </c>
      <c r="AJ35" s="53">
        <f t="shared" si="12"/>
        <v>0</v>
      </c>
      <c r="AK35" s="53"/>
      <c r="AL35" s="53"/>
      <c r="AM35" s="53">
        <f t="shared" si="13"/>
        <v>0</v>
      </c>
      <c r="AN35" s="53">
        <f t="shared" si="14"/>
        <v>0</v>
      </c>
      <c r="AO35" s="53"/>
      <c r="AP35" s="53"/>
      <c r="AQ35" s="53">
        <f t="shared" si="15"/>
        <v>0</v>
      </c>
      <c r="AR35" s="53">
        <f t="shared" si="16"/>
        <v>0</v>
      </c>
      <c r="AS35" s="53"/>
      <c r="AT35" s="53"/>
      <c r="AU35" s="53">
        <f t="shared" si="17"/>
        <v>0</v>
      </c>
      <c r="AV35" s="53">
        <f t="shared" si="18"/>
        <v>0</v>
      </c>
      <c r="AW35" s="53"/>
      <c r="AX35" s="53"/>
      <c r="AY35" s="53">
        <f t="shared" si="19"/>
        <v>0</v>
      </c>
      <c r="AZ35" s="53">
        <f t="shared" si="20"/>
        <v>0</v>
      </c>
      <c r="BA35" s="53"/>
      <c r="BB35" s="53"/>
      <c r="BC35" s="53">
        <f t="shared" si="21"/>
        <v>0</v>
      </c>
      <c r="BD35" s="53">
        <f t="shared" si="22"/>
        <v>0</v>
      </c>
      <c r="BE35" s="53"/>
      <c r="BF35" s="53"/>
      <c r="BG35" s="53">
        <f t="shared" si="23"/>
        <v>0</v>
      </c>
      <c r="BH35" s="53">
        <f t="shared" si="24"/>
        <v>0</v>
      </c>
      <c r="BI35" s="53"/>
      <c r="BJ35" s="53"/>
      <c r="BK35" s="53">
        <f t="shared" si="25"/>
        <v>0</v>
      </c>
      <c r="BL35" s="53">
        <f t="shared" si="26"/>
        <v>0</v>
      </c>
      <c r="BM35" s="54"/>
    </row>
    <row r="36" spans="1:65" ht="12.75">
      <c r="A36" s="49">
        <f>CALENDARIO!A36</f>
        <v>35</v>
      </c>
      <c r="B36" s="50">
        <f>CALENDARIO!B36</f>
        <v>46193</v>
      </c>
      <c r="C36" s="51">
        <f>CALENDARIO!C36</f>
        <v>0.70833333333333337</v>
      </c>
      <c r="D36" s="52" t="str">
        <f>CALENDARIO!D36</f>
        <v>Alemanha</v>
      </c>
      <c r="E36" s="52">
        <f>CALENDARIO!E36</f>
        <v>0</v>
      </c>
      <c r="F36" s="49" t="str">
        <f>CALENDARIO!F36</f>
        <v>x</v>
      </c>
      <c r="G36" s="49">
        <f>CALENDARIO!G36</f>
        <v>0</v>
      </c>
      <c r="H36" s="52" t="str">
        <f>CALENDARIO!H36</f>
        <v>Costa do Marfim</v>
      </c>
      <c r="I36" s="53"/>
      <c r="J36" s="53"/>
      <c r="K36" s="53">
        <f t="shared" si="27"/>
        <v>0</v>
      </c>
      <c r="L36" s="53">
        <f t="shared" si="0"/>
        <v>0</v>
      </c>
      <c r="M36" s="53"/>
      <c r="N36" s="53"/>
      <c r="O36" s="53">
        <f t="shared" si="1"/>
        <v>0</v>
      </c>
      <c r="P36" s="53">
        <f t="shared" si="2"/>
        <v>0</v>
      </c>
      <c r="Q36" s="53"/>
      <c r="R36" s="53"/>
      <c r="S36" s="53">
        <f t="shared" si="3"/>
        <v>0</v>
      </c>
      <c r="T36" s="53">
        <f t="shared" si="4"/>
        <v>0</v>
      </c>
      <c r="U36" s="53"/>
      <c r="V36" s="53"/>
      <c r="W36" s="53">
        <f t="shared" si="5"/>
        <v>0</v>
      </c>
      <c r="X36" s="53">
        <f t="shared" si="6"/>
        <v>0</v>
      </c>
      <c r="Y36" s="53"/>
      <c r="Z36" s="53"/>
      <c r="AA36" s="53">
        <f t="shared" si="7"/>
        <v>0</v>
      </c>
      <c r="AB36" s="53">
        <f t="shared" si="8"/>
        <v>0</v>
      </c>
      <c r="AC36" s="53"/>
      <c r="AD36" s="53"/>
      <c r="AE36" s="53">
        <f t="shared" si="9"/>
        <v>0</v>
      </c>
      <c r="AF36" s="53">
        <f t="shared" si="10"/>
        <v>0</v>
      </c>
      <c r="AG36" s="53"/>
      <c r="AH36" s="53"/>
      <c r="AI36" s="53">
        <f t="shared" si="11"/>
        <v>0</v>
      </c>
      <c r="AJ36" s="53">
        <f t="shared" si="12"/>
        <v>0</v>
      </c>
      <c r="AK36" s="53"/>
      <c r="AL36" s="53"/>
      <c r="AM36" s="53">
        <f t="shared" si="13"/>
        <v>0</v>
      </c>
      <c r="AN36" s="53">
        <f t="shared" si="14"/>
        <v>0</v>
      </c>
      <c r="AO36" s="53"/>
      <c r="AP36" s="53"/>
      <c r="AQ36" s="53">
        <f t="shared" si="15"/>
        <v>0</v>
      </c>
      <c r="AR36" s="53">
        <f t="shared" si="16"/>
        <v>0</v>
      </c>
      <c r="AS36" s="53"/>
      <c r="AT36" s="53"/>
      <c r="AU36" s="53">
        <f t="shared" si="17"/>
        <v>0</v>
      </c>
      <c r="AV36" s="53">
        <f t="shared" si="18"/>
        <v>0</v>
      </c>
      <c r="AW36" s="53"/>
      <c r="AX36" s="53"/>
      <c r="AY36" s="53">
        <f t="shared" si="19"/>
        <v>0</v>
      </c>
      <c r="AZ36" s="53">
        <f t="shared" si="20"/>
        <v>0</v>
      </c>
      <c r="BA36" s="53"/>
      <c r="BB36" s="53"/>
      <c r="BC36" s="53">
        <f t="shared" si="21"/>
        <v>0</v>
      </c>
      <c r="BD36" s="53">
        <f t="shared" si="22"/>
        <v>0</v>
      </c>
      <c r="BE36" s="53"/>
      <c r="BF36" s="53"/>
      <c r="BG36" s="53">
        <f t="shared" si="23"/>
        <v>0</v>
      </c>
      <c r="BH36" s="53">
        <f t="shared" si="24"/>
        <v>0</v>
      </c>
      <c r="BI36" s="53"/>
      <c r="BJ36" s="53"/>
      <c r="BK36" s="53">
        <f t="shared" si="25"/>
        <v>0</v>
      </c>
      <c r="BL36" s="53">
        <f t="shared" si="26"/>
        <v>0</v>
      </c>
      <c r="BM36" s="54"/>
    </row>
    <row r="37" spans="1:65" ht="12.75">
      <c r="A37" s="49">
        <f>CALENDARIO!A37</f>
        <v>36</v>
      </c>
      <c r="B37" s="50">
        <f>CALENDARIO!B37</f>
        <v>46193</v>
      </c>
      <c r="C37" s="51">
        <f>CALENDARIO!C37</f>
        <v>0.875</v>
      </c>
      <c r="D37" s="52" t="str">
        <f>CALENDARIO!D37</f>
        <v>Equador</v>
      </c>
      <c r="E37" s="52">
        <f>CALENDARIO!E37</f>
        <v>0</v>
      </c>
      <c r="F37" s="49" t="str">
        <f>CALENDARIO!F37</f>
        <v>x</v>
      </c>
      <c r="G37" s="49">
        <f>CALENDARIO!G37</f>
        <v>0</v>
      </c>
      <c r="H37" s="52" t="str">
        <f>CALENDARIO!H37</f>
        <v>Curaçau</v>
      </c>
      <c r="I37" s="53"/>
      <c r="J37" s="53"/>
      <c r="K37" s="53">
        <f t="shared" si="27"/>
        <v>0</v>
      </c>
      <c r="L37" s="53">
        <f t="shared" si="0"/>
        <v>0</v>
      </c>
      <c r="M37" s="53"/>
      <c r="N37" s="53"/>
      <c r="O37" s="53">
        <f t="shared" si="1"/>
        <v>0</v>
      </c>
      <c r="P37" s="53">
        <f t="shared" si="2"/>
        <v>0</v>
      </c>
      <c r="Q37" s="53"/>
      <c r="R37" s="53"/>
      <c r="S37" s="53">
        <f t="shared" si="3"/>
        <v>0</v>
      </c>
      <c r="T37" s="53">
        <f t="shared" si="4"/>
        <v>0</v>
      </c>
      <c r="U37" s="53"/>
      <c r="V37" s="53"/>
      <c r="W37" s="53">
        <f t="shared" si="5"/>
        <v>0</v>
      </c>
      <c r="X37" s="53">
        <f t="shared" si="6"/>
        <v>0</v>
      </c>
      <c r="Y37" s="53"/>
      <c r="Z37" s="53"/>
      <c r="AA37" s="53">
        <f t="shared" si="7"/>
        <v>0</v>
      </c>
      <c r="AB37" s="53">
        <f t="shared" si="8"/>
        <v>0</v>
      </c>
      <c r="AC37" s="53"/>
      <c r="AD37" s="53"/>
      <c r="AE37" s="53">
        <f t="shared" si="9"/>
        <v>0</v>
      </c>
      <c r="AF37" s="53">
        <f t="shared" si="10"/>
        <v>0</v>
      </c>
      <c r="AG37" s="53"/>
      <c r="AH37" s="53"/>
      <c r="AI37" s="53">
        <f t="shared" si="11"/>
        <v>0</v>
      </c>
      <c r="AJ37" s="53">
        <f t="shared" si="12"/>
        <v>0</v>
      </c>
      <c r="AK37" s="53"/>
      <c r="AL37" s="53"/>
      <c r="AM37" s="53">
        <f t="shared" si="13"/>
        <v>0</v>
      </c>
      <c r="AN37" s="53">
        <f t="shared" si="14"/>
        <v>0</v>
      </c>
      <c r="AO37" s="53"/>
      <c r="AP37" s="53"/>
      <c r="AQ37" s="53">
        <f t="shared" si="15"/>
        <v>0</v>
      </c>
      <c r="AR37" s="53">
        <f t="shared" si="16"/>
        <v>0</v>
      </c>
      <c r="AS37" s="53"/>
      <c r="AT37" s="53"/>
      <c r="AU37" s="53">
        <f t="shared" si="17"/>
        <v>0</v>
      </c>
      <c r="AV37" s="53">
        <f t="shared" si="18"/>
        <v>0</v>
      </c>
      <c r="AW37" s="53"/>
      <c r="AX37" s="53"/>
      <c r="AY37" s="53">
        <f t="shared" si="19"/>
        <v>0</v>
      </c>
      <c r="AZ37" s="53">
        <f t="shared" si="20"/>
        <v>0</v>
      </c>
      <c r="BA37" s="53"/>
      <c r="BB37" s="53"/>
      <c r="BC37" s="53">
        <f t="shared" si="21"/>
        <v>0</v>
      </c>
      <c r="BD37" s="53">
        <f t="shared" si="22"/>
        <v>0</v>
      </c>
      <c r="BE37" s="53"/>
      <c r="BF37" s="53"/>
      <c r="BG37" s="53">
        <f t="shared" si="23"/>
        <v>0</v>
      </c>
      <c r="BH37" s="53">
        <f t="shared" si="24"/>
        <v>0</v>
      </c>
      <c r="BI37" s="53"/>
      <c r="BJ37" s="53"/>
      <c r="BK37" s="53">
        <f t="shared" si="25"/>
        <v>0</v>
      </c>
      <c r="BL37" s="53">
        <f t="shared" si="26"/>
        <v>0</v>
      </c>
      <c r="BM37" s="54"/>
    </row>
    <row r="38" spans="1:65" ht="12.75">
      <c r="A38" s="49">
        <f>CALENDARIO!A38</f>
        <v>37</v>
      </c>
      <c r="B38" s="50">
        <f>CALENDARIO!B38</f>
        <v>46194</v>
      </c>
      <c r="C38" s="51">
        <f>CALENDARIO!C38</f>
        <v>0.54166666666666663</v>
      </c>
      <c r="D38" s="52" t="str">
        <f>CALENDARIO!D38</f>
        <v>Espanha</v>
      </c>
      <c r="E38" s="52">
        <f>CALENDARIO!E38</f>
        <v>0</v>
      </c>
      <c r="F38" s="49" t="str">
        <f>CALENDARIO!F38</f>
        <v>x</v>
      </c>
      <c r="G38" s="49">
        <f>CALENDARIO!G38</f>
        <v>0</v>
      </c>
      <c r="H38" s="52" t="str">
        <f>CALENDARIO!H38</f>
        <v>Arábia Saudita</v>
      </c>
      <c r="I38" s="53"/>
      <c r="J38" s="53"/>
      <c r="K38" s="53">
        <f t="shared" si="27"/>
        <v>0</v>
      </c>
      <c r="L38" s="53">
        <f t="shared" si="0"/>
        <v>0</v>
      </c>
      <c r="M38" s="53"/>
      <c r="N38" s="53"/>
      <c r="O38" s="53">
        <f t="shared" si="1"/>
        <v>0</v>
      </c>
      <c r="P38" s="53">
        <f t="shared" si="2"/>
        <v>0</v>
      </c>
      <c r="Q38" s="53"/>
      <c r="R38" s="53"/>
      <c r="S38" s="53">
        <f t="shared" si="3"/>
        <v>0</v>
      </c>
      <c r="T38" s="53">
        <f t="shared" si="4"/>
        <v>0</v>
      </c>
      <c r="U38" s="53"/>
      <c r="V38" s="53"/>
      <c r="W38" s="53">
        <f t="shared" si="5"/>
        <v>0</v>
      </c>
      <c r="X38" s="53">
        <f t="shared" si="6"/>
        <v>0</v>
      </c>
      <c r="Y38" s="53"/>
      <c r="Z38" s="53"/>
      <c r="AA38" s="53">
        <f t="shared" si="7"/>
        <v>0</v>
      </c>
      <c r="AB38" s="53">
        <f t="shared" si="8"/>
        <v>0</v>
      </c>
      <c r="AC38" s="53"/>
      <c r="AD38" s="53"/>
      <c r="AE38" s="53">
        <f t="shared" si="9"/>
        <v>0</v>
      </c>
      <c r="AF38" s="53">
        <f t="shared" si="10"/>
        <v>0</v>
      </c>
      <c r="AG38" s="53"/>
      <c r="AH38" s="53"/>
      <c r="AI38" s="53">
        <f t="shared" si="11"/>
        <v>0</v>
      </c>
      <c r="AJ38" s="53">
        <f t="shared" si="12"/>
        <v>0</v>
      </c>
      <c r="AK38" s="53"/>
      <c r="AL38" s="53"/>
      <c r="AM38" s="53">
        <f t="shared" si="13"/>
        <v>0</v>
      </c>
      <c r="AN38" s="53">
        <f t="shared" si="14"/>
        <v>0</v>
      </c>
      <c r="AO38" s="53"/>
      <c r="AP38" s="53"/>
      <c r="AQ38" s="53">
        <f t="shared" si="15"/>
        <v>0</v>
      </c>
      <c r="AR38" s="53">
        <f t="shared" si="16"/>
        <v>0</v>
      </c>
      <c r="AS38" s="53"/>
      <c r="AT38" s="53"/>
      <c r="AU38" s="53">
        <f t="shared" si="17"/>
        <v>0</v>
      </c>
      <c r="AV38" s="53">
        <f t="shared" si="18"/>
        <v>0</v>
      </c>
      <c r="AW38" s="53"/>
      <c r="AX38" s="53"/>
      <c r="AY38" s="53">
        <f t="shared" si="19"/>
        <v>0</v>
      </c>
      <c r="AZ38" s="53">
        <f t="shared" si="20"/>
        <v>0</v>
      </c>
      <c r="BA38" s="53"/>
      <c r="BB38" s="53"/>
      <c r="BC38" s="53">
        <f t="shared" si="21"/>
        <v>0</v>
      </c>
      <c r="BD38" s="53">
        <f t="shared" si="22"/>
        <v>0</v>
      </c>
      <c r="BE38" s="53"/>
      <c r="BF38" s="53"/>
      <c r="BG38" s="53">
        <f t="shared" si="23"/>
        <v>0</v>
      </c>
      <c r="BH38" s="53">
        <f t="shared" si="24"/>
        <v>0</v>
      </c>
      <c r="BI38" s="53"/>
      <c r="BJ38" s="53"/>
      <c r="BK38" s="53">
        <f t="shared" si="25"/>
        <v>0</v>
      </c>
      <c r="BL38" s="53">
        <f t="shared" si="26"/>
        <v>0</v>
      </c>
      <c r="BM38" s="54"/>
    </row>
    <row r="39" spans="1:65" ht="12.75">
      <c r="A39" s="49">
        <f>CALENDARIO!A39</f>
        <v>38</v>
      </c>
      <c r="B39" s="50">
        <f>CALENDARIO!B39</f>
        <v>46194</v>
      </c>
      <c r="C39" s="51">
        <f>CALENDARIO!C39</f>
        <v>0.66666666666666663</v>
      </c>
      <c r="D39" s="52" t="str">
        <f>CALENDARIO!D39</f>
        <v>Bélgica</v>
      </c>
      <c r="E39" s="52">
        <f>CALENDARIO!E39</f>
        <v>0</v>
      </c>
      <c r="F39" s="49" t="str">
        <f>CALENDARIO!F39</f>
        <v>x</v>
      </c>
      <c r="G39" s="49">
        <f>CALENDARIO!G39</f>
        <v>0</v>
      </c>
      <c r="H39" s="52" t="str">
        <f>CALENDARIO!H39</f>
        <v>Irã</v>
      </c>
      <c r="I39" s="53"/>
      <c r="J39" s="53"/>
      <c r="K39" s="53">
        <f t="shared" si="27"/>
        <v>0</v>
      </c>
      <c r="L39" s="53">
        <f t="shared" si="0"/>
        <v>0</v>
      </c>
      <c r="M39" s="53"/>
      <c r="N39" s="53"/>
      <c r="O39" s="53">
        <f t="shared" si="1"/>
        <v>0</v>
      </c>
      <c r="P39" s="53">
        <f t="shared" si="2"/>
        <v>0</v>
      </c>
      <c r="Q39" s="53"/>
      <c r="R39" s="53"/>
      <c r="S39" s="53">
        <f t="shared" si="3"/>
        <v>0</v>
      </c>
      <c r="T39" s="53">
        <f t="shared" si="4"/>
        <v>0</v>
      </c>
      <c r="U39" s="53"/>
      <c r="V39" s="53"/>
      <c r="W39" s="53">
        <f t="shared" si="5"/>
        <v>0</v>
      </c>
      <c r="X39" s="53">
        <f t="shared" si="6"/>
        <v>0</v>
      </c>
      <c r="Y39" s="53"/>
      <c r="Z39" s="53"/>
      <c r="AA39" s="53">
        <f t="shared" si="7"/>
        <v>0</v>
      </c>
      <c r="AB39" s="53">
        <f t="shared" si="8"/>
        <v>0</v>
      </c>
      <c r="AC39" s="53"/>
      <c r="AD39" s="53"/>
      <c r="AE39" s="53">
        <f t="shared" si="9"/>
        <v>0</v>
      </c>
      <c r="AF39" s="53">
        <f t="shared" si="10"/>
        <v>0</v>
      </c>
      <c r="AG39" s="53"/>
      <c r="AH39" s="53"/>
      <c r="AI39" s="53">
        <f t="shared" si="11"/>
        <v>0</v>
      </c>
      <c r="AJ39" s="53">
        <f t="shared" si="12"/>
        <v>0</v>
      </c>
      <c r="AK39" s="53"/>
      <c r="AL39" s="53"/>
      <c r="AM39" s="53">
        <f t="shared" si="13"/>
        <v>0</v>
      </c>
      <c r="AN39" s="53">
        <f t="shared" si="14"/>
        <v>0</v>
      </c>
      <c r="AO39" s="53"/>
      <c r="AP39" s="53"/>
      <c r="AQ39" s="53">
        <f t="shared" si="15"/>
        <v>0</v>
      </c>
      <c r="AR39" s="53">
        <f t="shared" si="16"/>
        <v>0</v>
      </c>
      <c r="AS39" s="53"/>
      <c r="AT39" s="53"/>
      <c r="AU39" s="53">
        <f t="shared" si="17"/>
        <v>0</v>
      </c>
      <c r="AV39" s="53">
        <f t="shared" si="18"/>
        <v>0</v>
      </c>
      <c r="AW39" s="53"/>
      <c r="AX39" s="53"/>
      <c r="AY39" s="53">
        <f t="shared" si="19"/>
        <v>0</v>
      </c>
      <c r="AZ39" s="53">
        <f t="shared" si="20"/>
        <v>0</v>
      </c>
      <c r="BA39" s="53"/>
      <c r="BB39" s="53"/>
      <c r="BC39" s="53">
        <f t="shared" si="21"/>
        <v>0</v>
      </c>
      <c r="BD39" s="53">
        <f t="shared" si="22"/>
        <v>0</v>
      </c>
      <c r="BE39" s="53"/>
      <c r="BF39" s="53"/>
      <c r="BG39" s="53">
        <f t="shared" si="23"/>
        <v>0</v>
      </c>
      <c r="BH39" s="53">
        <f t="shared" si="24"/>
        <v>0</v>
      </c>
      <c r="BI39" s="53"/>
      <c r="BJ39" s="53"/>
      <c r="BK39" s="53">
        <f t="shared" si="25"/>
        <v>0</v>
      </c>
      <c r="BL39" s="53">
        <f t="shared" si="26"/>
        <v>0</v>
      </c>
      <c r="BM39" s="54"/>
    </row>
    <row r="40" spans="1:65" ht="12.75">
      <c r="A40" s="49">
        <f>CALENDARIO!A40</f>
        <v>39</v>
      </c>
      <c r="B40" s="50">
        <f>CALENDARIO!B40</f>
        <v>46194</v>
      </c>
      <c r="C40" s="51">
        <f>CALENDARIO!C40</f>
        <v>0.79166666666666663</v>
      </c>
      <c r="D40" s="52" t="str">
        <f>CALENDARIO!D40</f>
        <v>Uruguai</v>
      </c>
      <c r="E40" s="52">
        <f>CALENDARIO!E40</f>
        <v>0</v>
      </c>
      <c r="F40" s="49" t="str">
        <f>CALENDARIO!F40</f>
        <v>x</v>
      </c>
      <c r="G40" s="49">
        <f>CALENDARIO!G40</f>
        <v>0</v>
      </c>
      <c r="H40" s="52" t="str">
        <f>CALENDARIO!H40</f>
        <v>Cabo Verde</v>
      </c>
      <c r="I40" s="53"/>
      <c r="J40" s="53"/>
      <c r="K40" s="53">
        <f t="shared" si="27"/>
        <v>0</v>
      </c>
      <c r="L40" s="53">
        <f t="shared" si="0"/>
        <v>0</v>
      </c>
      <c r="M40" s="53"/>
      <c r="N40" s="53"/>
      <c r="O40" s="53">
        <f t="shared" si="1"/>
        <v>0</v>
      </c>
      <c r="P40" s="53">
        <f t="shared" si="2"/>
        <v>0</v>
      </c>
      <c r="Q40" s="53"/>
      <c r="R40" s="53"/>
      <c r="S40" s="53">
        <f t="shared" si="3"/>
        <v>0</v>
      </c>
      <c r="T40" s="53">
        <f t="shared" si="4"/>
        <v>0</v>
      </c>
      <c r="U40" s="53"/>
      <c r="V40" s="53"/>
      <c r="W40" s="53">
        <f t="shared" si="5"/>
        <v>0</v>
      </c>
      <c r="X40" s="53">
        <f t="shared" si="6"/>
        <v>0</v>
      </c>
      <c r="Y40" s="53"/>
      <c r="Z40" s="53"/>
      <c r="AA40" s="53">
        <f t="shared" si="7"/>
        <v>0</v>
      </c>
      <c r="AB40" s="53">
        <f t="shared" si="8"/>
        <v>0</v>
      </c>
      <c r="AC40" s="53"/>
      <c r="AD40" s="53"/>
      <c r="AE40" s="53">
        <f t="shared" si="9"/>
        <v>0</v>
      </c>
      <c r="AF40" s="53">
        <f t="shared" si="10"/>
        <v>0</v>
      </c>
      <c r="AG40" s="53"/>
      <c r="AH40" s="53"/>
      <c r="AI40" s="53">
        <f t="shared" si="11"/>
        <v>0</v>
      </c>
      <c r="AJ40" s="53">
        <f t="shared" si="12"/>
        <v>0</v>
      </c>
      <c r="AK40" s="53"/>
      <c r="AL40" s="53"/>
      <c r="AM40" s="53">
        <f t="shared" si="13"/>
        <v>0</v>
      </c>
      <c r="AN40" s="53">
        <f t="shared" si="14"/>
        <v>0</v>
      </c>
      <c r="AO40" s="53"/>
      <c r="AP40" s="53"/>
      <c r="AQ40" s="53">
        <f t="shared" si="15"/>
        <v>0</v>
      </c>
      <c r="AR40" s="53">
        <f t="shared" si="16"/>
        <v>0</v>
      </c>
      <c r="AS40" s="53"/>
      <c r="AT40" s="53"/>
      <c r="AU40" s="53">
        <f t="shared" si="17"/>
        <v>0</v>
      </c>
      <c r="AV40" s="53">
        <f t="shared" si="18"/>
        <v>0</v>
      </c>
      <c r="AW40" s="53"/>
      <c r="AX40" s="53"/>
      <c r="AY40" s="53">
        <f t="shared" si="19"/>
        <v>0</v>
      </c>
      <c r="AZ40" s="53">
        <f t="shared" si="20"/>
        <v>0</v>
      </c>
      <c r="BA40" s="53"/>
      <c r="BB40" s="53"/>
      <c r="BC40" s="53">
        <f t="shared" si="21"/>
        <v>0</v>
      </c>
      <c r="BD40" s="53">
        <f t="shared" si="22"/>
        <v>0</v>
      </c>
      <c r="BE40" s="53"/>
      <c r="BF40" s="53"/>
      <c r="BG40" s="53">
        <f t="shared" si="23"/>
        <v>0</v>
      </c>
      <c r="BH40" s="53">
        <f t="shared" si="24"/>
        <v>0</v>
      </c>
      <c r="BI40" s="53"/>
      <c r="BJ40" s="53"/>
      <c r="BK40" s="53">
        <f t="shared" si="25"/>
        <v>0</v>
      </c>
      <c r="BL40" s="53">
        <f t="shared" si="26"/>
        <v>0</v>
      </c>
      <c r="BM40" s="54"/>
    </row>
    <row r="41" spans="1:65" ht="12.75">
      <c r="A41" s="49">
        <f>CALENDARIO!A41</f>
        <v>40</v>
      </c>
      <c r="B41" s="50">
        <f>CALENDARIO!B41</f>
        <v>46194</v>
      </c>
      <c r="C41" s="51">
        <f>CALENDARIO!C41</f>
        <v>0.91666666666666663</v>
      </c>
      <c r="D41" s="52" t="str">
        <f>CALENDARIO!D41</f>
        <v>Nova Zelândia</v>
      </c>
      <c r="E41" s="52">
        <f>CALENDARIO!E41</f>
        <v>0</v>
      </c>
      <c r="F41" s="49" t="str">
        <f>CALENDARIO!F41</f>
        <v>x</v>
      </c>
      <c r="G41" s="49">
        <f>CALENDARIO!G41</f>
        <v>0</v>
      </c>
      <c r="H41" s="52" t="str">
        <f>CALENDARIO!H41</f>
        <v>Egito</v>
      </c>
      <c r="I41" s="53"/>
      <c r="J41" s="53"/>
      <c r="K41" s="53">
        <f t="shared" si="27"/>
        <v>0</v>
      </c>
      <c r="L41" s="53">
        <f t="shared" si="0"/>
        <v>0</v>
      </c>
      <c r="M41" s="53"/>
      <c r="N41" s="53"/>
      <c r="O41" s="53">
        <f t="shared" si="1"/>
        <v>0</v>
      </c>
      <c r="P41" s="53">
        <f t="shared" si="2"/>
        <v>0</v>
      </c>
      <c r="Q41" s="53"/>
      <c r="R41" s="53"/>
      <c r="S41" s="53">
        <f t="shared" si="3"/>
        <v>0</v>
      </c>
      <c r="T41" s="53">
        <f t="shared" si="4"/>
        <v>0</v>
      </c>
      <c r="U41" s="53"/>
      <c r="V41" s="53"/>
      <c r="W41" s="53">
        <f t="shared" si="5"/>
        <v>0</v>
      </c>
      <c r="X41" s="53">
        <f t="shared" si="6"/>
        <v>0</v>
      </c>
      <c r="Y41" s="53"/>
      <c r="Z41" s="53"/>
      <c r="AA41" s="53">
        <f t="shared" si="7"/>
        <v>0</v>
      </c>
      <c r="AB41" s="53">
        <f t="shared" si="8"/>
        <v>0</v>
      </c>
      <c r="AC41" s="53"/>
      <c r="AD41" s="53"/>
      <c r="AE41" s="53">
        <f t="shared" si="9"/>
        <v>0</v>
      </c>
      <c r="AF41" s="53">
        <f t="shared" si="10"/>
        <v>0</v>
      </c>
      <c r="AG41" s="53"/>
      <c r="AH41" s="53"/>
      <c r="AI41" s="53">
        <f t="shared" si="11"/>
        <v>0</v>
      </c>
      <c r="AJ41" s="53">
        <f t="shared" si="12"/>
        <v>0</v>
      </c>
      <c r="AK41" s="53"/>
      <c r="AL41" s="53"/>
      <c r="AM41" s="53">
        <f t="shared" si="13"/>
        <v>0</v>
      </c>
      <c r="AN41" s="53">
        <f t="shared" si="14"/>
        <v>0</v>
      </c>
      <c r="AO41" s="53"/>
      <c r="AP41" s="53"/>
      <c r="AQ41" s="53">
        <f t="shared" si="15"/>
        <v>0</v>
      </c>
      <c r="AR41" s="53">
        <f t="shared" si="16"/>
        <v>0</v>
      </c>
      <c r="AS41" s="53"/>
      <c r="AT41" s="53"/>
      <c r="AU41" s="53">
        <f t="shared" si="17"/>
        <v>0</v>
      </c>
      <c r="AV41" s="53">
        <f t="shared" si="18"/>
        <v>0</v>
      </c>
      <c r="AW41" s="53"/>
      <c r="AX41" s="53"/>
      <c r="AY41" s="53">
        <f t="shared" si="19"/>
        <v>0</v>
      </c>
      <c r="AZ41" s="53">
        <f t="shared" si="20"/>
        <v>0</v>
      </c>
      <c r="BA41" s="53"/>
      <c r="BB41" s="53"/>
      <c r="BC41" s="53">
        <f t="shared" si="21"/>
        <v>0</v>
      </c>
      <c r="BD41" s="53">
        <f t="shared" si="22"/>
        <v>0</v>
      </c>
      <c r="BE41" s="53"/>
      <c r="BF41" s="53"/>
      <c r="BG41" s="53">
        <f t="shared" si="23"/>
        <v>0</v>
      </c>
      <c r="BH41" s="53">
        <f t="shared" si="24"/>
        <v>0</v>
      </c>
      <c r="BI41" s="53"/>
      <c r="BJ41" s="53"/>
      <c r="BK41" s="53">
        <f t="shared" si="25"/>
        <v>0</v>
      </c>
      <c r="BL41" s="53">
        <f t="shared" si="26"/>
        <v>0</v>
      </c>
      <c r="BM41" s="54"/>
    </row>
    <row r="42" spans="1:65" ht="12.75">
      <c r="A42" s="49">
        <f>CALENDARIO!A42</f>
        <v>41</v>
      </c>
      <c r="B42" s="50">
        <f>CALENDARIO!B42</f>
        <v>46195</v>
      </c>
      <c r="C42" s="51">
        <f>CALENDARIO!C42</f>
        <v>0.58333333333333337</v>
      </c>
      <c r="D42" s="52" t="str">
        <f>CALENDARIO!D42</f>
        <v>Argentina</v>
      </c>
      <c r="E42" s="52">
        <f>CALENDARIO!E42</f>
        <v>0</v>
      </c>
      <c r="F42" s="49" t="str">
        <f>CALENDARIO!F42</f>
        <v>x</v>
      </c>
      <c r="G42" s="49">
        <f>CALENDARIO!G42</f>
        <v>0</v>
      </c>
      <c r="H42" s="52" t="str">
        <f>CALENDARIO!H42</f>
        <v>Áustria</v>
      </c>
      <c r="I42" s="53"/>
      <c r="J42" s="53"/>
      <c r="K42" s="53">
        <f t="shared" si="27"/>
        <v>0</v>
      </c>
      <c r="L42" s="53">
        <f t="shared" si="0"/>
        <v>0</v>
      </c>
      <c r="M42" s="53"/>
      <c r="N42" s="53"/>
      <c r="O42" s="53">
        <f t="shared" si="1"/>
        <v>0</v>
      </c>
      <c r="P42" s="53">
        <f t="shared" si="2"/>
        <v>0</v>
      </c>
      <c r="Q42" s="53"/>
      <c r="R42" s="53"/>
      <c r="S42" s="53">
        <f t="shared" si="3"/>
        <v>0</v>
      </c>
      <c r="T42" s="53">
        <f t="shared" si="4"/>
        <v>0</v>
      </c>
      <c r="U42" s="53"/>
      <c r="V42" s="53"/>
      <c r="W42" s="53">
        <f t="shared" si="5"/>
        <v>0</v>
      </c>
      <c r="X42" s="53">
        <f t="shared" si="6"/>
        <v>0</v>
      </c>
      <c r="Y42" s="53"/>
      <c r="Z42" s="53"/>
      <c r="AA42" s="53">
        <f t="shared" si="7"/>
        <v>0</v>
      </c>
      <c r="AB42" s="53">
        <f t="shared" si="8"/>
        <v>0</v>
      </c>
      <c r="AC42" s="53"/>
      <c r="AD42" s="53"/>
      <c r="AE42" s="53">
        <f t="shared" si="9"/>
        <v>0</v>
      </c>
      <c r="AF42" s="53">
        <f t="shared" si="10"/>
        <v>0</v>
      </c>
      <c r="AG42" s="53"/>
      <c r="AH42" s="53"/>
      <c r="AI42" s="53">
        <f t="shared" si="11"/>
        <v>0</v>
      </c>
      <c r="AJ42" s="53">
        <f t="shared" si="12"/>
        <v>0</v>
      </c>
      <c r="AK42" s="53"/>
      <c r="AL42" s="53"/>
      <c r="AM42" s="53">
        <f t="shared" si="13"/>
        <v>0</v>
      </c>
      <c r="AN42" s="53">
        <f t="shared" si="14"/>
        <v>0</v>
      </c>
      <c r="AO42" s="53"/>
      <c r="AP42" s="53"/>
      <c r="AQ42" s="53">
        <f t="shared" si="15"/>
        <v>0</v>
      </c>
      <c r="AR42" s="53">
        <f t="shared" si="16"/>
        <v>0</v>
      </c>
      <c r="AS42" s="53"/>
      <c r="AT42" s="53"/>
      <c r="AU42" s="53">
        <f t="shared" si="17"/>
        <v>0</v>
      </c>
      <c r="AV42" s="53">
        <f t="shared" si="18"/>
        <v>0</v>
      </c>
      <c r="AW42" s="53"/>
      <c r="AX42" s="53"/>
      <c r="AY42" s="53">
        <f t="shared" si="19"/>
        <v>0</v>
      </c>
      <c r="AZ42" s="53">
        <f t="shared" si="20"/>
        <v>0</v>
      </c>
      <c r="BA42" s="53"/>
      <c r="BB42" s="53"/>
      <c r="BC42" s="53">
        <f t="shared" si="21"/>
        <v>0</v>
      </c>
      <c r="BD42" s="53">
        <f t="shared" si="22"/>
        <v>0</v>
      </c>
      <c r="BE42" s="53"/>
      <c r="BF42" s="53"/>
      <c r="BG42" s="53">
        <f t="shared" si="23"/>
        <v>0</v>
      </c>
      <c r="BH42" s="53">
        <f t="shared" si="24"/>
        <v>0</v>
      </c>
      <c r="BI42" s="53"/>
      <c r="BJ42" s="53"/>
      <c r="BK42" s="53">
        <f t="shared" si="25"/>
        <v>0</v>
      </c>
      <c r="BL42" s="53">
        <f t="shared" si="26"/>
        <v>0</v>
      </c>
      <c r="BM42" s="54"/>
    </row>
    <row r="43" spans="1:65" ht="12.75">
      <c r="A43" s="49">
        <f>CALENDARIO!A43</f>
        <v>42</v>
      </c>
      <c r="B43" s="50">
        <f>CALENDARIO!B43</f>
        <v>46195</v>
      </c>
      <c r="C43" s="51">
        <f>CALENDARIO!C43</f>
        <v>0.75</v>
      </c>
      <c r="D43" s="52" t="str">
        <f>CALENDARIO!D43</f>
        <v>França</v>
      </c>
      <c r="E43" s="52">
        <f>CALENDARIO!E43</f>
        <v>0</v>
      </c>
      <c r="F43" s="49" t="str">
        <f>CALENDARIO!F43</f>
        <v>x</v>
      </c>
      <c r="G43" s="49">
        <f>CALENDARIO!G43</f>
        <v>0</v>
      </c>
      <c r="H43" s="52" t="str">
        <f>CALENDARIO!H43</f>
        <v>Iraque</v>
      </c>
      <c r="I43" s="53"/>
      <c r="J43" s="53"/>
      <c r="K43" s="53">
        <f t="shared" si="27"/>
        <v>0</v>
      </c>
      <c r="L43" s="53">
        <f t="shared" si="0"/>
        <v>0</v>
      </c>
      <c r="M43" s="53"/>
      <c r="N43" s="53"/>
      <c r="O43" s="53">
        <f t="shared" si="1"/>
        <v>0</v>
      </c>
      <c r="P43" s="53">
        <f t="shared" si="2"/>
        <v>0</v>
      </c>
      <c r="Q43" s="53"/>
      <c r="R43" s="53"/>
      <c r="S43" s="53">
        <f t="shared" si="3"/>
        <v>0</v>
      </c>
      <c r="T43" s="53">
        <f t="shared" si="4"/>
        <v>0</v>
      </c>
      <c r="U43" s="53"/>
      <c r="V43" s="53"/>
      <c r="W43" s="53">
        <f t="shared" si="5"/>
        <v>0</v>
      </c>
      <c r="X43" s="53">
        <f t="shared" si="6"/>
        <v>0</v>
      </c>
      <c r="Y43" s="53"/>
      <c r="Z43" s="53"/>
      <c r="AA43" s="53">
        <f t="shared" si="7"/>
        <v>0</v>
      </c>
      <c r="AB43" s="53">
        <f t="shared" si="8"/>
        <v>0</v>
      </c>
      <c r="AC43" s="53"/>
      <c r="AD43" s="53"/>
      <c r="AE43" s="53">
        <f t="shared" si="9"/>
        <v>0</v>
      </c>
      <c r="AF43" s="53">
        <f t="shared" si="10"/>
        <v>0</v>
      </c>
      <c r="AG43" s="53"/>
      <c r="AH43" s="53"/>
      <c r="AI43" s="53">
        <f t="shared" si="11"/>
        <v>0</v>
      </c>
      <c r="AJ43" s="53">
        <f t="shared" si="12"/>
        <v>0</v>
      </c>
      <c r="AK43" s="53"/>
      <c r="AL43" s="53"/>
      <c r="AM43" s="53">
        <f t="shared" si="13"/>
        <v>0</v>
      </c>
      <c r="AN43" s="53">
        <f t="shared" si="14"/>
        <v>0</v>
      </c>
      <c r="AO43" s="53"/>
      <c r="AP43" s="53"/>
      <c r="AQ43" s="53">
        <f t="shared" si="15"/>
        <v>0</v>
      </c>
      <c r="AR43" s="53">
        <f t="shared" si="16"/>
        <v>0</v>
      </c>
      <c r="AS43" s="53"/>
      <c r="AT43" s="53"/>
      <c r="AU43" s="53">
        <f t="shared" si="17"/>
        <v>0</v>
      </c>
      <c r="AV43" s="53">
        <f t="shared" si="18"/>
        <v>0</v>
      </c>
      <c r="AW43" s="53"/>
      <c r="AX43" s="53"/>
      <c r="AY43" s="53">
        <f t="shared" si="19"/>
        <v>0</v>
      </c>
      <c r="AZ43" s="53">
        <f t="shared" si="20"/>
        <v>0</v>
      </c>
      <c r="BA43" s="53"/>
      <c r="BB43" s="53"/>
      <c r="BC43" s="53">
        <f t="shared" si="21"/>
        <v>0</v>
      </c>
      <c r="BD43" s="53">
        <f t="shared" si="22"/>
        <v>0</v>
      </c>
      <c r="BE43" s="53"/>
      <c r="BF43" s="53"/>
      <c r="BG43" s="53">
        <f t="shared" si="23"/>
        <v>0</v>
      </c>
      <c r="BH43" s="53">
        <f t="shared" si="24"/>
        <v>0</v>
      </c>
      <c r="BI43" s="53"/>
      <c r="BJ43" s="53"/>
      <c r="BK43" s="53">
        <f t="shared" si="25"/>
        <v>0</v>
      </c>
      <c r="BL43" s="53">
        <f t="shared" si="26"/>
        <v>0</v>
      </c>
      <c r="BM43" s="54"/>
    </row>
    <row r="44" spans="1:65" ht="12.75">
      <c r="A44" s="49">
        <f>CALENDARIO!A44</f>
        <v>43</v>
      </c>
      <c r="B44" s="50">
        <f>CALENDARIO!B44</f>
        <v>46195</v>
      </c>
      <c r="C44" s="51">
        <f>CALENDARIO!C44</f>
        <v>0.875</v>
      </c>
      <c r="D44" s="52" t="str">
        <f>CALENDARIO!D44</f>
        <v>Noruega</v>
      </c>
      <c r="E44" s="52">
        <f>CALENDARIO!E44</f>
        <v>0</v>
      </c>
      <c r="F44" s="49" t="str">
        <f>CALENDARIO!F44</f>
        <v>x</v>
      </c>
      <c r="G44" s="49">
        <f>CALENDARIO!G44</f>
        <v>0</v>
      </c>
      <c r="H44" s="52" t="str">
        <f>CALENDARIO!H44</f>
        <v>Senegal</v>
      </c>
      <c r="I44" s="53"/>
      <c r="J44" s="53"/>
      <c r="K44" s="53">
        <f t="shared" si="27"/>
        <v>0</v>
      </c>
      <c r="L44" s="53">
        <f t="shared" si="0"/>
        <v>0</v>
      </c>
      <c r="M44" s="53"/>
      <c r="N44" s="53"/>
      <c r="O44" s="53">
        <f t="shared" si="1"/>
        <v>0</v>
      </c>
      <c r="P44" s="53">
        <f t="shared" si="2"/>
        <v>0</v>
      </c>
      <c r="Q44" s="53"/>
      <c r="R44" s="53"/>
      <c r="S44" s="53">
        <f t="shared" si="3"/>
        <v>0</v>
      </c>
      <c r="T44" s="53">
        <f t="shared" si="4"/>
        <v>0</v>
      </c>
      <c r="U44" s="53"/>
      <c r="V44" s="53"/>
      <c r="W44" s="53">
        <f t="shared" si="5"/>
        <v>0</v>
      </c>
      <c r="X44" s="53">
        <f t="shared" si="6"/>
        <v>0</v>
      </c>
      <c r="Y44" s="53"/>
      <c r="Z44" s="53"/>
      <c r="AA44" s="53">
        <f t="shared" si="7"/>
        <v>0</v>
      </c>
      <c r="AB44" s="53">
        <f t="shared" si="8"/>
        <v>0</v>
      </c>
      <c r="AC44" s="53"/>
      <c r="AD44" s="53"/>
      <c r="AE44" s="53">
        <f t="shared" si="9"/>
        <v>0</v>
      </c>
      <c r="AF44" s="53">
        <f t="shared" si="10"/>
        <v>0</v>
      </c>
      <c r="AG44" s="53"/>
      <c r="AH44" s="53"/>
      <c r="AI44" s="53">
        <f t="shared" si="11"/>
        <v>0</v>
      </c>
      <c r="AJ44" s="53">
        <f t="shared" si="12"/>
        <v>0</v>
      </c>
      <c r="AK44" s="53"/>
      <c r="AL44" s="53"/>
      <c r="AM44" s="53">
        <f t="shared" si="13"/>
        <v>0</v>
      </c>
      <c r="AN44" s="53">
        <f t="shared" si="14"/>
        <v>0</v>
      </c>
      <c r="AO44" s="53"/>
      <c r="AP44" s="53"/>
      <c r="AQ44" s="53">
        <f t="shared" si="15"/>
        <v>0</v>
      </c>
      <c r="AR44" s="53">
        <f t="shared" si="16"/>
        <v>0</v>
      </c>
      <c r="AS44" s="53"/>
      <c r="AT44" s="53"/>
      <c r="AU44" s="53">
        <f t="shared" si="17"/>
        <v>0</v>
      </c>
      <c r="AV44" s="53">
        <f t="shared" si="18"/>
        <v>0</v>
      </c>
      <c r="AW44" s="53"/>
      <c r="AX44" s="53"/>
      <c r="AY44" s="53">
        <f t="shared" si="19"/>
        <v>0</v>
      </c>
      <c r="AZ44" s="53">
        <f t="shared" si="20"/>
        <v>0</v>
      </c>
      <c r="BA44" s="53"/>
      <c r="BB44" s="53"/>
      <c r="BC44" s="53">
        <f t="shared" si="21"/>
        <v>0</v>
      </c>
      <c r="BD44" s="53">
        <f t="shared" si="22"/>
        <v>0</v>
      </c>
      <c r="BE44" s="53"/>
      <c r="BF44" s="53"/>
      <c r="BG44" s="53">
        <f t="shared" si="23"/>
        <v>0</v>
      </c>
      <c r="BH44" s="53">
        <f t="shared" si="24"/>
        <v>0</v>
      </c>
      <c r="BI44" s="53"/>
      <c r="BJ44" s="53"/>
      <c r="BK44" s="53">
        <f t="shared" si="25"/>
        <v>0</v>
      </c>
      <c r="BL44" s="53">
        <f t="shared" si="26"/>
        <v>0</v>
      </c>
      <c r="BM44" s="54"/>
    </row>
    <row r="45" spans="1:65" ht="12.75">
      <c r="A45" s="49">
        <f>CALENDARIO!A45</f>
        <v>44</v>
      </c>
      <c r="B45" s="50">
        <f>CALENDARIO!B45</f>
        <v>46196</v>
      </c>
      <c r="C45" s="51">
        <f>CALENDARIO!C45</f>
        <v>0</v>
      </c>
      <c r="D45" s="52" t="str">
        <f>CALENDARIO!D45</f>
        <v>Jordânia</v>
      </c>
      <c r="E45" s="52">
        <f>CALENDARIO!E45</f>
        <v>0</v>
      </c>
      <c r="F45" s="49" t="str">
        <f>CALENDARIO!F45</f>
        <v>x</v>
      </c>
      <c r="G45" s="49">
        <f>CALENDARIO!G45</f>
        <v>0</v>
      </c>
      <c r="H45" s="52" t="str">
        <f>CALENDARIO!H45</f>
        <v>Argélia</v>
      </c>
      <c r="I45" s="53"/>
      <c r="J45" s="53"/>
      <c r="K45" s="53">
        <f t="shared" si="27"/>
        <v>0</v>
      </c>
      <c r="L45" s="53">
        <f t="shared" si="0"/>
        <v>0</v>
      </c>
      <c r="M45" s="53"/>
      <c r="N45" s="53"/>
      <c r="O45" s="53">
        <f t="shared" si="1"/>
        <v>0</v>
      </c>
      <c r="P45" s="53">
        <f t="shared" si="2"/>
        <v>0</v>
      </c>
      <c r="Q45" s="53"/>
      <c r="R45" s="53"/>
      <c r="S45" s="53">
        <f t="shared" si="3"/>
        <v>0</v>
      </c>
      <c r="T45" s="53">
        <f t="shared" si="4"/>
        <v>0</v>
      </c>
      <c r="U45" s="53"/>
      <c r="V45" s="53"/>
      <c r="W45" s="53">
        <f t="shared" si="5"/>
        <v>0</v>
      </c>
      <c r="X45" s="53">
        <f t="shared" si="6"/>
        <v>0</v>
      </c>
      <c r="Y45" s="53"/>
      <c r="Z45" s="53"/>
      <c r="AA45" s="53">
        <f t="shared" si="7"/>
        <v>0</v>
      </c>
      <c r="AB45" s="53">
        <f t="shared" si="8"/>
        <v>0</v>
      </c>
      <c r="AC45" s="53"/>
      <c r="AD45" s="53"/>
      <c r="AE45" s="53">
        <f t="shared" si="9"/>
        <v>0</v>
      </c>
      <c r="AF45" s="53">
        <f t="shared" si="10"/>
        <v>0</v>
      </c>
      <c r="AG45" s="53"/>
      <c r="AH45" s="53"/>
      <c r="AI45" s="53">
        <f t="shared" si="11"/>
        <v>0</v>
      </c>
      <c r="AJ45" s="53">
        <f t="shared" si="12"/>
        <v>0</v>
      </c>
      <c r="AK45" s="53"/>
      <c r="AL45" s="53"/>
      <c r="AM45" s="53">
        <f t="shared" si="13"/>
        <v>0</v>
      </c>
      <c r="AN45" s="53">
        <f t="shared" si="14"/>
        <v>0</v>
      </c>
      <c r="AO45" s="53"/>
      <c r="AP45" s="53"/>
      <c r="AQ45" s="53">
        <f t="shared" si="15"/>
        <v>0</v>
      </c>
      <c r="AR45" s="53">
        <f t="shared" si="16"/>
        <v>0</v>
      </c>
      <c r="AS45" s="53"/>
      <c r="AT45" s="53"/>
      <c r="AU45" s="53">
        <f t="shared" si="17"/>
        <v>0</v>
      </c>
      <c r="AV45" s="53">
        <f t="shared" si="18"/>
        <v>0</v>
      </c>
      <c r="AW45" s="53"/>
      <c r="AX45" s="53"/>
      <c r="AY45" s="53">
        <f t="shared" si="19"/>
        <v>0</v>
      </c>
      <c r="AZ45" s="53">
        <f t="shared" si="20"/>
        <v>0</v>
      </c>
      <c r="BA45" s="53"/>
      <c r="BB45" s="53"/>
      <c r="BC45" s="53">
        <f t="shared" si="21"/>
        <v>0</v>
      </c>
      <c r="BD45" s="53">
        <f t="shared" si="22"/>
        <v>0</v>
      </c>
      <c r="BE45" s="53"/>
      <c r="BF45" s="53"/>
      <c r="BG45" s="53">
        <f t="shared" si="23"/>
        <v>0</v>
      </c>
      <c r="BH45" s="53">
        <f t="shared" si="24"/>
        <v>0</v>
      </c>
      <c r="BI45" s="53"/>
      <c r="BJ45" s="53"/>
      <c r="BK45" s="53">
        <f t="shared" si="25"/>
        <v>0</v>
      </c>
      <c r="BL45" s="53">
        <f t="shared" si="26"/>
        <v>0</v>
      </c>
      <c r="BM45" s="54"/>
    </row>
    <row r="46" spans="1:65" ht="12.75">
      <c r="A46" s="49">
        <f>CALENDARIO!A46</f>
        <v>45</v>
      </c>
      <c r="B46" s="50">
        <f>CALENDARIO!B46</f>
        <v>46196</v>
      </c>
      <c r="C46" s="51">
        <f>CALENDARIO!C46</f>
        <v>0.58333333333333337</v>
      </c>
      <c r="D46" s="52" t="str">
        <f>CALENDARIO!D46</f>
        <v>Portugal</v>
      </c>
      <c r="E46" s="52">
        <f>CALENDARIO!E46</f>
        <v>0</v>
      </c>
      <c r="F46" s="49" t="str">
        <f>CALENDARIO!F46</f>
        <v>x</v>
      </c>
      <c r="G46" s="49">
        <f>CALENDARIO!G46</f>
        <v>0</v>
      </c>
      <c r="H46" s="52" t="str">
        <f>CALENDARIO!H46</f>
        <v>Uzbequistão</v>
      </c>
      <c r="I46" s="53"/>
      <c r="J46" s="53"/>
      <c r="K46" s="53">
        <f t="shared" si="27"/>
        <v>0</v>
      </c>
      <c r="L46" s="53">
        <f t="shared" si="0"/>
        <v>0</v>
      </c>
      <c r="M46" s="53"/>
      <c r="N46" s="53"/>
      <c r="O46" s="53">
        <f t="shared" si="1"/>
        <v>0</v>
      </c>
      <c r="P46" s="53">
        <f t="shared" si="2"/>
        <v>0</v>
      </c>
      <c r="Q46" s="53"/>
      <c r="R46" s="53"/>
      <c r="S46" s="53">
        <f t="shared" si="3"/>
        <v>0</v>
      </c>
      <c r="T46" s="53">
        <f t="shared" si="4"/>
        <v>0</v>
      </c>
      <c r="U46" s="53"/>
      <c r="V46" s="53"/>
      <c r="W46" s="53">
        <f t="shared" si="5"/>
        <v>0</v>
      </c>
      <c r="X46" s="53">
        <f t="shared" si="6"/>
        <v>0</v>
      </c>
      <c r="Y46" s="53"/>
      <c r="Z46" s="53"/>
      <c r="AA46" s="53">
        <f t="shared" si="7"/>
        <v>0</v>
      </c>
      <c r="AB46" s="53">
        <f t="shared" si="8"/>
        <v>0</v>
      </c>
      <c r="AC46" s="53"/>
      <c r="AD46" s="53"/>
      <c r="AE46" s="53">
        <f t="shared" si="9"/>
        <v>0</v>
      </c>
      <c r="AF46" s="53">
        <f t="shared" si="10"/>
        <v>0</v>
      </c>
      <c r="AG46" s="53"/>
      <c r="AH46" s="53"/>
      <c r="AI46" s="53">
        <f t="shared" si="11"/>
        <v>0</v>
      </c>
      <c r="AJ46" s="53">
        <f t="shared" si="12"/>
        <v>0</v>
      </c>
      <c r="AK46" s="53"/>
      <c r="AL46" s="53"/>
      <c r="AM46" s="53">
        <f t="shared" si="13"/>
        <v>0</v>
      </c>
      <c r="AN46" s="53">
        <f t="shared" si="14"/>
        <v>0</v>
      </c>
      <c r="AO46" s="53"/>
      <c r="AP46" s="53"/>
      <c r="AQ46" s="53">
        <f t="shared" si="15"/>
        <v>0</v>
      </c>
      <c r="AR46" s="53">
        <f t="shared" si="16"/>
        <v>0</v>
      </c>
      <c r="AS46" s="53"/>
      <c r="AT46" s="53"/>
      <c r="AU46" s="53">
        <f t="shared" si="17"/>
        <v>0</v>
      </c>
      <c r="AV46" s="53">
        <f t="shared" si="18"/>
        <v>0</v>
      </c>
      <c r="AW46" s="53"/>
      <c r="AX46" s="53"/>
      <c r="AY46" s="53">
        <f t="shared" si="19"/>
        <v>0</v>
      </c>
      <c r="AZ46" s="53">
        <f t="shared" si="20"/>
        <v>0</v>
      </c>
      <c r="BA46" s="53"/>
      <c r="BB46" s="53"/>
      <c r="BC46" s="53">
        <f t="shared" si="21"/>
        <v>0</v>
      </c>
      <c r="BD46" s="53">
        <f t="shared" si="22"/>
        <v>0</v>
      </c>
      <c r="BE46" s="53"/>
      <c r="BF46" s="53"/>
      <c r="BG46" s="53">
        <f t="shared" si="23"/>
        <v>0</v>
      </c>
      <c r="BH46" s="53">
        <f t="shared" si="24"/>
        <v>0</v>
      </c>
      <c r="BI46" s="53"/>
      <c r="BJ46" s="53"/>
      <c r="BK46" s="53">
        <f t="shared" si="25"/>
        <v>0</v>
      </c>
      <c r="BL46" s="53">
        <f t="shared" si="26"/>
        <v>0</v>
      </c>
      <c r="BM46" s="54"/>
    </row>
    <row r="47" spans="1:65" ht="12.75">
      <c r="A47" s="49">
        <f>CALENDARIO!A47</f>
        <v>46</v>
      </c>
      <c r="B47" s="50">
        <f>CALENDARIO!B47</f>
        <v>46196</v>
      </c>
      <c r="C47" s="51">
        <f>CALENDARIO!C47</f>
        <v>0.70833333333333337</v>
      </c>
      <c r="D47" s="52" t="str">
        <f>CALENDARIO!D47</f>
        <v>Inglaterra</v>
      </c>
      <c r="E47" s="52">
        <f>CALENDARIO!E47</f>
        <v>0</v>
      </c>
      <c r="F47" s="49" t="str">
        <f>CALENDARIO!F47</f>
        <v>x</v>
      </c>
      <c r="G47" s="49">
        <f>CALENDARIO!G47</f>
        <v>0</v>
      </c>
      <c r="H47" s="52" t="str">
        <f>CALENDARIO!H47</f>
        <v>Gana</v>
      </c>
      <c r="I47" s="53"/>
      <c r="J47" s="53"/>
      <c r="K47" s="53">
        <f t="shared" si="27"/>
        <v>0</v>
      </c>
      <c r="L47" s="53">
        <f t="shared" si="0"/>
        <v>0</v>
      </c>
      <c r="M47" s="53"/>
      <c r="N47" s="53"/>
      <c r="O47" s="53">
        <f t="shared" si="1"/>
        <v>0</v>
      </c>
      <c r="P47" s="53">
        <f t="shared" si="2"/>
        <v>0</v>
      </c>
      <c r="Q47" s="53"/>
      <c r="R47" s="53"/>
      <c r="S47" s="53">
        <f t="shared" si="3"/>
        <v>0</v>
      </c>
      <c r="T47" s="53">
        <f t="shared" si="4"/>
        <v>0</v>
      </c>
      <c r="U47" s="53"/>
      <c r="V47" s="53"/>
      <c r="W47" s="53">
        <f t="shared" si="5"/>
        <v>0</v>
      </c>
      <c r="X47" s="53">
        <f t="shared" si="6"/>
        <v>0</v>
      </c>
      <c r="Y47" s="53"/>
      <c r="Z47" s="53"/>
      <c r="AA47" s="53">
        <f t="shared" si="7"/>
        <v>0</v>
      </c>
      <c r="AB47" s="53">
        <f t="shared" si="8"/>
        <v>0</v>
      </c>
      <c r="AC47" s="53"/>
      <c r="AD47" s="53"/>
      <c r="AE47" s="53">
        <f t="shared" si="9"/>
        <v>0</v>
      </c>
      <c r="AF47" s="53">
        <f t="shared" si="10"/>
        <v>0</v>
      </c>
      <c r="AG47" s="53"/>
      <c r="AH47" s="53"/>
      <c r="AI47" s="53">
        <f t="shared" si="11"/>
        <v>0</v>
      </c>
      <c r="AJ47" s="53">
        <f t="shared" si="12"/>
        <v>0</v>
      </c>
      <c r="AK47" s="53"/>
      <c r="AL47" s="53"/>
      <c r="AM47" s="53">
        <f t="shared" si="13"/>
        <v>0</v>
      </c>
      <c r="AN47" s="53">
        <f t="shared" si="14"/>
        <v>0</v>
      </c>
      <c r="AO47" s="53"/>
      <c r="AP47" s="53"/>
      <c r="AQ47" s="53">
        <f t="shared" si="15"/>
        <v>0</v>
      </c>
      <c r="AR47" s="53">
        <f t="shared" si="16"/>
        <v>0</v>
      </c>
      <c r="AS47" s="53"/>
      <c r="AT47" s="53"/>
      <c r="AU47" s="53">
        <f t="shared" si="17"/>
        <v>0</v>
      </c>
      <c r="AV47" s="53">
        <f t="shared" si="18"/>
        <v>0</v>
      </c>
      <c r="AW47" s="53"/>
      <c r="AX47" s="53"/>
      <c r="AY47" s="53">
        <f t="shared" si="19"/>
        <v>0</v>
      </c>
      <c r="AZ47" s="53">
        <f t="shared" si="20"/>
        <v>0</v>
      </c>
      <c r="BA47" s="53"/>
      <c r="BB47" s="53"/>
      <c r="BC47" s="53">
        <f t="shared" si="21"/>
        <v>0</v>
      </c>
      <c r="BD47" s="53">
        <f t="shared" si="22"/>
        <v>0</v>
      </c>
      <c r="BE47" s="53"/>
      <c r="BF47" s="53"/>
      <c r="BG47" s="53">
        <f t="shared" si="23"/>
        <v>0</v>
      </c>
      <c r="BH47" s="53">
        <f t="shared" si="24"/>
        <v>0</v>
      </c>
      <c r="BI47" s="53"/>
      <c r="BJ47" s="53"/>
      <c r="BK47" s="53">
        <f t="shared" si="25"/>
        <v>0</v>
      </c>
      <c r="BL47" s="53">
        <f t="shared" si="26"/>
        <v>0</v>
      </c>
      <c r="BM47" s="54"/>
    </row>
    <row r="48" spans="1:65" ht="12.75">
      <c r="A48" s="49">
        <f>CALENDARIO!A48</f>
        <v>47</v>
      </c>
      <c r="B48" s="50">
        <f>CALENDARIO!B48</f>
        <v>46196</v>
      </c>
      <c r="C48" s="51">
        <f>CALENDARIO!C48</f>
        <v>0.83333333333333337</v>
      </c>
      <c r="D48" s="52" t="str">
        <f>CALENDARIO!D48</f>
        <v>Panamá</v>
      </c>
      <c r="E48" s="52">
        <f>CALENDARIO!E48</f>
        <v>0</v>
      </c>
      <c r="F48" s="49" t="str">
        <f>CALENDARIO!F48</f>
        <v>x</v>
      </c>
      <c r="G48" s="49">
        <f>CALENDARIO!G48</f>
        <v>0</v>
      </c>
      <c r="H48" s="52" t="str">
        <f>CALENDARIO!H48</f>
        <v>Croácia</v>
      </c>
      <c r="I48" s="53"/>
      <c r="J48" s="53"/>
      <c r="K48" s="53">
        <f t="shared" si="27"/>
        <v>0</v>
      </c>
      <c r="L48" s="53">
        <f t="shared" si="0"/>
        <v>0</v>
      </c>
      <c r="M48" s="53"/>
      <c r="N48" s="53"/>
      <c r="O48" s="53">
        <f t="shared" si="1"/>
        <v>0</v>
      </c>
      <c r="P48" s="53">
        <f t="shared" si="2"/>
        <v>0</v>
      </c>
      <c r="Q48" s="53"/>
      <c r="R48" s="53"/>
      <c r="S48" s="53">
        <f t="shared" si="3"/>
        <v>0</v>
      </c>
      <c r="T48" s="53">
        <f t="shared" si="4"/>
        <v>0</v>
      </c>
      <c r="U48" s="53"/>
      <c r="V48" s="53"/>
      <c r="W48" s="53">
        <f t="shared" si="5"/>
        <v>0</v>
      </c>
      <c r="X48" s="53">
        <f t="shared" si="6"/>
        <v>0</v>
      </c>
      <c r="Y48" s="53"/>
      <c r="Z48" s="53"/>
      <c r="AA48" s="53">
        <f t="shared" si="7"/>
        <v>0</v>
      </c>
      <c r="AB48" s="53">
        <f t="shared" si="8"/>
        <v>0</v>
      </c>
      <c r="AC48" s="53"/>
      <c r="AD48" s="53"/>
      <c r="AE48" s="53">
        <f t="shared" si="9"/>
        <v>0</v>
      </c>
      <c r="AF48" s="53">
        <f t="shared" si="10"/>
        <v>0</v>
      </c>
      <c r="AG48" s="53"/>
      <c r="AH48" s="53"/>
      <c r="AI48" s="53">
        <f t="shared" si="11"/>
        <v>0</v>
      </c>
      <c r="AJ48" s="53">
        <f t="shared" si="12"/>
        <v>0</v>
      </c>
      <c r="AK48" s="53"/>
      <c r="AL48" s="53"/>
      <c r="AM48" s="53">
        <f t="shared" si="13"/>
        <v>0</v>
      </c>
      <c r="AN48" s="53">
        <f t="shared" si="14"/>
        <v>0</v>
      </c>
      <c r="AO48" s="53"/>
      <c r="AP48" s="53"/>
      <c r="AQ48" s="53">
        <f t="shared" si="15"/>
        <v>0</v>
      </c>
      <c r="AR48" s="53">
        <f t="shared" si="16"/>
        <v>0</v>
      </c>
      <c r="AS48" s="53"/>
      <c r="AT48" s="53"/>
      <c r="AU48" s="53">
        <f t="shared" si="17"/>
        <v>0</v>
      </c>
      <c r="AV48" s="53">
        <f t="shared" si="18"/>
        <v>0</v>
      </c>
      <c r="AW48" s="53"/>
      <c r="AX48" s="53"/>
      <c r="AY48" s="53">
        <f t="shared" si="19"/>
        <v>0</v>
      </c>
      <c r="AZ48" s="53">
        <f t="shared" si="20"/>
        <v>0</v>
      </c>
      <c r="BA48" s="53"/>
      <c r="BB48" s="53"/>
      <c r="BC48" s="53">
        <f t="shared" si="21"/>
        <v>0</v>
      </c>
      <c r="BD48" s="53">
        <f t="shared" si="22"/>
        <v>0</v>
      </c>
      <c r="BE48" s="53"/>
      <c r="BF48" s="53"/>
      <c r="BG48" s="53">
        <f t="shared" si="23"/>
        <v>0</v>
      </c>
      <c r="BH48" s="53">
        <f t="shared" si="24"/>
        <v>0</v>
      </c>
      <c r="BI48" s="53"/>
      <c r="BJ48" s="53"/>
      <c r="BK48" s="53">
        <f t="shared" si="25"/>
        <v>0</v>
      </c>
      <c r="BL48" s="53">
        <f t="shared" si="26"/>
        <v>0</v>
      </c>
      <c r="BM48" s="54"/>
    </row>
    <row r="49" spans="1:65" ht="12.75">
      <c r="A49" s="49">
        <f>CALENDARIO!A49</f>
        <v>48</v>
      </c>
      <c r="B49" s="50">
        <f>CALENDARIO!B49</f>
        <v>46196</v>
      </c>
      <c r="C49" s="51">
        <f>CALENDARIO!C49</f>
        <v>0.95833333333333337</v>
      </c>
      <c r="D49" s="52" t="str">
        <f>CALENDARIO!D49</f>
        <v>Colômbia</v>
      </c>
      <c r="E49" s="52">
        <f>CALENDARIO!E49</f>
        <v>0</v>
      </c>
      <c r="F49" s="49" t="str">
        <f>CALENDARIO!F49</f>
        <v>x</v>
      </c>
      <c r="G49" s="49">
        <f>CALENDARIO!G49</f>
        <v>0</v>
      </c>
      <c r="H49" s="52" t="str">
        <f>CALENDARIO!H49</f>
        <v>Rep. Dem. do Congo</v>
      </c>
      <c r="I49" s="53"/>
      <c r="J49" s="53"/>
      <c r="K49" s="53">
        <f t="shared" si="27"/>
        <v>0</v>
      </c>
      <c r="L49" s="53">
        <f t="shared" si="0"/>
        <v>0</v>
      </c>
      <c r="M49" s="53"/>
      <c r="N49" s="53"/>
      <c r="O49" s="53">
        <f t="shared" si="1"/>
        <v>0</v>
      </c>
      <c r="P49" s="53">
        <f t="shared" si="2"/>
        <v>0</v>
      </c>
      <c r="Q49" s="53"/>
      <c r="R49" s="53"/>
      <c r="S49" s="53">
        <f t="shared" si="3"/>
        <v>0</v>
      </c>
      <c r="T49" s="53">
        <f t="shared" si="4"/>
        <v>0</v>
      </c>
      <c r="U49" s="53"/>
      <c r="V49" s="53"/>
      <c r="W49" s="53">
        <f t="shared" si="5"/>
        <v>0</v>
      </c>
      <c r="X49" s="53">
        <f t="shared" si="6"/>
        <v>0</v>
      </c>
      <c r="Y49" s="53"/>
      <c r="Z49" s="53"/>
      <c r="AA49" s="53">
        <f t="shared" si="7"/>
        <v>0</v>
      </c>
      <c r="AB49" s="53">
        <f t="shared" si="8"/>
        <v>0</v>
      </c>
      <c r="AC49" s="53"/>
      <c r="AD49" s="53"/>
      <c r="AE49" s="53">
        <f t="shared" si="9"/>
        <v>0</v>
      </c>
      <c r="AF49" s="53">
        <f t="shared" si="10"/>
        <v>0</v>
      </c>
      <c r="AG49" s="53"/>
      <c r="AH49" s="53"/>
      <c r="AI49" s="53">
        <f t="shared" si="11"/>
        <v>0</v>
      </c>
      <c r="AJ49" s="53">
        <f t="shared" si="12"/>
        <v>0</v>
      </c>
      <c r="AK49" s="53"/>
      <c r="AL49" s="53"/>
      <c r="AM49" s="53">
        <f t="shared" si="13"/>
        <v>0</v>
      </c>
      <c r="AN49" s="53">
        <f t="shared" si="14"/>
        <v>0</v>
      </c>
      <c r="AO49" s="53"/>
      <c r="AP49" s="53"/>
      <c r="AQ49" s="53">
        <f t="shared" si="15"/>
        <v>0</v>
      </c>
      <c r="AR49" s="53">
        <f t="shared" si="16"/>
        <v>0</v>
      </c>
      <c r="AS49" s="53"/>
      <c r="AT49" s="53"/>
      <c r="AU49" s="53">
        <f t="shared" si="17"/>
        <v>0</v>
      </c>
      <c r="AV49" s="53">
        <f t="shared" si="18"/>
        <v>0</v>
      </c>
      <c r="AW49" s="53"/>
      <c r="AX49" s="53"/>
      <c r="AY49" s="53">
        <f t="shared" si="19"/>
        <v>0</v>
      </c>
      <c r="AZ49" s="53">
        <f t="shared" si="20"/>
        <v>0</v>
      </c>
      <c r="BA49" s="53"/>
      <c r="BB49" s="53"/>
      <c r="BC49" s="53">
        <f t="shared" si="21"/>
        <v>0</v>
      </c>
      <c r="BD49" s="53">
        <f t="shared" si="22"/>
        <v>0</v>
      </c>
      <c r="BE49" s="53"/>
      <c r="BF49" s="53"/>
      <c r="BG49" s="53">
        <f t="shared" si="23"/>
        <v>0</v>
      </c>
      <c r="BH49" s="53">
        <f t="shared" si="24"/>
        <v>0</v>
      </c>
      <c r="BI49" s="53"/>
      <c r="BJ49" s="53"/>
      <c r="BK49" s="53">
        <f t="shared" si="25"/>
        <v>0</v>
      </c>
      <c r="BL49" s="53">
        <f t="shared" si="26"/>
        <v>0</v>
      </c>
      <c r="BM49" s="54"/>
    </row>
    <row r="50" spans="1:65" ht="12.75">
      <c r="A50" s="49">
        <f>CALENDARIO!A50</f>
        <v>49</v>
      </c>
      <c r="B50" s="50">
        <f>CALENDARIO!B50</f>
        <v>46197</v>
      </c>
      <c r="C50" s="51">
        <f>CALENDARIO!C50</f>
        <v>0.66666666666666663</v>
      </c>
      <c r="D50" s="52" t="str">
        <f>CALENDARIO!D50</f>
        <v>Suíça</v>
      </c>
      <c r="E50" s="52">
        <f>CALENDARIO!E50</f>
        <v>0</v>
      </c>
      <c r="F50" s="49" t="str">
        <f>CALENDARIO!F50</f>
        <v>x</v>
      </c>
      <c r="G50" s="49">
        <f>CALENDARIO!G50</f>
        <v>0</v>
      </c>
      <c r="H50" s="52" t="str">
        <f>CALENDARIO!H50</f>
        <v>Canadá</v>
      </c>
      <c r="I50" s="53"/>
      <c r="J50" s="53"/>
      <c r="K50" s="53">
        <f t="shared" si="27"/>
        <v>0</v>
      </c>
      <c r="L50" s="53">
        <f t="shared" si="0"/>
        <v>0</v>
      </c>
      <c r="M50" s="53"/>
      <c r="N50" s="53"/>
      <c r="O50" s="53">
        <f t="shared" si="1"/>
        <v>0</v>
      </c>
      <c r="P50" s="53">
        <f t="shared" si="2"/>
        <v>0</v>
      </c>
      <c r="Q50" s="53"/>
      <c r="R50" s="53"/>
      <c r="S50" s="53">
        <f t="shared" si="3"/>
        <v>0</v>
      </c>
      <c r="T50" s="53">
        <f t="shared" si="4"/>
        <v>0</v>
      </c>
      <c r="U50" s="53"/>
      <c r="V50" s="53"/>
      <c r="W50" s="53">
        <f t="shared" si="5"/>
        <v>0</v>
      </c>
      <c r="X50" s="53">
        <f t="shared" si="6"/>
        <v>0</v>
      </c>
      <c r="Y50" s="53"/>
      <c r="Z50" s="53"/>
      <c r="AA50" s="53">
        <f t="shared" si="7"/>
        <v>0</v>
      </c>
      <c r="AB50" s="53">
        <f t="shared" si="8"/>
        <v>0</v>
      </c>
      <c r="AC50" s="53"/>
      <c r="AD50" s="53"/>
      <c r="AE50" s="53">
        <f t="shared" si="9"/>
        <v>0</v>
      </c>
      <c r="AF50" s="53">
        <f t="shared" si="10"/>
        <v>0</v>
      </c>
      <c r="AG50" s="53"/>
      <c r="AH50" s="53"/>
      <c r="AI50" s="53">
        <f t="shared" si="11"/>
        <v>0</v>
      </c>
      <c r="AJ50" s="53">
        <f t="shared" si="12"/>
        <v>0</v>
      </c>
      <c r="AK50" s="53"/>
      <c r="AL50" s="53"/>
      <c r="AM50" s="53">
        <f t="shared" si="13"/>
        <v>0</v>
      </c>
      <c r="AN50" s="53">
        <f t="shared" si="14"/>
        <v>0</v>
      </c>
      <c r="AO50" s="53"/>
      <c r="AP50" s="53"/>
      <c r="AQ50" s="53">
        <f t="shared" si="15"/>
        <v>0</v>
      </c>
      <c r="AR50" s="53">
        <f t="shared" si="16"/>
        <v>0</v>
      </c>
      <c r="AS50" s="53"/>
      <c r="AT50" s="53"/>
      <c r="AU50" s="53">
        <f t="shared" si="17"/>
        <v>0</v>
      </c>
      <c r="AV50" s="53">
        <f t="shared" si="18"/>
        <v>0</v>
      </c>
      <c r="AW50" s="53"/>
      <c r="AX50" s="53"/>
      <c r="AY50" s="53">
        <f t="shared" si="19"/>
        <v>0</v>
      </c>
      <c r="AZ50" s="53">
        <f t="shared" si="20"/>
        <v>0</v>
      </c>
      <c r="BA50" s="53"/>
      <c r="BB50" s="53"/>
      <c r="BC50" s="53">
        <f t="shared" si="21"/>
        <v>0</v>
      </c>
      <c r="BD50" s="53">
        <f t="shared" si="22"/>
        <v>0</v>
      </c>
      <c r="BE50" s="53"/>
      <c r="BF50" s="53"/>
      <c r="BG50" s="53">
        <f t="shared" si="23"/>
        <v>0</v>
      </c>
      <c r="BH50" s="53">
        <f t="shared" si="24"/>
        <v>0</v>
      </c>
      <c r="BI50" s="53"/>
      <c r="BJ50" s="53"/>
      <c r="BK50" s="53">
        <f t="shared" si="25"/>
        <v>0</v>
      </c>
      <c r="BL50" s="53">
        <f t="shared" si="26"/>
        <v>0</v>
      </c>
      <c r="BM50" s="54"/>
    </row>
    <row r="51" spans="1:65" ht="12.75">
      <c r="A51" s="49">
        <f>CALENDARIO!A51</f>
        <v>50</v>
      </c>
      <c r="B51" s="50">
        <f>CALENDARIO!B51</f>
        <v>46197</v>
      </c>
      <c r="C51" s="51">
        <f>CALENDARIO!C51</f>
        <v>0.66666666666666663</v>
      </c>
      <c r="D51" s="52" t="str">
        <f>CALENDARIO!D51</f>
        <v>Bósnia e Herzegovina</v>
      </c>
      <c r="E51" s="52">
        <f>CALENDARIO!E51</f>
        <v>0</v>
      </c>
      <c r="F51" s="49" t="str">
        <f>CALENDARIO!F51</f>
        <v>x</v>
      </c>
      <c r="G51" s="49">
        <f>CALENDARIO!G51</f>
        <v>0</v>
      </c>
      <c r="H51" s="52" t="str">
        <f>CALENDARIO!H51</f>
        <v>Catar</v>
      </c>
      <c r="I51" s="53"/>
      <c r="J51" s="53"/>
      <c r="K51" s="53">
        <f t="shared" si="27"/>
        <v>0</v>
      </c>
      <c r="L51" s="53">
        <f t="shared" si="0"/>
        <v>0</v>
      </c>
      <c r="M51" s="53"/>
      <c r="N51" s="53"/>
      <c r="O51" s="53">
        <f t="shared" si="1"/>
        <v>0</v>
      </c>
      <c r="P51" s="53">
        <f t="shared" si="2"/>
        <v>0</v>
      </c>
      <c r="Q51" s="53"/>
      <c r="R51" s="53"/>
      <c r="S51" s="53">
        <f t="shared" si="3"/>
        <v>0</v>
      </c>
      <c r="T51" s="53">
        <f t="shared" si="4"/>
        <v>0</v>
      </c>
      <c r="U51" s="53"/>
      <c r="V51" s="53"/>
      <c r="W51" s="53">
        <f t="shared" si="5"/>
        <v>0</v>
      </c>
      <c r="X51" s="53">
        <f t="shared" si="6"/>
        <v>0</v>
      </c>
      <c r="Y51" s="53"/>
      <c r="Z51" s="53"/>
      <c r="AA51" s="53">
        <f t="shared" si="7"/>
        <v>0</v>
      </c>
      <c r="AB51" s="53">
        <f t="shared" si="8"/>
        <v>0</v>
      </c>
      <c r="AC51" s="53"/>
      <c r="AD51" s="53"/>
      <c r="AE51" s="53">
        <f t="shared" si="9"/>
        <v>0</v>
      </c>
      <c r="AF51" s="53">
        <f t="shared" si="10"/>
        <v>0</v>
      </c>
      <c r="AG51" s="53"/>
      <c r="AH51" s="53"/>
      <c r="AI51" s="53">
        <f t="shared" si="11"/>
        <v>0</v>
      </c>
      <c r="AJ51" s="53">
        <f t="shared" si="12"/>
        <v>0</v>
      </c>
      <c r="AK51" s="53"/>
      <c r="AL51" s="53"/>
      <c r="AM51" s="53">
        <f t="shared" si="13"/>
        <v>0</v>
      </c>
      <c r="AN51" s="53">
        <f t="shared" si="14"/>
        <v>0</v>
      </c>
      <c r="AO51" s="53"/>
      <c r="AP51" s="53"/>
      <c r="AQ51" s="53">
        <f t="shared" si="15"/>
        <v>0</v>
      </c>
      <c r="AR51" s="53">
        <f t="shared" si="16"/>
        <v>0</v>
      </c>
      <c r="AS51" s="53"/>
      <c r="AT51" s="53"/>
      <c r="AU51" s="53">
        <f t="shared" si="17"/>
        <v>0</v>
      </c>
      <c r="AV51" s="53">
        <f t="shared" si="18"/>
        <v>0</v>
      </c>
      <c r="AW51" s="53"/>
      <c r="AX51" s="53"/>
      <c r="AY51" s="53">
        <f t="shared" si="19"/>
        <v>0</v>
      </c>
      <c r="AZ51" s="53">
        <f t="shared" si="20"/>
        <v>0</v>
      </c>
      <c r="BA51" s="53"/>
      <c r="BB51" s="53"/>
      <c r="BC51" s="53">
        <f t="shared" si="21"/>
        <v>0</v>
      </c>
      <c r="BD51" s="53">
        <f t="shared" si="22"/>
        <v>0</v>
      </c>
      <c r="BE51" s="53"/>
      <c r="BF51" s="53"/>
      <c r="BG51" s="53">
        <f t="shared" si="23"/>
        <v>0</v>
      </c>
      <c r="BH51" s="53">
        <f t="shared" si="24"/>
        <v>0</v>
      </c>
      <c r="BI51" s="53"/>
      <c r="BJ51" s="53"/>
      <c r="BK51" s="53">
        <f t="shared" si="25"/>
        <v>0</v>
      </c>
      <c r="BL51" s="53">
        <f t="shared" si="26"/>
        <v>0</v>
      </c>
      <c r="BM51" s="54"/>
    </row>
    <row r="52" spans="1:65" ht="12.75">
      <c r="A52" s="49">
        <f>CALENDARIO!A52</f>
        <v>51</v>
      </c>
      <c r="B52" s="50">
        <f>CALENDARIO!B52</f>
        <v>46197</v>
      </c>
      <c r="C52" s="51">
        <f>CALENDARIO!C52</f>
        <v>0.79166666666666663</v>
      </c>
      <c r="D52" s="52" t="str">
        <f>CALENDARIO!D52</f>
        <v>Escócia</v>
      </c>
      <c r="E52" s="52">
        <f>CALENDARIO!E52</f>
        <v>0</v>
      </c>
      <c r="F52" s="49" t="str">
        <f>CALENDARIO!F52</f>
        <v>x</v>
      </c>
      <c r="G52" s="49">
        <f>CALENDARIO!G52</f>
        <v>0</v>
      </c>
      <c r="H52" s="52" t="str">
        <f>CALENDARIO!H52</f>
        <v>Brasil</v>
      </c>
      <c r="I52" s="53"/>
      <c r="J52" s="53"/>
      <c r="K52" s="53">
        <f t="shared" si="27"/>
        <v>0</v>
      </c>
      <c r="L52" s="53">
        <f t="shared" si="0"/>
        <v>0</v>
      </c>
      <c r="M52" s="53"/>
      <c r="N52" s="53"/>
      <c r="O52" s="53">
        <f t="shared" si="1"/>
        <v>0</v>
      </c>
      <c r="P52" s="53">
        <f t="shared" si="2"/>
        <v>0</v>
      </c>
      <c r="Q52" s="53"/>
      <c r="R52" s="53"/>
      <c r="S52" s="53">
        <f t="shared" si="3"/>
        <v>0</v>
      </c>
      <c r="T52" s="53">
        <f t="shared" si="4"/>
        <v>0</v>
      </c>
      <c r="U52" s="53"/>
      <c r="V52" s="53"/>
      <c r="W52" s="53">
        <f t="shared" si="5"/>
        <v>0</v>
      </c>
      <c r="X52" s="53">
        <f t="shared" si="6"/>
        <v>0</v>
      </c>
      <c r="Y52" s="53"/>
      <c r="Z52" s="53"/>
      <c r="AA52" s="53">
        <f t="shared" si="7"/>
        <v>0</v>
      </c>
      <c r="AB52" s="53">
        <f t="shared" si="8"/>
        <v>0</v>
      </c>
      <c r="AC52" s="53"/>
      <c r="AD52" s="53"/>
      <c r="AE52" s="53">
        <f t="shared" si="9"/>
        <v>0</v>
      </c>
      <c r="AF52" s="53">
        <f t="shared" si="10"/>
        <v>0</v>
      </c>
      <c r="AG52" s="53"/>
      <c r="AH52" s="53"/>
      <c r="AI52" s="53">
        <f t="shared" si="11"/>
        <v>0</v>
      </c>
      <c r="AJ52" s="53">
        <f t="shared" si="12"/>
        <v>0</v>
      </c>
      <c r="AK52" s="53"/>
      <c r="AL52" s="53"/>
      <c r="AM52" s="53">
        <f t="shared" si="13"/>
        <v>0</v>
      </c>
      <c r="AN52" s="53">
        <f t="shared" si="14"/>
        <v>0</v>
      </c>
      <c r="AO52" s="53"/>
      <c r="AP52" s="53"/>
      <c r="AQ52" s="53">
        <f t="shared" si="15"/>
        <v>0</v>
      </c>
      <c r="AR52" s="53">
        <f t="shared" si="16"/>
        <v>0</v>
      </c>
      <c r="AS52" s="53"/>
      <c r="AT52" s="53"/>
      <c r="AU52" s="53">
        <f t="shared" si="17"/>
        <v>0</v>
      </c>
      <c r="AV52" s="53">
        <f t="shared" si="18"/>
        <v>0</v>
      </c>
      <c r="AW52" s="53"/>
      <c r="AX52" s="53"/>
      <c r="AY52" s="53">
        <f t="shared" si="19"/>
        <v>0</v>
      </c>
      <c r="AZ52" s="53">
        <f t="shared" si="20"/>
        <v>0</v>
      </c>
      <c r="BA52" s="53"/>
      <c r="BB52" s="53"/>
      <c r="BC52" s="53">
        <f t="shared" si="21"/>
        <v>0</v>
      </c>
      <c r="BD52" s="53">
        <f t="shared" si="22"/>
        <v>0</v>
      </c>
      <c r="BE52" s="53"/>
      <c r="BF52" s="53"/>
      <c r="BG52" s="53">
        <f t="shared" si="23"/>
        <v>0</v>
      </c>
      <c r="BH52" s="53">
        <f t="shared" si="24"/>
        <v>0</v>
      </c>
      <c r="BI52" s="53"/>
      <c r="BJ52" s="53"/>
      <c r="BK52" s="53">
        <f t="shared" si="25"/>
        <v>0</v>
      </c>
      <c r="BL52" s="53">
        <f t="shared" si="26"/>
        <v>0</v>
      </c>
      <c r="BM52" s="54"/>
    </row>
    <row r="53" spans="1:65" ht="12.75">
      <c r="A53" s="49">
        <f>CALENDARIO!A53</f>
        <v>52</v>
      </c>
      <c r="B53" s="50">
        <f>CALENDARIO!B53</f>
        <v>46197</v>
      </c>
      <c r="C53" s="51">
        <f>CALENDARIO!C53</f>
        <v>0.79166666666666663</v>
      </c>
      <c r="D53" s="52" t="str">
        <f>CALENDARIO!D53</f>
        <v>Marrocos</v>
      </c>
      <c r="E53" s="52">
        <f>CALENDARIO!E53</f>
        <v>0</v>
      </c>
      <c r="F53" s="49" t="str">
        <f>CALENDARIO!F53</f>
        <v>x</v>
      </c>
      <c r="G53" s="49">
        <f>CALENDARIO!G53</f>
        <v>0</v>
      </c>
      <c r="H53" s="52" t="str">
        <f>CALENDARIO!H53</f>
        <v>Haiti</v>
      </c>
      <c r="I53" s="53"/>
      <c r="J53" s="53"/>
      <c r="K53" s="53">
        <f t="shared" si="27"/>
        <v>0</v>
      </c>
      <c r="L53" s="53">
        <f t="shared" si="0"/>
        <v>0</v>
      </c>
      <c r="M53" s="53"/>
      <c r="N53" s="53"/>
      <c r="O53" s="53">
        <f t="shared" si="1"/>
        <v>0</v>
      </c>
      <c r="P53" s="53">
        <f t="shared" si="2"/>
        <v>0</v>
      </c>
      <c r="Q53" s="53"/>
      <c r="R53" s="53"/>
      <c r="S53" s="53">
        <f t="shared" si="3"/>
        <v>0</v>
      </c>
      <c r="T53" s="53">
        <f t="shared" si="4"/>
        <v>0</v>
      </c>
      <c r="U53" s="53"/>
      <c r="V53" s="53"/>
      <c r="W53" s="53">
        <f t="shared" si="5"/>
        <v>0</v>
      </c>
      <c r="X53" s="53">
        <f t="shared" si="6"/>
        <v>0</v>
      </c>
      <c r="Y53" s="53"/>
      <c r="Z53" s="53"/>
      <c r="AA53" s="53">
        <f t="shared" si="7"/>
        <v>0</v>
      </c>
      <c r="AB53" s="53">
        <f t="shared" si="8"/>
        <v>0</v>
      </c>
      <c r="AC53" s="53"/>
      <c r="AD53" s="53"/>
      <c r="AE53" s="53">
        <f t="shared" si="9"/>
        <v>0</v>
      </c>
      <c r="AF53" s="53">
        <f t="shared" si="10"/>
        <v>0</v>
      </c>
      <c r="AG53" s="53"/>
      <c r="AH53" s="53"/>
      <c r="AI53" s="53">
        <f t="shared" si="11"/>
        <v>0</v>
      </c>
      <c r="AJ53" s="53">
        <f t="shared" si="12"/>
        <v>0</v>
      </c>
      <c r="AK53" s="53"/>
      <c r="AL53" s="53"/>
      <c r="AM53" s="53">
        <f t="shared" si="13"/>
        <v>0</v>
      </c>
      <c r="AN53" s="53">
        <f t="shared" si="14"/>
        <v>0</v>
      </c>
      <c r="AO53" s="53"/>
      <c r="AP53" s="53"/>
      <c r="AQ53" s="53">
        <f t="shared" si="15"/>
        <v>0</v>
      </c>
      <c r="AR53" s="53">
        <f t="shared" si="16"/>
        <v>0</v>
      </c>
      <c r="AS53" s="53"/>
      <c r="AT53" s="53"/>
      <c r="AU53" s="53">
        <f t="shared" si="17"/>
        <v>0</v>
      </c>
      <c r="AV53" s="53">
        <f t="shared" si="18"/>
        <v>0</v>
      </c>
      <c r="AW53" s="53"/>
      <c r="AX53" s="53"/>
      <c r="AY53" s="53">
        <f t="shared" si="19"/>
        <v>0</v>
      </c>
      <c r="AZ53" s="53">
        <f t="shared" si="20"/>
        <v>0</v>
      </c>
      <c r="BA53" s="53"/>
      <c r="BB53" s="53"/>
      <c r="BC53" s="53">
        <f t="shared" si="21"/>
        <v>0</v>
      </c>
      <c r="BD53" s="53">
        <f t="shared" si="22"/>
        <v>0</v>
      </c>
      <c r="BE53" s="53"/>
      <c r="BF53" s="53"/>
      <c r="BG53" s="53">
        <f t="shared" si="23"/>
        <v>0</v>
      </c>
      <c r="BH53" s="53">
        <f t="shared" si="24"/>
        <v>0</v>
      </c>
      <c r="BI53" s="53"/>
      <c r="BJ53" s="53"/>
      <c r="BK53" s="53">
        <f t="shared" si="25"/>
        <v>0</v>
      </c>
      <c r="BL53" s="53">
        <f t="shared" si="26"/>
        <v>0</v>
      </c>
      <c r="BM53" s="54"/>
    </row>
    <row r="54" spans="1:65" ht="12.75">
      <c r="A54" s="49">
        <f>CALENDARIO!A54</f>
        <v>53</v>
      </c>
      <c r="B54" s="50">
        <f>CALENDARIO!B54</f>
        <v>46197</v>
      </c>
      <c r="C54" s="51">
        <f>CALENDARIO!C54</f>
        <v>0.91666666666666663</v>
      </c>
      <c r="D54" s="52" t="str">
        <f>CALENDARIO!D54</f>
        <v>República Tcheca</v>
      </c>
      <c r="E54" s="52">
        <f>CALENDARIO!E54</f>
        <v>0</v>
      </c>
      <c r="F54" s="49" t="str">
        <f>CALENDARIO!F54</f>
        <v>x</v>
      </c>
      <c r="G54" s="49">
        <f>CALENDARIO!G54</f>
        <v>0</v>
      </c>
      <c r="H54" s="52" t="str">
        <f>CALENDARIO!H54</f>
        <v>México</v>
      </c>
      <c r="I54" s="53"/>
      <c r="J54" s="53"/>
      <c r="K54" s="53">
        <f t="shared" si="27"/>
        <v>0</v>
      </c>
      <c r="L54" s="53">
        <f t="shared" si="0"/>
        <v>0</v>
      </c>
      <c r="M54" s="53"/>
      <c r="N54" s="53"/>
      <c r="O54" s="53">
        <f t="shared" si="1"/>
        <v>0</v>
      </c>
      <c r="P54" s="53">
        <f t="shared" si="2"/>
        <v>0</v>
      </c>
      <c r="Q54" s="53"/>
      <c r="R54" s="53"/>
      <c r="S54" s="53">
        <f t="shared" si="3"/>
        <v>0</v>
      </c>
      <c r="T54" s="53">
        <f t="shared" si="4"/>
        <v>0</v>
      </c>
      <c r="U54" s="53"/>
      <c r="V54" s="53"/>
      <c r="W54" s="53">
        <f t="shared" si="5"/>
        <v>0</v>
      </c>
      <c r="X54" s="53">
        <f t="shared" si="6"/>
        <v>0</v>
      </c>
      <c r="Y54" s="53"/>
      <c r="Z54" s="53"/>
      <c r="AA54" s="53">
        <f t="shared" si="7"/>
        <v>0</v>
      </c>
      <c r="AB54" s="53">
        <f t="shared" si="8"/>
        <v>0</v>
      </c>
      <c r="AC54" s="53"/>
      <c r="AD54" s="53"/>
      <c r="AE54" s="53">
        <f t="shared" si="9"/>
        <v>0</v>
      </c>
      <c r="AF54" s="53">
        <f t="shared" si="10"/>
        <v>0</v>
      </c>
      <c r="AG54" s="53"/>
      <c r="AH54" s="53"/>
      <c r="AI54" s="53">
        <f t="shared" si="11"/>
        <v>0</v>
      </c>
      <c r="AJ54" s="53">
        <f t="shared" si="12"/>
        <v>0</v>
      </c>
      <c r="AK54" s="53"/>
      <c r="AL54" s="53"/>
      <c r="AM54" s="53">
        <f t="shared" si="13"/>
        <v>0</v>
      </c>
      <c r="AN54" s="53">
        <f t="shared" si="14"/>
        <v>0</v>
      </c>
      <c r="AO54" s="53"/>
      <c r="AP54" s="53"/>
      <c r="AQ54" s="53">
        <f t="shared" si="15"/>
        <v>0</v>
      </c>
      <c r="AR54" s="53">
        <f t="shared" si="16"/>
        <v>0</v>
      </c>
      <c r="AS54" s="53"/>
      <c r="AT54" s="53"/>
      <c r="AU54" s="53">
        <f t="shared" si="17"/>
        <v>0</v>
      </c>
      <c r="AV54" s="53">
        <f t="shared" si="18"/>
        <v>0</v>
      </c>
      <c r="AW54" s="53"/>
      <c r="AX54" s="53"/>
      <c r="AY54" s="53">
        <f t="shared" si="19"/>
        <v>0</v>
      </c>
      <c r="AZ54" s="53">
        <f t="shared" si="20"/>
        <v>0</v>
      </c>
      <c r="BA54" s="53"/>
      <c r="BB54" s="53"/>
      <c r="BC54" s="53">
        <f t="shared" si="21"/>
        <v>0</v>
      </c>
      <c r="BD54" s="53">
        <f t="shared" si="22"/>
        <v>0</v>
      </c>
      <c r="BE54" s="53"/>
      <c r="BF54" s="53"/>
      <c r="BG54" s="53">
        <f t="shared" si="23"/>
        <v>0</v>
      </c>
      <c r="BH54" s="53">
        <f t="shared" si="24"/>
        <v>0</v>
      </c>
      <c r="BI54" s="53"/>
      <c r="BJ54" s="53"/>
      <c r="BK54" s="53">
        <f t="shared" si="25"/>
        <v>0</v>
      </c>
      <c r="BL54" s="53">
        <f t="shared" si="26"/>
        <v>0</v>
      </c>
      <c r="BM54" s="54"/>
    </row>
    <row r="55" spans="1:65" ht="12.75">
      <c r="A55" s="49">
        <f>CALENDARIO!A55</f>
        <v>54</v>
      </c>
      <c r="B55" s="50">
        <f>CALENDARIO!B55</f>
        <v>46197</v>
      </c>
      <c r="C55" s="51">
        <f>CALENDARIO!C55</f>
        <v>0.91666666666666663</v>
      </c>
      <c r="D55" s="52" t="str">
        <f>CALENDARIO!D55</f>
        <v>África do Sul</v>
      </c>
      <c r="E55" s="52">
        <f>CALENDARIO!E55</f>
        <v>0</v>
      </c>
      <c r="F55" s="49" t="str">
        <f>CALENDARIO!F55</f>
        <v>x</v>
      </c>
      <c r="G55" s="49">
        <f>CALENDARIO!G55</f>
        <v>0</v>
      </c>
      <c r="H55" s="52" t="str">
        <f>CALENDARIO!H55</f>
        <v>República da Coreia</v>
      </c>
      <c r="I55" s="53"/>
      <c r="J55" s="53"/>
      <c r="K55" s="53">
        <f t="shared" si="27"/>
        <v>0</v>
      </c>
      <c r="L55" s="53">
        <f t="shared" si="0"/>
        <v>0</v>
      </c>
      <c r="M55" s="53"/>
      <c r="N55" s="53"/>
      <c r="O55" s="53">
        <f t="shared" si="1"/>
        <v>0</v>
      </c>
      <c r="P55" s="53">
        <f t="shared" si="2"/>
        <v>0</v>
      </c>
      <c r="Q55" s="53"/>
      <c r="R55" s="53"/>
      <c r="S55" s="53">
        <f t="shared" si="3"/>
        <v>0</v>
      </c>
      <c r="T55" s="53">
        <f t="shared" si="4"/>
        <v>0</v>
      </c>
      <c r="U55" s="53"/>
      <c r="V55" s="53"/>
      <c r="W55" s="53">
        <f t="shared" si="5"/>
        <v>0</v>
      </c>
      <c r="X55" s="53">
        <f t="shared" si="6"/>
        <v>0</v>
      </c>
      <c r="Y55" s="53"/>
      <c r="Z55" s="53"/>
      <c r="AA55" s="53">
        <f t="shared" si="7"/>
        <v>0</v>
      </c>
      <c r="AB55" s="53">
        <f t="shared" si="8"/>
        <v>0</v>
      </c>
      <c r="AC55" s="53"/>
      <c r="AD55" s="53"/>
      <c r="AE55" s="53">
        <f t="shared" si="9"/>
        <v>0</v>
      </c>
      <c r="AF55" s="53">
        <f t="shared" si="10"/>
        <v>0</v>
      </c>
      <c r="AG55" s="53"/>
      <c r="AH55" s="53"/>
      <c r="AI55" s="53">
        <f t="shared" si="11"/>
        <v>0</v>
      </c>
      <c r="AJ55" s="53">
        <f t="shared" si="12"/>
        <v>0</v>
      </c>
      <c r="AK55" s="53"/>
      <c r="AL55" s="53"/>
      <c r="AM55" s="53">
        <f t="shared" si="13"/>
        <v>0</v>
      </c>
      <c r="AN55" s="53">
        <f t="shared" si="14"/>
        <v>0</v>
      </c>
      <c r="AO55" s="53"/>
      <c r="AP55" s="53"/>
      <c r="AQ55" s="53">
        <f t="shared" si="15"/>
        <v>0</v>
      </c>
      <c r="AR55" s="53">
        <f t="shared" si="16"/>
        <v>0</v>
      </c>
      <c r="AS55" s="53"/>
      <c r="AT55" s="53"/>
      <c r="AU55" s="53">
        <f t="shared" si="17"/>
        <v>0</v>
      </c>
      <c r="AV55" s="53">
        <f t="shared" si="18"/>
        <v>0</v>
      </c>
      <c r="AW55" s="53"/>
      <c r="AX55" s="53"/>
      <c r="AY55" s="53">
        <f t="shared" si="19"/>
        <v>0</v>
      </c>
      <c r="AZ55" s="53">
        <f t="shared" si="20"/>
        <v>0</v>
      </c>
      <c r="BA55" s="53"/>
      <c r="BB55" s="53"/>
      <c r="BC55" s="53">
        <f t="shared" si="21"/>
        <v>0</v>
      </c>
      <c r="BD55" s="53">
        <f t="shared" si="22"/>
        <v>0</v>
      </c>
      <c r="BE55" s="53"/>
      <c r="BF55" s="53"/>
      <c r="BG55" s="53">
        <f t="shared" si="23"/>
        <v>0</v>
      </c>
      <c r="BH55" s="53">
        <f t="shared" si="24"/>
        <v>0</v>
      </c>
      <c r="BI55" s="53"/>
      <c r="BJ55" s="53"/>
      <c r="BK55" s="53">
        <f t="shared" si="25"/>
        <v>0</v>
      </c>
      <c r="BL55" s="53">
        <f t="shared" si="26"/>
        <v>0</v>
      </c>
      <c r="BM55" s="54"/>
    </row>
    <row r="56" spans="1:65" ht="12.75">
      <c r="A56" s="49">
        <f>CALENDARIO!A56</f>
        <v>55</v>
      </c>
      <c r="B56" s="50">
        <f>CALENDARIO!B56</f>
        <v>46198</v>
      </c>
      <c r="C56" s="51">
        <f>CALENDARIO!C56</f>
        <v>0.70833333333333337</v>
      </c>
      <c r="D56" s="52" t="str">
        <f>CALENDARIO!D56</f>
        <v>Equador</v>
      </c>
      <c r="E56" s="52">
        <f>CALENDARIO!E56</f>
        <v>0</v>
      </c>
      <c r="F56" s="49" t="str">
        <f>CALENDARIO!F56</f>
        <v>x</v>
      </c>
      <c r="G56" s="49">
        <f>CALENDARIO!G56</f>
        <v>0</v>
      </c>
      <c r="H56" s="52" t="str">
        <f>CALENDARIO!H56</f>
        <v>Alemanha</v>
      </c>
      <c r="I56" s="53"/>
      <c r="J56" s="53"/>
      <c r="K56" s="53">
        <f t="shared" si="27"/>
        <v>0</v>
      </c>
      <c r="L56" s="53">
        <f t="shared" si="0"/>
        <v>0</v>
      </c>
      <c r="M56" s="53"/>
      <c r="N56" s="53"/>
      <c r="O56" s="53">
        <f t="shared" si="1"/>
        <v>0</v>
      </c>
      <c r="P56" s="53">
        <f t="shared" si="2"/>
        <v>0</v>
      </c>
      <c r="Q56" s="53"/>
      <c r="R56" s="53"/>
      <c r="S56" s="53">
        <f t="shared" si="3"/>
        <v>0</v>
      </c>
      <c r="T56" s="53">
        <f t="shared" si="4"/>
        <v>0</v>
      </c>
      <c r="U56" s="53"/>
      <c r="V56" s="53"/>
      <c r="W56" s="53">
        <f t="shared" si="5"/>
        <v>0</v>
      </c>
      <c r="X56" s="53">
        <f t="shared" si="6"/>
        <v>0</v>
      </c>
      <c r="Y56" s="53"/>
      <c r="Z56" s="53"/>
      <c r="AA56" s="53">
        <f t="shared" si="7"/>
        <v>0</v>
      </c>
      <c r="AB56" s="53">
        <f t="shared" si="8"/>
        <v>0</v>
      </c>
      <c r="AC56" s="53"/>
      <c r="AD56" s="53"/>
      <c r="AE56" s="53">
        <f t="shared" si="9"/>
        <v>0</v>
      </c>
      <c r="AF56" s="53">
        <f t="shared" si="10"/>
        <v>0</v>
      </c>
      <c r="AG56" s="53"/>
      <c r="AH56" s="53"/>
      <c r="AI56" s="53">
        <f t="shared" si="11"/>
        <v>0</v>
      </c>
      <c r="AJ56" s="53">
        <f t="shared" si="12"/>
        <v>0</v>
      </c>
      <c r="AK56" s="53"/>
      <c r="AL56" s="53"/>
      <c r="AM56" s="53">
        <f t="shared" si="13"/>
        <v>0</v>
      </c>
      <c r="AN56" s="53">
        <f t="shared" si="14"/>
        <v>0</v>
      </c>
      <c r="AO56" s="53"/>
      <c r="AP56" s="53"/>
      <c r="AQ56" s="53">
        <f t="shared" si="15"/>
        <v>0</v>
      </c>
      <c r="AR56" s="53">
        <f t="shared" si="16"/>
        <v>0</v>
      </c>
      <c r="AS56" s="53"/>
      <c r="AT56" s="53"/>
      <c r="AU56" s="53">
        <f t="shared" si="17"/>
        <v>0</v>
      </c>
      <c r="AV56" s="53">
        <f t="shared" si="18"/>
        <v>0</v>
      </c>
      <c r="AW56" s="53"/>
      <c r="AX56" s="53"/>
      <c r="AY56" s="53">
        <f t="shared" si="19"/>
        <v>0</v>
      </c>
      <c r="AZ56" s="53">
        <f t="shared" si="20"/>
        <v>0</v>
      </c>
      <c r="BA56" s="53"/>
      <c r="BB56" s="53"/>
      <c r="BC56" s="53">
        <f t="shared" si="21"/>
        <v>0</v>
      </c>
      <c r="BD56" s="53">
        <f t="shared" si="22"/>
        <v>0</v>
      </c>
      <c r="BE56" s="53"/>
      <c r="BF56" s="53"/>
      <c r="BG56" s="53">
        <f t="shared" si="23"/>
        <v>0</v>
      </c>
      <c r="BH56" s="53">
        <f t="shared" si="24"/>
        <v>0</v>
      </c>
      <c r="BI56" s="53"/>
      <c r="BJ56" s="53"/>
      <c r="BK56" s="53">
        <f t="shared" si="25"/>
        <v>0</v>
      </c>
      <c r="BL56" s="53">
        <f t="shared" si="26"/>
        <v>0</v>
      </c>
      <c r="BM56" s="54"/>
    </row>
    <row r="57" spans="1:65" ht="12.75">
      <c r="A57" s="49">
        <f>CALENDARIO!A57</f>
        <v>56</v>
      </c>
      <c r="B57" s="50">
        <f>CALENDARIO!B57</f>
        <v>46198</v>
      </c>
      <c r="C57" s="51">
        <f>CALENDARIO!C57</f>
        <v>0.70833333333333337</v>
      </c>
      <c r="D57" s="52" t="str">
        <f>CALENDARIO!D57</f>
        <v>Curaçau</v>
      </c>
      <c r="E57" s="52">
        <f>CALENDARIO!E57</f>
        <v>0</v>
      </c>
      <c r="F57" s="49" t="str">
        <f>CALENDARIO!F57</f>
        <v>x</v>
      </c>
      <c r="G57" s="49">
        <f>CALENDARIO!G57</f>
        <v>0</v>
      </c>
      <c r="H57" s="52" t="str">
        <f>CALENDARIO!H57</f>
        <v>Costa do Marfim</v>
      </c>
      <c r="I57" s="53"/>
      <c r="J57" s="53"/>
      <c r="K57" s="53">
        <f t="shared" si="27"/>
        <v>0</v>
      </c>
      <c r="L57" s="53">
        <f t="shared" si="0"/>
        <v>0</v>
      </c>
      <c r="M57" s="53"/>
      <c r="N57" s="53"/>
      <c r="O57" s="53">
        <f t="shared" si="1"/>
        <v>0</v>
      </c>
      <c r="P57" s="53">
        <f t="shared" si="2"/>
        <v>0</v>
      </c>
      <c r="Q57" s="53"/>
      <c r="R57" s="53"/>
      <c r="S57" s="53">
        <f t="shared" si="3"/>
        <v>0</v>
      </c>
      <c r="T57" s="53">
        <f t="shared" si="4"/>
        <v>0</v>
      </c>
      <c r="U57" s="53"/>
      <c r="V57" s="53"/>
      <c r="W57" s="53">
        <f t="shared" si="5"/>
        <v>0</v>
      </c>
      <c r="X57" s="53">
        <f t="shared" si="6"/>
        <v>0</v>
      </c>
      <c r="Y57" s="53"/>
      <c r="Z57" s="53"/>
      <c r="AA57" s="53">
        <f t="shared" si="7"/>
        <v>0</v>
      </c>
      <c r="AB57" s="53">
        <f t="shared" si="8"/>
        <v>0</v>
      </c>
      <c r="AC57" s="53"/>
      <c r="AD57" s="53"/>
      <c r="AE57" s="53">
        <f t="shared" si="9"/>
        <v>0</v>
      </c>
      <c r="AF57" s="53">
        <f t="shared" si="10"/>
        <v>0</v>
      </c>
      <c r="AG57" s="53"/>
      <c r="AH57" s="53"/>
      <c r="AI57" s="53">
        <f t="shared" si="11"/>
        <v>0</v>
      </c>
      <c r="AJ57" s="53">
        <f t="shared" si="12"/>
        <v>0</v>
      </c>
      <c r="AK57" s="53"/>
      <c r="AL57" s="53"/>
      <c r="AM57" s="53">
        <f t="shared" si="13"/>
        <v>0</v>
      </c>
      <c r="AN57" s="53">
        <f t="shared" si="14"/>
        <v>0</v>
      </c>
      <c r="AO57" s="53"/>
      <c r="AP57" s="53"/>
      <c r="AQ57" s="53">
        <f t="shared" si="15"/>
        <v>0</v>
      </c>
      <c r="AR57" s="53">
        <f t="shared" si="16"/>
        <v>0</v>
      </c>
      <c r="AS57" s="53"/>
      <c r="AT57" s="53"/>
      <c r="AU57" s="53">
        <f t="shared" si="17"/>
        <v>0</v>
      </c>
      <c r="AV57" s="53">
        <f t="shared" si="18"/>
        <v>0</v>
      </c>
      <c r="AW57" s="53"/>
      <c r="AX57" s="53"/>
      <c r="AY57" s="53">
        <f t="shared" si="19"/>
        <v>0</v>
      </c>
      <c r="AZ57" s="53">
        <f t="shared" si="20"/>
        <v>0</v>
      </c>
      <c r="BA57" s="53"/>
      <c r="BB57" s="53"/>
      <c r="BC57" s="53">
        <f t="shared" si="21"/>
        <v>0</v>
      </c>
      <c r="BD57" s="53">
        <f t="shared" si="22"/>
        <v>0</v>
      </c>
      <c r="BE57" s="53"/>
      <c r="BF57" s="53"/>
      <c r="BG57" s="53">
        <f t="shared" si="23"/>
        <v>0</v>
      </c>
      <c r="BH57" s="53">
        <f t="shared" si="24"/>
        <v>0</v>
      </c>
      <c r="BI57" s="53"/>
      <c r="BJ57" s="53"/>
      <c r="BK57" s="53">
        <f t="shared" si="25"/>
        <v>0</v>
      </c>
      <c r="BL57" s="53">
        <f t="shared" si="26"/>
        <v>0</v>
      </c>
      <c r="BM57" s="54"/>
    </row>
    <row r="58" spans="1:65" ht="12.75">
      <c r="A58" s="49">
        <f>CALENDARIO!A58</f>
        <v>57</v>
      </c>
      <c r="B58" s="50">
        <f>CALENDARIO!B58</f>
        <v>46198</v>
      </c>
      <c r="C58" s="51">
        <f>CALENDARIO!C58</f>
        <v>0.83333333333333337</v>
      </c>
      <c r="D58" s="52" t="str">
        <f>CALENDARIO!D58</f>
        <v>Japão</v>
      </c>
      <c r="E58" s="52">
        <f>CALENDARIO!E58</f>
        <v>0</v>
      </c>
      <c r="F58" s="49" t="str">
        <f>CALENDARIO!F58</f>
        <v>x</v>
      </c>
      <c r="G58" s="49">
        <f>CALENDARIO!G58</f>
        <v>0</v>
      </c>
      <c r="H58" s="52" t="str">
        <f>CALENDARIO!H58</f>
        <v>Suécia</v>
      </c>
      <c r="I58" s="53"/>
      <c r="J58" s="53"/>
      <c r="K58" s="53">
        <f t="shared" si="27"/>
        <v>0</v>
      </c>
      <c r="L58" s="53">
        <f t="shared" si="0"/>
        <v>0</v>
      </c>
      <c r="M58" s="53"/>
      <c r="N58" s="53"/>
      <c r="O58" s="53">
        <f t="shared" si="1"/>
        <v>0</v>
      </c>
      <c r="P58" s="53">
        <f t="shared" si="2"/>
        <v>0</v>
      </c>
      <c r="Q58" s="53"/>
      <c r="R58" s="53"/>
      <c r="S58" s="53">
        <f t="shared" si="3"/>
        <v>0</v>
      </c>
      <c r="T58" s="53">
        <f t="shared" si="4"/>
        <v>0</v>
      </c>
      <c r="U58" s="53"/>
      <c r="V58" s="53"/>
      <c r="W58" s="53">
        <f t="shared" si="5"/>
        <v>0</v>
      </c>
      <c r="X58" s="53">
        <f t="shared" si="6"/>
        <v>0</v>
      </c>
      <c r="Y58" s="53"/>
      <c r="Z58" s="53"/>
      <c r="AA58" s="53">
        <f t="shared" si="7"/>
        <v>0</v>
      </c>
      <c r="AB58" s="53">
        <f t="shared" si="8"/>
        <v>0</v>
      </c>
      <c r="AC58" s="53"/>
      <c r="AD58" s="53"/>
      <c r="AE58" s="53">
        <f t="shared" si="9"/>
        <v>0</v>
      </c>
      <c r="AF58" s="53">
        <f t="shared" si="10"/>
        <v>0</v>
      </c>
      <c r="AG58" s="53"/>
      <c r="AH58" s="53"/>
      <c r="AI58" s="53">
        <f t="shared" si="11"/>
        <v>0</v>
      </c>
      <c r="AJ58" s="53">
        <f t="shared" si="12"/>
        <v>0</v>
      </c>
      <c r="AK58" s="53"/>
      <c r="AL58" s="53"/>
      <c r="AM58" s="53">
        <f t="shared" si="13"/>
        <v>0</v>
      </c>
      <c r="AN58" s="53">
        <f t="shared" si="14"/>
        <v>0</v>
      </c>
      <c r="AO58" s="53"/>
      <c r="AP58" s="53"/>
      <c r="AQ58" s="53">
        <f t="shared" si="15"/>
        <v>0</v>
      </c>
      <c r="AR58" s="53">
        <f t="shared" si="16"/>
        <v>0</v>
      </c>
      <c r="AS58" s="53"/>
      <c r="AT58" s="53"/>
      <c r="AU58" s="53">
        <f t="shared" si="17"/>
        <v>0</v>
      </c>
      <c r="AV58" s="53">
        <f t="shared" si="18"/>
        <v>0</v>
      </c>
      <c r="AW58" s="53"/>
      <c r="AX58" s="53"/>
      <c r="AY58" s="53">
        <f t="shared" si="19"/>
        <v>0</v>
      </c>
      <c r="AZ58" s="53">
        <f t="shared" si="20"/>
        <v>0</v>
      </c>
      <c r="BA58" s="53"/>
      <c r="BB58" s="53"/>
      <c r="BC58" s="53">
        <f t="shared" si="21"/>
        <v>0</v>
      </c>
      <c r="BD58" s="53">
        <f t="shared" si="22"/>
        <v>0</v>
      </c>
      <c r="BE58" s="53"/>
      <c r="BF58" s="53"/>
      <c r="BG58" s="53">
        <f t="shared" si="23"/>
        <v>0</v>
      </c>
      <c r="BH58" s="53">
        <f t="shared" si="24"/>
        <v>0</v>
      </c>
      <c r="BI58" s="53"/>
      <c r="BJ58" s="53"/>
      <c r="BK58" s="53">
        <f t="shared" si="25"/>
        <v>0</v>
      </c>
      <c r="BL58" s="53">
        <f t="shared" si="26"/>
        <v>0</v>
      </c>
      <c r="BM58" s="54"/>
    </row>
    <row r="59" spans="1:65" ht="12.75">
      <c r="A59" s="49">
        <f>CALENDARIO!A59</f>
        <v>58</v>
      </c>
      <c r="B59" s="50">
        <f>CALENDARIO!B59</f>
        <v>46198</v>
      </c>
      <c r="C59" s="51">
        <f>CALENDARIO!C59</f>
        <v>0.83333333333333337</v>
      </c>
      <c r="D59" s="52" t="str">
        <f>CALENDARIO!D59</f>
        <v>Tunísia</v>
      </c>
      <c r="E59" s="52">
        <f>CALENDARIO!E59</f>
        <v>0</v>
      </c>
      <c r="F59" s="49" t="str">
        <f>CALENDARIO!F59</f>
        <v>x</v>
      </c>
      <c r="G59" s="49">
        <f>CALENDARIO!G59</f>
        <v>0</v>
      </c>
      <c r="H59" s="52" t="str">
        <f>CALENDARIO!H59</f>
        <v>Holanda</v>
      </c>
      <c r="I59" s="53"/>
      <c r="J59" s="53"/>
      <c r="K59" s="53">
        <f t="shared" si="27"/>
        <v>0</v>
      </c>
      <c r="L59" s="53">
        <f t="shared" si="0"/>
        <v>0</v>
      </c>
      <c r="M59" s="53"/>
      <c r="N59" s="53"/>
      <c r="O59" s="53">
        <f t="shared" si="1"/>
        <v>0</v>
      </c>
      <c r="P59" s="53">
        <f t="shared" si="2"/>
        <v>0</v>
      </c>
      <c r="Q59" s="53"/>
      <c r="R59" s="53"/>
      <c r="S59" s="53">
        <f t="shared" si="3"/>
        <v>0</v>
      </c>
      <c r="T59" s="53">
        <f t="shared" si="4"/>
        <v>0</v>
      </c>
      <c r="U59" s="53"/>
      <c r="V59" s="53"/>
      <c r="W59" s="53">
        <f t="shared" si="5"/>
        <v>0</v>
      </c>
      <c r="X59" s="53">
        <f t="shared" si="6"/>
        <v>0</v>
      </c>
      <c r="Y59" s="53"/>
      <c r="Z59" s="53"/>
      <c r="AA59" s="53">
        <f t="shared" si="7"/>
        <v>0</v>
      </c>
      <c r="AB59" s="53">
        <f t="shared" si="8"/>
        <v>0</v>
      </c>
      <c r="AC59" s="53"/>
      <c r="AD59" s="53"/>
      <c r="AE59" s="53">
        <f t="shared" si="9"/>
        <v>0</v>
      </c>
      <c r="AF59" s="53">
        <f t="shared" si="10"/>
        <v>0</v>
      </c>
      <c r="AG59" s="53"/>
      <c r="AH59" s="53"/>
      <c r="AI59" s="53">
        <f t="shared" si="11"/>
        <v>0</v>
      </c>
      <c r="AJ59" s="53">
        <f t="shared" si="12"/>
        <v>0</v>
      </c>
      <c r="AK59" s="53"/>
      <c r="AL59" s="53"/>
      <c r="AM59" s="53">
        <f t="shared" si="13"/>
        <v>0</v>
      </c>
      <c r="AN59" s="53">
        <f t="shared" si="14"/>
        <v>0</v>
      </c>
      <c r="AO59" s="53"/>
      <c r="AP59" s="53"/>
      <c r="AQ59" s="53">
        <f t="shared" si="15"/>
        <v>0</v>
      </c>
      <c r="AR59" s="53">
        <f t="shared" si="16"/>
        <v>0</v>
      </c>
      <c r="AS59" s="53"/>
      <c r="AT59" s="53"/>
      <c r="AU59" s="53">
        <f t="shared" si="17"/>
        <v>0</v>
      </c>
      <c r="AV59" s="53">
        <f t="shared" si="18"/>
        <v>0</v>
      </c>
      <c r="AW59" s="53"/>
      <c r="AX59" s="53"/>
      <c r="AY59" s="53">
        <f t="shared" si="19"/>
        <v>0</v>
      </c>
      <c r="AZ59" s="53">
        <f t="shared" si="20"/>
        <v>0</v>
      </c>
      <c r="BA59" s="53"/>
      <c r="BB59" s="53"/>
      <c r="BC59" s="53">
        <f t="shared" si="21"/>
        <v>0</v>
      </c>
      <c r="BD59" s="53">
        <f t="shared" si="22"/>
        <v>0</v>
      </c>
      <c r="BE59" s="53"/>
      <c r="BF59" s="53"/>
      <c r="BG59" s="53">
        <f t="shared" si="23"/>
        <v>0</v>
      </c>
      <c r="BH59" s="53">
        <f t="shared" si="24"/>
        <v>0</v>
      </c>
      <c r="BI59" s="53"/>
      <c r="BJ59" s="53"/>
      <c r="BK59" s="53">
        <f t="shared" si="25"/>
        <v>0</v>
      </c>
      <c r="BL59" s="53">
        <f t="shared" si="26"/>
        <v>0</v>
      </c>
      <c r="BM59" s="54"/>
    </row>
    <row r="60" spans="1:65" ht="12.75">
      <c r="A60" s="49">
        <f>CALENDARIO!A60</f>
        <v>59</v>
      </c>
      <c r="B60" s="50">
        <f>CALENDARIO!B60</f>
        <v>46198</v>
      </c>
      <c r="C60" s="51">
        <f>CALENDARIO!C60</f>
        <v>0.95833333333333337</v>
      </c>
      <c r="D60" s="52" t="str">
        <f>CALENDARIO!D60</f>
        <v>Turquia</v>
      </c>
      <c r="E60" s="52">
        <f>CALENDARIO!E60</f>
        <v>0</v>
      </c>
      <c r="F60" s="49" t="str">
        <f>CALENDARIO!F60</f>
        <v>x</v>
      </c>
      <c r="G60" s="49">
        <f>CALENDARIO!G60</f>
        <v>0</v>
      </c>
      <c r="H60" s="52" t="str">
        <f>CALENDARIO!H60</f>
        <v>Estados Unidos</v>
      </c>
      <c r="I60" s="53"/>
      <c r="J60" s="53"/>
      <c r="K60" s="53">
        <f t="shared" si="27"/>
        <v>0</v>
      </c>
      <c r="L60" s="53">
        <f t="shared" si="0"/>
        <v>0</v>
      </c>
      <c r="M60" s="53"/>
      <c r="N60" s="53"/>
      <c r="O60" s="53">
        <f t="shared" si="1"/>
        <v>0</v>
      </c>
      <c r="P60" s="53">
        <f t="shared" si="2"/>
        <v>0</v>
      </c>
      <c r="Q60" s="53"/>
      <c r="R60" s="53"/>
      <c r="S60" s="53">
        <f t="shared" si="3"/>
        <v>0</v>
      </c>
      <c r="T60" s="53">
        <f t="shared" si="4"/>
        <v>0</v>
      </c>
      <c r="U60" s="53"/>
      <c r="V60" s="53"/>
      <c r="W60" s="53">
        <f t="shared" si="5"/>
        <v>0</v>
      </c>
      <c r="X60" s="53">
        <f t="shared" si="6"/>
        <v>0</v>
      </c>
      <c r="Y60" s="53"/>
      <c r="Z60" s="53"/>
      <c r="AA60" s="53">
        <f t="shared" si="7"/>
        <v>0</v>
      </c>
      <c r="AB60" s="53">
        <f t="shared" si="8"/>
        <v>0</v>
      </c>
      <c r="AC60" s="53"/>
      <c r="AD60" s="53"/>
      <c r="AE60" s="53">
        <f t="shared" si="9"/>
        <v>0</v>
      </c>
      <c r="AF60" s="53">
        <f t="shared" si="10"/>
        <v>0</v>
      </c>
      <c r="AG60" s="53"/>
      <c r="AH60" s="53"/>
      <c r="AI60" s="53">
        <f t="shared" si="11"/>
        <v>0</v>
      </c>
      <c r="AJ60" s="53">
        <f t="shared" si="12"/>
        <v>0</v>
      </c>
      <c r="AK60" s="53"/>
      <c r="AL60" s="53"/>
      <c r="AM60" s="53">
        <f t="shared" si="13"/>
        <v>0</v>
      </c>
      <c r="AN60" s="53">
        <f t="shared" si="14"/>
        <v>0</v>
      </c>
      <c r="AO60" s="53"/>
      <c r="AP60" s="53"/>
      <c r="AQ60" s="53">
        <f t="shared" si="15"/>
        <v>0</v>
      </c>
      <c r="AR60" s="53">
        <f t="shared" si="16"/>
        <v>0</v>
      </c>
      <c r="AS60" s="53"/>
      <c r="AT60" s="53"/>
      <c r="AU60" s="53">
        <f t="shared" si="17"/>
        <v>0</v>
      </c>
      <c r="AV60" s="53">
        <f t="shared" si="18"/>
        <v>0</v>
      </c>
      <c r="AW60" s="53"/>
      <c r="AX60" s="53"/>
      <c r="AY60" s="53">
        <f t="shared" si="19"/>
        <v>0</v>
      </c>
      <c r="AZ60" s="53">
        <f t="shared" si="20"/>
        <v>0</v>
      </c>
      <c r="BA60" s="53"/>
      <c r="BB60" s="53"/>
      <c r="BC60" s="53">
        <f t="shared" si="21"/>
        <v>0</v>
      </c>
      <c r="BD60" s="53">
        <f t="shared" si="22"/>
        <v>0</v>
      </c>
      <c r="BE60" s="53"/>
      <c r="BF60" s="53"/>
      <c r="BG60" s="53">
        <f t="shared" si="23"/>
        <v>0</v>
      </c>
      <c r="BH60" s="53">
        <f t="shared" si="24"/>
        <v>0</v>
      </c>
      <c r="BI60" s="53"/>
      <c r="BJ60" s="53"/>
      <c r="BK60" s="53">
        <f t="shared" si="25"/>
        <v>0</v>
      </c>
      <c r="BL60" s="53">
        <f t="shared" si="26"/>
        <v>0</v>
      </c>
      <c r="BM60" s="54"/>
    </row>
    <row r="61" spans="1:65" ht="12.75">
      <c r="A61" s="49">
        <f>CALENDARIO!A61</f>
        <v>60</v>
      </c>
      <c r="B61" s="50">
        <f>CALENDARIO!B61</f>
        <v>46198</v>
      </c>
      <c r="C61" s="51">
        <f>CALENDARIO!C61</f>
        <v>0.95833333333333337</v>
      </c>
      <c r="D61" s="52" t="str">
        <f>CALENDARIO!D61</f>
        <v>Paraguai</v>
      </c>
      <c r="E61" s="52">
        <f>CALENDARIO!E61</f>
        <v>0</v>
      </c>
      <c r="F61" s="49" t="str">
        <f>CALENDARIO!F61</f>
        <v>x</v>
      </c>
      <c r="G61" s="49">
        <f>CALENDARIO!G61</f>
        <v>0</v>
      </c>
      <c r="H61" s="52" t="str">
        <f>CALENDARIO!H61</f>
        <v>Austrália</v>
      </c>
      <c r="I61" s="53"/>
      <c r="J61" s="53"/>
      <c r="K61" s="53">
        <f t="shared" si="27"/>
        <v>0</v>
      </c>
      <c r="L61" s="53">
        <f t="shared" si="0"/>
        <v>0</v>
      </c>
      <c r="M61" s="53"/>
      <c r="N61" s="53"/>
      <c r="O61" s="53">
        <f t="shared" si="1"/>
        <v>0</v>
      </c>
      <c r="P61" s="53">
        <f t="shared" si="2"/>
        <v>0</v>
      </c>
      <c r="Q61" s="53"/>
      <c r="R61" s="53"/>
      <c r="S61" s="53">
        <f t="shared" si="3"/>
        <v>0</v>
      </c>
      <c r="T61" s="53">
        <f t="shared" si="4"/>
        <v>0</v>
      </c>
      <c r="U61" s="53"/>
      <c r="V61" s="53"/>
      <c r="W61" s="53">
        <f t="shared" si="5"/>
        <v>0</v>
      </c>
      <c r="X61" s="53">
        <f t="shared" si="6"/>
        <v>0</v>
      </c>
      <c r="Y61" s="53"/>
      <c r="Z61" s="53"/>
      <c r="AA61" s="53">
        <f t="shared" si="7"/>
        <v>0</v>
      </c>
      <c r="AB61" s="53">
        <f t="shared" si="8"/>
        <v>0</v>
      </c>
      <c r="AC61" s="53"/>
      <c r="AD61" s="53"/>
      <c r="AE61" s="53">
        <f t="shared" si="9"/>
        <v>0</v>
      </c>
      <c r="AF61" s="53">
        <f t="shared" si="10"/>
        <v>0</v>
      </c>
      <c r="AG61" s="53"/>
      <c r="AH61" s="53"/>
      <c r="AI61" s="53">
        <f t="shared" si="11"/>
        <v>0</v>
      </c>
      <c r="AJ61" s="53">
        <f t="shared" si="12"/>
        <v>0</v>
      </c>
      <c r="AK61" s="53"/>
      <c r="AL61" s="53"/>
      <c r="AM61" s="53">
        <f t="shared" si="13"/>
        <v>0</v>
      </c>
      <c r="AN61" s="53">
        <f t="shared" si="14"/>
        <v>0</v>
      </c>
      <c r="AO61" s="53"/>
      <c r="AP61" s="53"/>
      <c r="AQ61" s="53">
        <f t="shared" si="15"/>
        <v>0</v>
      </c>
      <c r="AR61" s="53">
        <f t="shared" si="16"/>
        <v>0</v>
      </c>
      <c r="AS61" s="53"/>
      <c r="AT61" s="53"/>
      <c r="AU61" s="53">
        <f t="shared" si="17"/>
        <v>0</v>
      </c>
      <c r="AV61" s="53">
        <f t="shared" si="18"/>
        <v>0</v>
      </c>
      <c r="AW61" s="53"/>
      <c r="AX61" s="53"/>
      <c r="AY61" s="53">
        <f t="shared" si="19"/>
        <v>0</v>
      </c>
      <c r="AZ61" s="53">
        <f t="shared" si="20"/>
        <v>0</v>
      </c>
      <c r="BA61" s="53"/>
      <c r="BB61" s="53"/>
      <c r="BC61" s="53">
        <f t="shared" si="21"/>
        <v>0</v>
      </c>
      <c r="BD61" s="53">
        <f t="shared" si="22"/>
        <v>0</v>
      </c>
      <c r="BE61" s="53"/>
      <c r="BF61" s="53"/>
      <c r="BG61" s="53">
        <f t="shared" si="23"/>
        <v>0</v>
      </c>
      <c r="BH61" s="53">
        <f t="shared" si="24"/>
        <v>0</v>
      </c>
      <c r="BI61" s="53"/>
      <c r="BJ61" s="53"/>
      <c r="BK61" s="53">
        <f t="shared" si="25"/>
        <v>0</v>
      </c>
      <c r="BL61" s="53">
        <f t="shared" si="26"/>
        <v>0</v>
      </c>
      <c r="BM61" s="54"/>
    </row>
    <row r="62" spans="1:65" ht="12.75">
      <c r="A62" s="49">
        <f>CALENDARIO!A62</f>
        <v>61</v>
      </c>
      <c r="B62" s="50">
        <f>CALENDARIO!B62</f>
        <v>46199</v>
      </c>
      <c r="C62" s="51">
        <f>CALENDARIO!C62</f>
        <v>0.66666666666666663</v>
      </c>
      <c r="D62" s="52" t="str">
        <f>CALENDARIO!D62</f>
        <v>Noruega</v>
      </c>
      <c r="E62" s="52">
        <f>CALENDARIO!E62</f>
        <v>0</v>
      </c>
      <c r="F62" s="49" t="str">
        <f>CALENDARIO!F62</f>
        <v>x</v>
      </c>
      <c r="G62" s="49">
        <f>CALENDARIO!G62</f>
        <v>0</v>
      </c>
      <c r="H62" s="52" t="str">
        <f>CALENDARIO!H62</f>
        <v>França</v>
      </c>
      <c r="I62" s="53"/>
      <c r="J62" s="53"/>
      <c r="K62" s="53">
        <f t="shared" si="27"/>
        <v>0</v>
      </c>
      <c r="L62" s="53">
        <f t="shared" si="0"/>
        <v>0</v>
      </c>
      <c r="M62" s="53"/>
      <c r="N62" s="53"/>
      <c r="O62" s="53">
        <f t="shared" si="1"/>
        <v>0</v>
      </c>
      <c r="P62" s="53">
        <f t="shared" si="2"/>
        <v>0</v>
      </c>
      <c r="Q62" s="53"/>
      <c r="R62" s="53"/>
      <c r="S62" s="53">
        <f t="shared" si="3"/>
        <v>0</v>
      </c>
      <c r="T62" s="53">
        <f t="shared" si="4"/>
        <v>0</v>
      </c>
      <c r="U62" s="53"/>
      <c r="V62" s="53"/>
      <c r="W62" s="53">
        <f t="shared" si="5"/>
        <v>0</v>
      </c>
      <c r="X62" s="53">
        <f t="shared" si="6"/>
        <v>0</v>
      </c>
      <c r="Y62" s="53"/>
      <c r="Z62" s="53"/>
      <c r="AA62" s="53">
        <f t="shared" si="7"/>
        <v>0</v>
      </c>
      <c r="AB62" s="53">
        <f t="shared" si="8"/>
        <v>0</v>
      </c>
      <c r="AC62" s="53"/>
      <c r="AD62" s="53"/>
      <c r="AE62" s="53">
        <f t="shared" si="9"/>
        <v>0</v>
      </c>
      <c r="AF62" s="53">
        <f t="shared" si="10"/>
        <v>0</v>
      </c>
      <c r="AG62" s="53"/>
      <c r="AH62" s="53"/>
      <c r="AI62" s="53">
        <f t="shared" si="11"/>
        <v>0</v>
      </c>
      <c r="AJ62" s="53">
        <f t="shared" si="12"/>
        <v>0</v>
      </c>
      <c r="AK62" s="53"/>
      <c r="AL62" s="53"/>
      <c r="AM62" s="53">
        <f t="shared" si="13"/>
        <v>0</v>
      </c>
      <c r="AN62" s="53">
        <f t="shared" si="14"/>
        <v>0</v>
      </c>
      <c r="AO62" s="53"/>
      <c r="AP62" s="53"/>
      <c r="AQ62" s="53">
        <f t="shared" si="15"/>
        <v>0</v>
      </c>
      <c r="AR62" s="53">
        <f t="shared" si="16"/>
        <v>0</v>
      </c>
      <c r="AS62" s="53"/>
      <c r="AT62" s="53"/>
      <c r="AU62" s="53">
        <f t="shared" si="17"/>
        <v>0</v>
      </c>
      <c r="AV62" s="53">
        <f t="shared" si="18"/>
        <v>0</v>
      </c>
      <c r="AW62" s="53"/>
      <c r="AX62" s="53"/>
      <c r="AY62" s="53">
        <f t="shared" si="19"/>
        <v>0</v>
      </c>
      <c r="AZ62" s="53">
        <f t="shared" si="20"/>
        <v>0</v>
      </c>
      <c r="BA62" s="53"/>
      <c r="BB62" s="53"/>
      <c r="BC62" s="53">
        <f t="shared" si="21"/>
        <v>0</v>
      </c>
      <c r="BD62" s="53">
        <f t="shared" si="22"/>
        <v>0</v>
      </c>
      <c r="BE62" s="53"/>
      <c r="BF62" s="53"/>
      <c r="BG62" s="53">
        <f t="shared" si="23"/>
        <v>0</v>
      </c>
      <c r="BH62" s="53">
        <f t="shared" si="24"/>
        <v>0</v>
      </c>
      <c r="BI62" s="53"/>
      <c r="BJ62" s="53"/>
      <c r="BK62" s="53">
        <f t="shared" si="25"/>
        <v>0</v>
      </c>
      <c r="BL62" s="53">
        <f t="shared" si="26"/>
        <v>0</v>
      </c>
      <c r="BM62" s="54"/>
    </row>
    <row r="63" spans="1:65" ht="12.75">
      <c r="A63" s="49">
        <f>CALENDARIO!A63</f>
        <v>62</v>
      </c>
      <c r="B63" s="50">
        <f>CALENDARIO!B63</f>
        <v>46199</v>
      </c>
      <c r="C63" s="51">
        <f>CALENDARIO!C63</f>
        <v>0.66666666666666663</v>
      </c>
      <c r="D63" s="52" t="str">
        <f>CALENDARIO!D63</f>
        <v>Senegal</v>
      </c>
      <c r="E63" s="52">
        <f>CALENDARIO!E63</f>
        <v>0</v>
      </c>
      <c r="F63" s="49" t="str">
        <f>CALENDARIO!F63</f>
        <v>x</v>
      </c>
      <c r="G63" s="49">
        <f>CALENDARIO!G63</f>
        <v>0</v>
      </c>
      <c r="H63" s="52" t="str">
        <f>CALENDARIO!H63</f>
        <v>Iraque</v>
      </c>
      <c r="I63" s="53"/>
      <c r="J63" s="53"/>
      <c r="K63" s="53">
        <f t="shared" si="27"/>
        <v>0</v>
      </c>
      <c r="L63" s="53">
        <f t="shared" si="0"/>
        <v>0</v>
      </c>
      <c r="M63" s="53"/>
      <c r="N63" s="53"/>
      <c r="O63" s="53">
        <f t="shared" si="1"/>
        <v>0</v>
      </c>
      <c r="P63" s="53">
        <f t="shared" si="2"/>
        <v>0</v>
      </c>
      <c r="Q63" s="53"/>
      <c r="R63" s="53"/>
      <c r="S63" s="53">
        <f t="shared" si="3"/>
        <v>0</v>
      </c>
      <c r="T63" s="53">
        <f t="shared" si="4"/>
        <v>0</v>
      </c>
      <c r="U63" s="53"/>
      <c r="V63" s="53"/>
      <c r="W63" s="53">
        <f t="shared" si="5"/>
        <v>0</v>
      </c>
      <c r="X63" s="53">
        <f t="shared" si="6"/>
        <v>0</v>
      </c>
      <c r="Y63" s="53"/>
      <c r="Z63" s="53"/>
      <c r="AA63" s="53">
        <f t="shared" si="7"/>
        <v>0</v>
      </c>
      <c r="AB63" s="53">
        <f t="shared" si="8"/>
        <v>0</v>
      </c>
      <c r="AC63" s="53"/>
      <c r="AD63" s="53"/>
      <c r="AE63" s="53">
        <f t="shared" si="9"/>
        <v>0</v>
      </c>
      <c r="AF63" s="53">
        <f t="shared" si="10"/>
        <v>0</v>
      </c>
      <c r="AG63" s="53"/>
      <c r="AH63" s="53"/>
      <c r="AI63" s="53">
        <f t="shared" si="11"/>
        <v>0</v>
      </c>
      <c r="AJ63" s="53">
        <f t="shared" si="12"/>
        <v>0</v>
      </c>
      <c r="AK63" s="53"/>
      <c r="AL63" s="53"/>
      <c r="AM63" s="53">
        <f t="shared" si="13"/>
        <v>0</v>
      </c>
      <c r="AN63" s="53">
        <f t="shared" si="14"/>
        <v>0</v>
      </c>
      <c r="AO63" s="53"/>
      <c r="AP63" s="53"/>
      <c r="AQ63" s="53">
        <f t="shared" si="15"/>
        <v>0</v>
      </c>
      <c r="AR63" s="53">
        <f t="shared" si="16"/>
        <v>0</v>
      </c>
      <c r="AS63" s="53"/>
      <c r="AT63" s="53"/>
      <c r="AU63" s="53">
        <f t="shared" si="17"/>
        <v>0</v>
      </c>
      <c r="AV63" s="53">
        <f t="shared" si="18"/>
        <v>0</v>
      </c>
      <c r="AW63" s="53"/>
      <c r="AX63" s="53"/>
      <c r="AY63" s="53">
        <f t="shared" si="19"/>
        <v>0</v>
      </c>
      <c r="AZ63" s="53">
        <f t="shared" si="20"/>
        <v>0</v>
      </c>
      <c r="BA63" s="53"/>
      <c r="BB63" s="53"/>
      <c r="BC63" s="53">
        <f t="shared" si="21"/>
        <v>0</v>
      </c>
      <c r="BD63" s="53">
        <f t="shared" si="22"/>
        <v>0</v>
      </c>
      <c r="BE63" s="53"/>
      <c r="BF63" s="53"/>
      <c r="BG63" s="53">
        <f t="shared" si="23"/>
        <v>0</v>
      </c>
      <c r="BH63" s="53">
        <f t="shared" si="24"/>
        <v>0</v>
      </c>
      <c r="BI63" s="53"/>
      <c r="BJ63" s="53"/>
      <c r="BK63" s="53">
        <f t="shared" si="25"/>
        <v>0</v>
      </c>
      <c r="BL63" s="53">
        <f t="shared" si="26"/>
        <v>0</v>
      </c>
      <c r="BM63" s="54"/>
    </row>
    <row r="64" spans="1:65" ht="12.75">
      <c r="A64" s="49">
        <f>CALENDARIO!A64</f>
        <v>63</v>
      </c>
      <c r="B64" s="50">
        <f>CALENDARIO!B64</f>
        <v>46199</v>
      </c>
      <c r="C64" s="51">
        <f>CALENDARIO!C64</f>
        <v>0.875</v>
      </c>
      <c r="D64" s="52" t="str">
        <f>CALENDARIO!D64</f>
        <v>Cabo Verde</v>
      </c>
      <c r="E64" s="52">
        <f>CALENDARIO!E64</f>
        <v>0</v>
      </c>
      <c r="F64" s="49" t="str">
        <f>CALENDARIO!F64</f>
        <v>x</v>
      </c>
      <c r="G64" s="49">
        <f>CALENDARIO!G64</f>
        <v>0</v>
      </c>
      <c r="H64" s="52" t="str">
        <f>CALENDARIO!H64</f>
        <v>Arábia Saudita</v>
      </c>
      <c r="I64" s="53"/>
      <c r="J64" s="53"/>
      <c r="K64" s="53">
        <f t="shared" si="27"/>
        <v>0</v>
      </c>
      <c r="L64" s="53">
        <f t="shared" si="0"/>
        <v>0</v>
      </c>
      <c r="M64" s="53"/>
      <c r="N64" s="53"/>
      <c r="O64" s="53">
        <f t="shared" si="1"/>
        <v>0</v>
      </c>
      <c r="P64" s="53">
        <f t="shared" si="2"/>
        <v>0</v>
      </c>
      <c r="Q64" s="53"/>
      <c r="R64" s="53"/>
      <c r="S64" s="53">
        <f t="shared" si="3"/>
        <v>0</v>
      </c>
      <c r="T64" s="53">
        <f t="shared" si="4"/>
        <v>0</v>
      </c>
      <c r="U64" s="53"/>
      <c r="V64" s="53"/>
      <c r="W64" s="53">
        <f t="shared" si="5"/>
        <v>0</v>
      </c>
      <c r="X64" s="53">
        <f t="shared" si="6"/>
        <v>0</v>
      </c>
      <c r="Y64" s="53"/>
      <c r="Z64" s="53"/>
      <c r="AA64" s="53">
        <f t="shared" si="7"/>
        <v>0</v>
      </c>
      <c r="AB64" s="53">
        <f t="shared" si="8"/>
        <v>0</v>
      </c>
      <c r="AC64" s="53"/>
      <c r="AD64" s="53"/>
      <c r="AE64" s="53">
        <f t="shared" si="9"/>
        <v>0</v>
      </c>
      <c r="AF64" s="53">
        <f t="shared" si="10"/>
        <v>0</v>
      </c>
      <c r="AG64" s="53"/>
      <c r="AH64" s="53"/>
      <c r="AI64" s="53">
        <f t="shared" si="11"/>
        <v>0</v>
      </c>
      <c r="AJ64" s="53">
        <f t="shared" si="12"/>
        <v>0</v>
      </c>
      <c r="AK64" s="53"/>
      <c r="AL64" s="53"/>
      <c r="AM64" s="53">
        <f t="shared" si="13"/>
        <v>0</v>
      </c>
      <c r="AN64" s="53">
        <f t="shared" si="14"/>
        <v>0</v>
      </c>
      <c r="AO64" s="53"/>
      <c r="AP64" s="53"/>
      <c r="AQ64" s="53">
        <f t="shared" si="15"/>
        <v>0</v>
      </c>
      <c r="AR64" s="53">
        <f t="shared" si="16"/>
        <v>0</v>
      </c>
      <c r="AS64" s="53"/>
      <c r="AT64" s="53"/>
      <c r="AU64" s="53">
        <f t="shared" si="17"/>
        <v>0</v>
      </c>
      <c r="AV64" s="53">
        <f t="shared" si="18"/>
        <v>0</v>
      </c>
      <c r="AW64" s="53"/>
      <c r="AX64" s="53"/>
      <c r="AY64" s="53">
        <f t="shared" si="19"/>
        <v>0</v>
      </c>
      <c r="AZ64" s="53">
        <f t="shared" si="20"/>
        <v>0</v>
      </c>
      <c r="BA64" s="53"/>
      <c r="BB64" s="53"/>
      <c r="BC64" s="53">
        <f t="shared" si="21"/>
        <v>0</v>
      </c>
      <c r="BD64" s="53">
        <f t="shared" si="22"/>
        <v>0</v>
      </c>
      <c r="BE64" s="53"/>
      <c r="BF64" s="53"/>
      <c r="BG64" s="53">
        <f t="shared" si="23"/>
        <v>0</v>
      </c>
      <c r="BH64" s="53">
        <f t="shared" si="24"/>
        <v>0</v>
      </c>
      <c r="BI64" s="53"/>
      <c r="BJ64" s="53"/>
      <c r="BK64" s="53">
        <f t="shared" si="25"/>
        <v>0</v>
      </c>
      <c r="BL64" s="53">
        <f t="shared" si="26"/>
        <v>0</v>
      </c>
      <c r="BM64" s="54"/>
    </row>
    <row r="65" spans="1:65" ht="12.75">
      <c r="A65" s="49">
        <f>CALENDARIO!A65</f>
        <v>64</v>
      </c>
      <c r="B65" s="50">
        <f>CALENDARIO!B65</f>
        <v>46199</v>
      </c>
      <c r="C65" s="51">
        <f>CALENDARIO!C65</f>
        <v>0.875</v>
      </c>
      <c r="D65" s="52" t="str">
        <f>CALENDARIO!D65</f>
        <v>Uruguai</v>
      </c>
      <c r="E65" s="52">
        <f>CALENDARIO!E65</f>
        <v>0</v>
      </c>
      <c r="F65" s="49" t="str">
        <f>CALENDARIO!F65</f>
        <v>x</v>
      </c>
      <c r="G65" s="49">
        <f>CALENDARIO!G65</f>
        <v>0</v>
      </c>
      <c r="H65" s="52" t="str">
        <f>CALENDARIO!H65</f>
        <v>Espanha</v>
      </c>
      <c r="I65" s="53"/>
      <c r="J65" s="53"/>
      <c r="K65" s="53">
        <f t="shared" si="27"/>
        <v>0</v>
      </c>
      <c r="L65" s="53">
        <f t="shared" si="0"/>
        <v>0</v>
      </c>
      <c r="M65" s="53"/>
      <c r="N65" s="53"/>
      <c r="O65" s="53">
        <f t="shared" si="1"/>
        <v>0</v>
      </c>
      <c r="P65" s="53">
        <f t="shared" si="2"/>
        <v>0</v>
      </c>
      <c r="Q65" s="53"/>
      <c r="R65" s="53"/>
      <c r="S65" s="53">
        <f t="shared" si="3"/>
        <v>0</v>
      </c>
      <c r="T65" s="53">
        <f t="shared" si="4"/>
        <v>0</v>
      </c>
      <c r="U65" s="53"/>
      <c r="V65" s="53"/>
      <c r="W65" s="53">
        <f t="shared" si="5"/>
        <v>0</v>
      </c>
      <c r="X65" s="53">
        <f t="shared" si="6"/>
        <v>0</v>
      </c>
      <c r="Y65" s="53"/>
      <c r="Z65" s="53"/>
      <c r="AA65" s="53">
        <f t="shared" si="7"/>
        <v>0</v>
      </c>
      <c r="AB65" s="53">
        <f t="shared" si="8"/>
        <v>0</v>
      </c>
      <c r="AC65" s="53"/>
      <c r="AD65" s="53"/>
      <c r="AE65" s="53">
        <f t="shared" si="9"/>
        <v>0</v>
      </c>
      <c r="AF65" s="53">
        <f t="shared" si="10"/>
        <v>0</v>
      </c>
      <c r="AG65" s="53"/>
      <c r="AH65" s="53"/>
      <c r="AI65" s="53">
        <f t="shared" si="11"/>
        <v>0</v>
      </c>
      <c r="AJ65" s="53">
        <f t="shared" si="12"/>
        <v>0</v>
      </c>
      <c r="AK65" s="53"/>
      <c r="AL65" s="53"/>
      <c r="AM65" s="53">
        <f t="shared" si="13"/>
        <v>0</v>
      </c>
      <c r="AN65" s="53">
        <f t="shared" si="14"/>
        <v>0</v>
      </c>
      <c r="AO65" s="53"/>
      <c r="AP65" s="53"/>
      <c r="AQ65" s="53">
        <f t="shared" si="15"/>
        <v>0</v>
      </c>
      <c r="AR65" s="53">
        <f t="shared" si="16"/>
        <v>0</v>
      </c>
      <c r="AS65" s="53"/>
      <c r="AT65" s="53"/>
      <c r="AU65" s="53">
        <f t="shared" si="17"/>
        <v>0</v>
      </c>
      <c r="AV65" s="53">
        <f t="shared" si="18"/>
        <v>0</v>
      </c>
      <c r="AW65" s="53"/>
      <c r="AX65" s="53"/>
      <c r="AY65" s="53">
        <f t="shared" si="19"/>
        <v>0</v>
      </c>
      <c r="AZ65" s="53">
        <f t="shared" si="20"/>
        <v>0</v>
      </c>
      <c r="BA65" s="53"/>
      <c r="BB65" s="53"/>
      <c r="BC65" s="53">
        <f t="shared" si="21"/>
        <v>0</v>
      </c>
      <c r="BD65" s="53">
        <f t="shared" si="22"/>
        <v>0</v>
      </c>
      <c r="BE65" s="53"/>
      <c r="BF65" s="53"/>
      <c r="BG65" s="53">
        <f t="shared" si="23"/>
        <v>0</v>
      </c>
      <c r="BH65" s="53">
        <f t="shared" si="24"/>
        <v>0</v>
      </c>
      <c r="BI65" s="53"/>
      <c r="BJ65" s="53"/>
      <c r="BK65" s="53">
        <f t="shared" si="25"/>
        <v>0</v>
      </c>
      <c r="BL65" s="53">
        <f t="shared" si="26"/>
        <v>0</v>
      </c>
      <c r="BM65" s="54"/>
    </row>
    <row r="66" spans="1:65" ht="12.75">
      <c r="A66" s="49">
        <f>CALENDARIO!A66</f>
        <v>65</v>
      </c>
      <c r="B66" s="50">
        <f>CALENDARIO!B66</f>
        <v>46200</v>
      </c>
      <c r="C66" s="51">
        <f>CALENDARIO!C66</f>
        <v>0</v>
      </c>
      <c r="D66" s="52" t="str">
        <f>CALENDARIO!D66</f>
        <v>Egito</v>
      </c>
      <c r="E66" s="52">
        <f>CALENDARIO!E66</f>
        <v>0</v>
      </c>
      <c r="F66" s="49" t="str">
        <f>CALENDARIO!F66</f>
        <v>x</v>
      </c>
      <c r="G66" s="49">
        <f>CALENDARIO!G66</f>
        <v>0</v>
      </c>
      <c r="H66" s="52" t="str">
        <f>CALENDARIO!H66</f>
        <v>Irã</v>
      </c>
      <c r="I66" s="53"/>
      <c r="J66" s="53"/>
      <c r="K66" s="53">
        <f t="shared" si="27"/>
        <v>0</v>
      </c>
      <c r="L66" s="53">
        <f t="shared" si="0"/>
        <v>0</v>
      </c>
      <c r="M66" s="53"/>
      <c r="N66" s="53"/>
      <c r="O66" s="53">
        <f t="shared" si="1"/>
        <v>0</v>
      </c>
      <c r="P66" s="53">
        <f t="shared" si="2"/>
        <v>0</v>
      </c>
      <c r="Q66" s="53"/>
      <c r="R66" s="53"/>
      <c r="S66" s="53">
        <f t="shared" si="3"/>
        <v>0</v>
      </c>
      <c r="T66" s="53">
        <f t="shared" si="4"/>
        <v>0</v>
      </c>
      <c r="U66" s="53"/>
      <c r="V66" s="53"/>
      <c r="W66" s="53">
        <f t="shared" si="5"/>
        <v>0</v>
      </c>
      <c r="X66" s="53">
        <f t="shared" si="6"/>
        <v>0</v>
      </c>
      <c r="Y66" s="53"/>
      <c r="Z66" s="53"/>
      <c r="AA66" s="53">
        <f t="shared" si="7"/>
        <v>0</v>
      </c>
      <c r="AB66" s="53">
        <f t="shared" si="8"/>
        <v>0</v>
      </c>
      <c r="AC66" s="53"/>
      <c r="AD66" s="53"/>
      <c r="AE66" s="53">
        <f t="shared" si="9"/>
        <v>0</v>
      </c>
      <c r="AF66" s="53">
        <f t="shared" si="10"/>
        <v>0</v>
      </c>
      <c r="AG66" s="53"/>
      <c r="AH66" s="53"/>
      <c r="AI66" s="53">
        <f t="shared" si="11"/>
        <v>0</v>
      </c>
      <c r="AJ66" s="53">
        <f t="shared" si="12"/>
        <v>0</v>
      </c>
      <c r="AK66" s="53"/>
      <c r="AL66" s="53"/>
      <c r="AM66" s="53">
        <f t="shared" si="13"/>
        <v>0</v>
      </c>
      <c r="AN66" s="53">
        <f t="shared" si="14"/>
        <v>0</v>
      </c>
      <c r="AO66" s="53"/>
      <c r="AP66" s="53"/>
      <c r="AQ66" s="53">
        <f t="shared" si="15"/>
        <v>0</v>
      </c>
      <c r="AR66" s="53">
        <f t="shared" si="16"/>
        <v>0</v>
      </c>
      <c r="AS66" s="53"/>
      <c r="AT66" s="53"/>
      <c r="AU66" s="53">
        <f t="shared" si="17"/>
        <v>0</v>
      </c>
      <c r="AV66" s="53">
        <f t="shared" si="18"/>
        <v>0</v>
      </c>
      <c r="AW66" s="53"/>
      <c r="AX66" s="53"/>
      <c r="AY66" s="53">
        <f t="shared" si="19"/>
        <v>0</v>
      </c>
      <c r="AZ66" s="53">
        <f t="shared" si="20"/>
        <v>0</v>
      </c>
      <c r="BA66" s="53"/>
      <c r="BB66" s="53"/>
      <c r="BC66" s="53">
        <f t="shared" si="21"/>
        <v>0</v>
      </c>
      <c r="BD66" s="53">
        <f t="shared" si="22"/>
        <v>0</v>
      </c>
      <c r="BE66" s="53"/>
      <c r="BF66" s="53"/>
      <c r="BG66" s="53">
        <f t="shared" si="23"/>
        <v>0</v>
      </c>
      <c r="BH66" s="53">
        <f t="shared" si="24"/>
        <v>0</v>
      </c>
      <c r="BI66" s="53"/>
      <c r="BJ66" s="53"/>
      <c r="BK66" s="53">
        <f t="shared" si="25"/>
        <v>0</v>
      </c>
      <c r="BL66" s="53">
        <f t="shared" si="26"/>
        <v>0</v>
      </c>
      <c r="BM66" s="54"/>
    </row>
    <row r="67" spans="1:65" ht="12.75">
      <c r="A67" s="49">
        <f>CALENDARIO!A67</f>
        <v>66</v>
      </c>
      <c r="B67" s="50">
        <f>CALENDARIO!B67</f>
        <v>46200</v>
      </c>
      <c r="C67" s="51">
        <f>CALENDARIO!C67</f>
        <v>0</v>
      </c>
      <c r="D67" s="52" t="str">
        <f>CALENDARIO!D67</f>
        <v>Nova Zelândia</v>
      </c>
      <c r="E67" s="52">
        <f>CALENDARIO!E67</f>
        <v>0</v>
      </c>
      <c r="F67" s="49" t="str">
        <f>CALENDARIO!F67</f>
        <v>x</v>
      </c>
      <c r="G67" s="49">
        <f>CALENDARIO!G67</f>
        <v>0</v>
      </c>
      <c r="H67" s="52" t="str">
        <f>CALENDARIO!H67</f>
        <v>Bélgica</v>
      </c>
      <c r="I67" s="53"/>
      <c r="J67" s="53"/>
      <c r="K67" s="53">
        <f t="shared" si="27"/>
        <v>0</v>
      </c>
      <c r="L67" s="53">
        <f t="shared" si="0"/>
        <v>0</v>
      </c>
      <c r="M67" s="53"/>
      <c r="N67" s="53"/>
      <c r="O67" s="53">
        <f t="shared" si="1"/>
        <v>0</v>
      </c>
      <c r="P67" s="53">
        <f t="shared" si="2"/>
        <v>0</v>
      </c>
      <c r="Q67" s="53"/>
      <c r="R67" s="53"/>
      <c r="S67" s="53">
        <f t="shared" si="3"/>
        <v>0</v>
      </c>
      <c r="T67" s="53">
        <f t="shared" si="4"/>
        <v>0</v>
      </c>
      <c r="U67" s="53"/>
      <c r="V67" s="53"/>
      <c r="W67" s="53">
        <f t="shared" si="5"/>
        <v>0</v>
      </c>
      <c r="X67" s="53">
        <f t="shared" si="6"/>
        <v>0</v>
      </c>
      <c r="Y67" s="53"/>
      <c r="Z67" s="53"/>
      <c r="AA67" s="53">
        <f t="shared" si="7"/>
        <v>0</v>
      </c>
      <c r="AB67" s="53">
        <f t="shared" si="8"/>
        <v>0</v>
      </c>
      <c r="AC67" s="53"/>
      <c r="AD67" s="53"/>
      <c r="AE67" s="53">
        <f t="shared" si="9"/>
        <v>0</v>
      </c>
      <c r="AF67" s="53">
        <f t="shared" si="10"/>
        <v>0</v>
      </c>
      <c r="AG67" s="53"/>
      <c r="AH67" s="53"/>
      <c r="AI67" s="53">
        <f t="shared" si="11"/>
        <v>0</v>
      </c>
      <c r="AJ67" s="53">
        <f t="shared" si="12"/>
        <v>0</v>
      </c>
      <c r="AK67" s="53"/>
      <c r="AL67" s="53"/>
      <c r="AM67" s="53">
        <f t="shared" si="13"/>
        <v>0</v>
      </c>
      <c r="AN67" s="53">
        <f t="shared" si="14"/>
        <v>0</v>
      </c>
      <c r="AO67" s="53"/>
      <c r="AP67" s="53"/>
      <c r="AQ67" s="53">
        <f t="shared" si="15"/>
        <v>0</v>
      </c>
      <c r="AR67" s="53">
        <f t="shared" si="16"/>
        <v>0</v>
      </c>
      <c r="AS67" s="53"/>
      <c r="AT67" s="53"/>
      <c r="AU67" s="53">
        <f t="shared" si="17"/>
        <v>0</v>
      </c>
      <c r="AV67" s="53">
        <f t="shared" si="18"/>
        <v>0</v>
      </c>
      <c r="AW67" s="53"/>
      <c r="AX67" s="53"/>
      <c r="AY67" s="53">
        <f t="shared" si="19"/>
        <v>0</v>
      </c>
      <c r="AZ67" s="53">
        <f t="shared" si="20"/>
        <v>0</v>
      </c>
      <c r="BA67" s="53"/>
      <c r="BB67" s="53"/>
      <c r="BC67" s="53">
        <f t="shared" si="21"/>
        <v>0</v>
      </c>
      <c r="BD67" s="53">
        <f t="shared" si="22"/>
        <v>0</v>
      </c>
      <c r="BE67" s="53"/>
      <c r="BF67" s="53"/>
      <c r="BG67" s="53">
        <f t="shared" si="23"/>
        <v>0</v>
      </c>
      <c r="BH67" s="53">
        <f t="shared" si="24"/>
        <v>0</v>
      </c>
      <c r="BI67" s="53"/>
      <c r="BJ67" s="53"/>
      <c r="BK67" s="53">
        <f t="shared" si="25"/>
        <v>0</v>
      </c>
      <c r="BL67" s="53">
        <f t="shared" si="26"/>
        <v>0</v>
      </c>
      <c r="BM67" s="54"/>
    </row>
    <row r="68" spans="1:65" ht="12.75">
      <c r="A68" s="49">
        <f>CALENDARIO!A68</f>
        <v>67</v>
      </c>
      <c r="B68" s="50">
        <f>CALENDARIO!B68</f>
        <v>46200</v>
      </c>
      <c r="C68" s="51">
        <f>CALENDARIO!C68</f>
        <v>0.75</v>
      </c>
      <c r="D68" s="52" t="str">
        <f>CALENDARIO!D68</f>
        <v>Panamá</v>
      </c>
      <c r="E68" s="52">
        <f>CALENDARIO!E68</f>
        <v>0</v>
      </c>
      <c r="F68" s="49" t="str">
        <f>CALENDARIO!F68</f>
        <v>x</v>
      </c>
      <c r="G68" s="49">
        <f>CALENDARIO!G68</f>
        <v>0</v>
      </c>
      <c r="H68" s="52" t="str">
        <f>CALENDARIO!H68</f>
        <v>Inglaterra</v>
      </c>
      <c r="I68" s="53"/>
      <c r="J68" s="53"/>
      <c r="K68" s="53">
        <f t="shared" si="27"/>
        <v>0</v>
      </c>
      <c r="L68" s="53">
        <f t="shared" si="0"/>
        <v>0</v>
      </c>
      <c r="M68" s="53"/>
      <c r="N68" s="53"/>
      <c r="O68" s="53">
        <f t="shared" si="1"/>
        <v>0</v>
      </c>
      <c r="P68" s="53">
        <f t="shared" si="2"/>
        <v>0</v>
      </c>
      <c r="Q68" s="53"/>
      <c r="R68" s="53"/>
      <c r="S68" s="53">
        <f t="shared" si="3"/>
        <v>0</v>
      </c>
      <c r="T68" s="53">
        <f t="shared" si="4"/>
        <v>0</v>
      </c>
      <c r="U68" s="53"/>
      <c r="V68" s="53"/>
      <c r="W68" s="53">
        <f t="shared" si="5"/>
        <v>0</v>
      </c>
      <c r="X68" s="53">
        <f t="shared" si="6"/>
        <v>0</v>
      </c>
      <c r="Y68" s="53"/>
      <c r="Z68" s="53"/>
      <c r="AA68" s="53">
        <f t="shared" si="7"/>
        <v>0</v>
      </c>
      <c r="AB68" s="53">
        <f t="shared" si="8"/>
        <v>0</v>
      </c>
      <c r="AC68" s="53"/>
      <c r="AD68" s="53"/>
      <c r="AE68" s="53">
        <f t="shared" si="9"/>
        <v>0</v>
      </c>
      <c r="AF68" s="53">
        <f t="shared" si="10"/>
        <v>0</v>
      </c>
      <c r="AG68" s="53"/>
      <c r="AH68" s="53"/>
      <c r="AI68" s="53">
        <f t="shared" si="11"/>
        <v>0</v>
      </c>
      <c r="AJ68" s="53">
        <f t="shared" si="12"/>
        <v>0</v>
      </c>
      <c r="AK68" s="53"/>
      <c r="AL68" s="53"/>
      <c r="AM68" s="53">
        <f t="shared" si="13"/>
        <v>0</v>
      </c>
      <c r="AN68" s="53">
        <f t="shared" si="14"/>
        <v>0</v>
      </c>
      <c r="AO68" s="53"/>
      <c r="AP68" s="53"/>
      <c r="AQ68" s="53">
        <f t="shared" si="15"/>
        <v>0</v>
      </c>
      <c r="AR68" s="53">
        <f t="shared" si="16"/>
        <v>0</v>
      </c>
      <c r="AS68" s="53"/>
      <c r="AT68" s="53"/>
      <c r="AU68" s="53">
        <f t="shared" si="17"/>
        <v>0</v>
      </c>
      <c r="AV68" s="53">
        <f t="shared" si="18"/>
        <v>0</v>
      </c>
      <c r="AW68" s="53"/>
      <c r="AX68" s="53"/>
      <c r="AY68" s="53">
        <f t="shared" si="19"/>
        <v>0</v>
      </c>
      <c r="AZ68" s="53">
        <f t="shared" si="20"/>
        <v>0</v>
      </c>
      <c r="BA68" s="53"/>
      <c r="BB68" s="53"/>
      <c r="BC68" s="53">
        <f t="shared" si="21"/>
        <v>0</v>
      </c>
      <c r="BD68" s="53">
        <f t="shared" si="22"/>
        <v>0</v>
      </c>
      <c r="BE68" s="53"/>
      <c r="BF68" s="53"/>
      <c r="BG68" s="53">
        <f t="shared" si="23"/>
        <v>0</v>
      </c>
      <c r="BH68" s="53">
        <f t="shared" si="24"/>
        <v>0</v>
      </c>
      <c r="BI68" s="53"/>
      <c r="BJ68" s="53"/>
      <c r="BK68" s="53">
        <f t="shared" si="25"/>
        <v>0</v>
      </c>
      <c r="BL68" s="53">
        <f t="shared" si="26"/>
        <v>0</v>
      </c>
      <c r="BM68" s="54"/>
    </row>
    <row r="69" spans="1:65" ht="12.75">
      <c r="A69" s="49">
        <f>CALENDARIO!A69</f>
        <v>68</v>
      </c>
      <c r="B69" s="50">
        <f>CALENDARIO!B69</f>
        <v>46200</v>
      </c>
      <c r="C69" s="51">
        <f>CALENDARIO!C69</f>
        <v>0.75</v>
      </c>
      <c r="D69" s="52" t="str">
        <f>CALENDARIO!D69</f>
        <v>Croácia</v>
      </c>
      <c r="E69" s="52">
        <f>CALENDARIO!E69</f>
        <v>0</v>
      </c>
      <c r="F69" s="49" t="str">
        <f>CALENDARIO!F69</f>
        <v>x</v>
      </c>
      <c r="G69" s="49">
        <f>CALENDARIO!G69</f>
        <v>0</v>
      </c>
      <c r="H69" s="52" t="str">
        <f>CALENDARIO!H69</f>
        <v>Gana</v>
      </c>
      <c r="I69" s="53"/>
      <c r="J69" s="53"/>
      <c r="K69" s="53">
        <f t="shared" si="27"/>
        <v>0</v>
      </c>
      <c r="L69" s="53">
        <f t="shared" si="0"/>
        <v>0</v>
      </c>
      <c r="M69" s="53"/>
      <c r="N69" s="53"/>
      <c r="O69" s="53">
        <f t="shared" si="1"/>
        <v>0</v>
      </c>
      <c r="P69" s="53">
        <f t="shared" si="2"/>
        <v>0</v>
      </c>
      <c r="Q69" s="53"/>
      <c r="R69" s="53"/>
      <c r="S69" s="53">
        <f t="shared" si="3"/>
        <v>0</v>
      </c>
      <c r="T69" s="53">
        <f t="shared" si="4"/>
        <v>0</v>
      </c>
      <c r="U69" s="53"/>
      <c r="V69" s="53"/>
      <c r="W69" s="53">
        <f t="shared" si="5"/>
        <v>0</v>
      </c>
      <c r="X69" s="53">
        <f t="shared" si="6"/>
        <v>0</v>
      </c>
      <c r="Y69" s="53"/>
      <c r="Z69" s="53"/>
      <c r="AA69" s="53">
        <f t="shared" si="7"/>
        <v>0</v>
      </c>
      <c r="AB69" s="53">
        <f t="shared" si="8"/>
        <v>0</v>
      </c>
      <c r="AC69" s="53"/>
      <c r="AD69" s="53"/>
      <c r="AE69" s="53">
        <f t="shared" si="9"/>
        <v>0</v>
      </c>
      <c r="AF69" s="53">
        <f t="shared" si="10"/>
        <v>0</v>
      </c>
      <c r="AG69" s="53"/>
      <c r="AH69" s="53"/>
      <c r="AI69" s="53">
        <f t="shared" si="11"/>
        <v>0</v>
      </c>
      <c r="AJ69" s="53">
        <f t="shared" si="12"/>
        <v>0</v>
      </c>
      <c r="AK69" s="53"/>
      <c r="AL69" s="53"/>
      <c r="AM69" s="53">
        <f t="shared" si="13"/>
        <v>0</v>
      </c>
      <c r="AN69" s="53">
        <f t="shared" si="14"/>
        <v>0</v>
      </c>
      <c r="AO69" s="53"/>
      <c r="AP69" s="53"/>
      <c r="AQ69" s="53">
        <f t="shared" si="15"/>
        <v>0</v>
      </c>
      <c r="AR69" s="53">
        <f t="shared" si="16"/>
        <v>0</v>
      </c>
      <c r="AS69" s="53"/>
      <c r="AT69" s="53"/>
      <c r="AU69" s="53">
        <f t="shared" si="17"/>
        <v>0</v>
      </c>
      <c r="AV69" s="53">
        <f t="shared" si="18"/>
        <v>0</v>
      </c>
      <c r="AW69" s="53"/>
      <c r="AX69" s="53"/>
      <c r="AY69" s="53">
        <f t="shared" si="19"/>
        <v>0</v>
      </c>
      <c r="AZ69" s="53">
        <f t="shared" si="20"/>
        <v>0</v>
      </c>
      <c r="BA69" s="53"/>
      <c r="BB69" s="53"/>
      <c r="BC69" s="53">
        <f t="shared" si="21"/>
        <v>0</v>
      </c>
      <c r="BD69" s="53">
        <f t="shared" si="22"/>
        <v>0</v>
      </c>
      <c r="BE69" s="53"/>
      <c r="BF69" s="53"/>
      <c r="BG69" s="53">
        <f t="shared" si="23"/>
        <v>0</v>
      </c>
      <c r="BH69" s="53">
        <f t="shared" si="24"/>
        <v>0</v>
      </c>
      <c r="BI69" s="53"/>
      <c r="BJ69" s="53"/>
      <c r="BK69" s="53">
        <f t="shared" si="25"/>
        <v>0</v>
      </c>
      <c r="BL69" s="53">
        <f t="shared" si="26"/>
        <v>0</v>
      </c>
      <c r="BM69" s="54"/>
    </row>
    <row r="70" spans="1:65" ht="12.75">
      <c r="A70" s="49">
        <f>CALENDARIO!A70</f>
        <v>69</v>
      </c>
      <c r="B70" s="50">
        <f>CALENDARIO!B70</f>
        <v>46200</v>
      </c>
      <c r="C70" s="51">
        <f>CALENDARIO!C70</f>
        <v>0.85416666666666663</v>
      </c>
      <c r="D70" s="52" t="str">
        <f>CALENDARIO!D70</f>
        <v>Colômbia</v>
      </c>
      <c r="E70" s="52">
        <f>CALENDARIO!E70</f>
        <v>0</v>
      </c>
      <c r="F70" s="49" t="str">
        <f>CALENDARIO!F70</f>
        <v>x</v>
      </c>
      <c r="G70" s="49">
        <f>CALENDARIO!G70</f>
        <v>0</v>
      </c>
      <c r="H70" s="52" t="str">
        <f>CALENDARIO!H70</f>
        <v>Portugal</v>
      </c>
      <c r="I70" s="53"/>
      <c r="J70" s="53"/>
      <c r="K70" s="53">
        <f t="shared" si="27"/>
        <v>0</v>
      </c>
      <c r="L70" s="53">
        <f t="shared" si="0"/>
        <v>0</v>
      </c>
      <c r="M70" s="53"/>
      <c r="N70" s="53"/>
      <c r="O70" s="53">
        <f t="shared" si="1"/>
        <v>0</v>
      </c>
      <c r="P70" s="53">
        <f t="shared" si="2"/>
        <v>0</v>
      </c>
      <c r="Q70" s="53"/>
      <c r="R70" s="53"/>
      <c r="S70" s="53">
        <f t="shared" si="3"/>
        <v>0</v>
      </c>
      <c r="T70" s="53">
        <f t="shared" si="4"/>
        <v>0</v>
      </c>
      <c r="U70" s="53"/>
      <c r="V70" s="53"/>
      <c r="W70" s="53">
        <f t="shared" si="5"/>
        <v>0</v>
      </c>
      <c r="X70" s="53">
        <f t="shared" si="6"/>
        <v>0</v>
      </c>
      <c r="Y70" s="53"/>
      <c r="Z70" s="53"/>
      <c r="AA70" s="53">
        <f t="shared" si="7"/>
        <v>0</v>
      </c>
      <c r="AB70" s="53">
        <f t="shared" si="8"/>
        <v>0</v>
      </c>
      <c r="AC70" s="53"/>
      <c r="AD70" s="53"/>
      <c r="AE70" s="53">
        <f t="shared" si="9"/>
        <v>0</v>
      </c>
      <c r="AF70" s="53">
        <f t="shared" si="10"/>
        <v>0</v>
      </c>
      <c r="AG70" s="53"/>
      <c r="AH70" s="53"/>
      <c r="AI70" s="53">
        <f t="shared" si="11"/>
        <v>0</v>
      </c>
      <c r="AJ70" s="53">
        <f t="shared" si="12"/>
        <v>0</v>
      </c>
      <c r="AK70" s="53"/>
      <c r="AL70" s="53"/>
      <c r="AM70" s="53">
        <f t="shared" si="13"/>
        <v>0</v>
      </c>
      <c r="AN70" s="53">
        <f t="shared" si="14"/>
        <v>0</v>
      </c>
      <c r="AO70" s="53"/>
      <c r="AP70" s="53"/>
      <c r="AQ70" s="53">
        <f t="shared" si="15"/>
        <v>0</v>
      </c>
      <c r="AR70" s="53">
        <f t="shared" si="16"/>
        <v>0</v>
      </c>
      <c r="AS70" s="53"/>
      <c r="AT70" s="53"/>
      <c r="AU70" s="53">
        <f t="shared" si="17"/>
        <v>0</v>
      </c>
      <c r="AV70" s="53">
        <f t="shared" si="18"/>
        <v>0</v>
      </c>
      <c r="AW70" s="53"/>
      <c r="AX70" s="53"/>
      <c r="AY70" s="53">
        <f t="shared" si="19"/>
        <v>0</v>
      </c>
      <c r="AZ70" s="53">
        <f t="shared" si="20"/>
        <v>0</v>
      </c>
      <c r="BA70" s="53"/>
      <c r="BB70" s="53"/>
      <c r="BC70" s="53">
        <f t="shared" si="21"/>
        <v>0</v>
      </c>
      <c r="BD70" s="53">
        <f t="shared" si="22"/>
        <v>0</v>
      </c>
      <c r="BE70" s="53"/>
      <c r="BF70" s="53"/>
      <c r="BG70" s="53">
        <f t="shared" si="23"/>
        <v>0</v>
      </c>
      <c r="BH70" s="53">
        <f t="shared" si="24"/>
        <v>0</v>
      </c>
      <c r="BI70" s="53"/>
      <c r="BJ70" s="53"/>
      <c r="BK70" s="53">
        <f t="shared" si="25"/>
        <v>0</v>
      </c>
      <c r="BL70" s="53">
        <f t="shared" si="26"/>
        <v>0</v>
      </c>
      <c r="BM70" s="54"/>
    </row>
    <row r="71" spans="1:65" ht="12.75">
      <c r="A71" s="49">
        <f>CALENDARIO!A71</f>
        <v>70</v>
      </c>
      <c r="B71" s="50">
        <f>CALENDARIO!B71</f>
        <v>46200</v>
      </c>
      <c r="C71" s="51">
        <f>CALENDARIO!C71</f>
        <v>0.85416666666666663</v>
      </c>
      <c r="D71" s="52" t="str">
        <f>CALENDARIO!D71</f>
        <v>Rep. Dem. do Congo</v>
      </c>
      <c r="E71" s="52">
        <f>CALENDARIO!E71</f>
        <v>0</v>
      </c>
      <c r="F71" s="49" t="str">
        <f>CALENDARIO!F71</f>
        <v>x</v>
      </c>
      <c r="G71" s="49">
        <f>CALENDARIO!G71</f>
        <v>0</v>
      </c>
      <c r="H71" s="52" t="str">
        <f>CALENDARIO!H71</f>
        <v>Uzbequistão</v>
      </c>
      <c r="I71" s="53"/>
      <c r="J71" s="53"/>
      <c r="K71" s="53">
        <f t="shared" si="27"/>
        <v>0</v>
      </c>
      <c r="L71" s="53">
        <f t="shared" si="0"/>
        <v>0</v>
      </c>
      <c r="M71" s="53"/>
      <c r="N71" s="53"/>
      <c r="O71" s="53">
        <f t="shared" si="1"/>
        <v>0</v>
      </c>
      <c r="P71" s="53">
        <f t="shared" si="2"/>
        <v>0</v>
      </c>
      <c r="Q71" s="53"/>
      <c r="R71" s="53"/>
      <c r="S71" s="53">
        <f t="shared" si="3"/>
        <v>0</v>
      </c>
      <c r="T71" s="53">
        <f t="shared" si="4"/>
        <v>0</v>
      </c>
      <c r="U71" s="53"/>
      <c r="V71" s="53"/>
      <c r="W71" s="53">
        <f t="shared" si="5"/>
        <v>0</v>
      </c>
      <c r="X71" s="53">
        <f t="shared" si="6"/>
        <v>0</v>
      </c>
      <c r="Y71" s="53"/>
      <c r="Z71" s="53"/>
      <c r="AA71" s="53">
        <f t="shared" si="7"/>
        <v>0</v>
      </c>
      <c r="AB71" s="53">
        <f t="shared" si="8"/>
        <v>0</v>
      </c>
      <c r="AC71" s="53"/>
      <c r="AD71" s="53"/>
      <c r="AE71" s="53">
        <f t="shared" si="9"/>
        <v>0</v>
      </c>
      <c r="AF71" s="53">
        <f t="shared" si="10"/>
        <v>0</v>
      </c>
      <c r="AG71" s="53"/>
      <c r="AH71" s="53"/>
      <c r="AI71" s="53">
        <f t="shared" si="11"/>
        <v>0</v>
      </c>
      <c r="AJ71" s="53">
        <f t="shared" si="12"/>
        <v>0</v>
      </c>
      <c r="AK71" s="53"/>
      <c r="AL71" s="53"/>
      <c r="AM71" s="53">
        <f t="shared" si="13"/>
        <v>0</v>
      </c>
      <c r="AN71" s="53">
        <f t="shared" si="14"/>
        <v>0</v>
      </c>
      <c r="AO71" s="53"/>
      <c r="AP71" s="53"/>
      <c r="AQ71" s="53">
        <f t="shared" si="15"/>
        <v>0</v>
      </c>
      <c r="AR71" s="53">
        <f t="shared" si="16"/>
        <v>0</v>
      </c>
      <c r="AS71" s="53"/>
      <c r="AT71" s="53"/>
      <c r="AU71" s="53">
        <f t="shared" si="17"/>
        <v>0</v>
      </c>
      <c r="AV71" s="53">
        <f t="shared" si="18"/>
        <v>0</v>
      </c>
      <c r="AW71" s="53"/>
      <c r="AX71" s="53"/>
      <c r="AY71" s="53">
        <f t="shared" si="19"/>
        <v>0</v>
      </c>
      <c r="AZ71" s="53">
        <f t="shared" si="20"/>
        <v>0</v>
      </c>
      <c r="BA71" s="53"/>
      <c r="BB71" s="53"/>
      <c r="BC71" s="53">
        <f t="shared" si="21"/>
        <v>0</v>
      </c>
      <c r="BD71" s="53">
        <f t="shared" si="22"/>
        <v>0</v>
      </c>
      <c r="BE71" s="53"/>
      <c r="BF71" s="53"/>
      <c r="BG71" s="53">
        <f t="shared" si="23"/>
        <v>0</v>
      </c>
      <c r="BH71" s="53">
        <f t="shared" si="24"/>
        <v>0</v>
      </c>
      <c r="BI71" s="53"/>
      <c r="BJ71" s="53"/>
      <c r="BK71" s="53">
        <f t="shared" si="25"/>
        <v>0</v>
      </c>
      <c r="BL71" s="53">
        <f t="shared" si="26"/>
        <v>0</v>
      </c>
      <c r="BM71" s="54"/>
    </row>
    <row r="72" spans="1:65" ht="12.75">
      <c r="A72" s="49">
        <f>CALENDARIO!A72</f>
        <v>71</v>
      </c>
      <c r="B72" s="50">
        <f>CALENDARIO!B72</f>
        <v>46200</v>
      </c>
      <c r="C72" s="51">
        <f>CALENDARIO!C72</f>
        <v>0.95833333333333337</v>
      </c>
      <c r="D72" s="52" t="str">
        <f>CALENDARIO!D72</f>
        <v>Argélia</v>
      </c>
      <c r="E72" s="52">
        <f>CALENDARIO!E72</f>
        <v>0</v>
      </c>
      <c r="F72" s="49" t="str">
        <f>CALENDARIO!F72</f>
        <v>x</v>
      </c>
      <c r="G72" s="49">
        <f>CALENDARIO!G72</f>
        <v>0</v>
      </c>
      <c r="H72" s="52" t="str">
        <f>CALENDARIO!H72</f>
        <v>Áustria</v>
      </c>
      <c r="I72" s="53"/>
      <c r="J72" s="53"/>
      <c r="K72" s="53">
        <f t="shared" si="27"/>
        <v>0</v>
      </c>
      <c r="L72" s="53">
        <f t="shared" si="0"/>
        <v>0</v>
      </c>
      <c r="M72" s="53"/>
      <c r="N72" s="53"/>
      <c r="O72" s="53">
        <f t="shared" si="1"/>
        <v>0</v>
      </c>
      <c r="P72" s="53">
        <f t="shared" si="2"/>
        <v>0</v>
      </c>
      <c r="Q72" s="53"/>
      <c r="R72" s="53"/>
      <c r="S72" s="53">
        <f t="shared" si="3"/>
        <v>0</v>
      </c>
      <c r="T72" s="53">
        <f t="shared" si="4"/>
        <v>0</v>
      </c>
      <c r="U72" s="53"/>
      <c r="V72" s="53"/>
      <c r="W72" s="53">
        <f t="shared" si="5"/>
        <v>0</v>
      </c>
      <c r="X72" s="53">
        <f t="shared" si="6"/>
        <v>0</v>
      </c>
      <c r="Y72" s="53"/>
      <c r="Z72" s="53"/>
      <c r="AA72" s="53">
        <f t="shared" si="7"/>
        <v>0</v>
      </c>
      <c r="AB72" s="53">
        <f t="shared" si="8"/>
        <v>0</v>
      </c>
      <c r="AC72" s="53"/>
      <c r="AD72" s="53"/>
      <c r="AE72" s="53">
        <f t="shared" si="9"/>
        <v>0</v>
      </c>
      <c r="AF72" s="53">
        <f t="shared" si="10"/>
        <v>0</v>
      </c>
      <c r="AG72" s="53"/>
      <c r="AH72" s="53"/>
      <c r="AI72" s="53">
        <f t="shared" si="11"/>
        <v>0</v>
      </c>
      <c r="AJ72" s="53">
        <f t="shared" si="12"/>
        <v>0</v>
      </c>
      <c r="AK72" s="53"/>
      <c r="AL72" s="53"/>
      <c r="AM72" s="53">
        <f t="shared" si="13"/>
        <v>0</v>
      </c>
      <c r="AN72" s="53">
        <f t="shared" si="14"/>
        <v>0</v>
      </c>
      <c r="AO72" s="53"/>
      <c r="AP72" s="53"/>
      <c r="AQ72" s="53">
        <f t="shared" si="15"/>
        <v>0</v>
      </c>
      <c r="AR72" s="53">
        <f t="shared" si="16"/>
        <v>0</v>
      </c>
      <c r="AS72" s="53"/>
      <c r="AT72" s="53"/>
      <c r="AU72" s="53">
        <f t="shared" si="17"/>
        <v>0</v>
      </c>
      <c r="AV72" s="53">
        <f t="shared" si="18"/>
        <v>0</v>
      </c>
      <c r="AW72" s="53"/>
      <c r="AX72" s="53"/>
      <c r="AY72" s="53">
        <f t="shared" si="19"/>
        <v>0</v>
      </c>
      <c r="AZ72" s="53">
        <f t="shared" si="20"/>
        <v>0</v>
      </c>
      <c r="BA72" s="53"/>
      <c r="BB72" s="53"/>
      <c r="BC72" s="53">
        <f t="shared" si="21"/>
        <v>0</v>
      </c>
      <c r="BD72" s="53">
        <f t="shared" si="22"/>
        <v>0</v>
      </c>
      <c r="BE72" s="53"/>
      <c r="BF72" s="53"/>
      <c r="BG72" s="53">
        <f t="shared" si="23"/>
        <v>0</v>
      </c>
      <c r="BH72" s="53">
        <f t="shared" si="24"/>
        <v>0</v>
      </c>
      <c r="BI72" s="53"/>
      <c r="BJ72" s="53"/>
      <c r="BK72" s="53">
        <f t="shared" si="25"/>
        <v>0</v>
      </c>
      <c r="BL72" s="53">
        <f t="shared" si="26"/>
        <v>0</v>
      </c>
      <c r="BM72" s="54"/>
    </row>
    <row r="73" spans="1:65" ht="12.75">
      <c r="A73" s="49">
        <f>CALENDARIO!A73</f>
        <v>72</v>
      </c>
      <c r="B73" s="50">
        <f>CALENDARIO!B73</f>
        <v>46200</v>
      </c>
      <c r="C73" s="51">
        <f>CALENDARIO!C73</f>
        <v>0.95833333333333337</v>
      </c>
      <c r="D73" s="52" t="str">
        <f>CALENDARIO!D73</f>
        <v>Jordânia</v>
      </c>
      <c r="E73" s="52">
        <f>CALENDARIO!E73</f>
        <v>0</v>
      </c>
      <c r="F73" s="49" t="str">
        <f>CALENDARIO!F73</f>
        <v>x</v>
      </c>
      <c r="G73" s="49">
        <f>CALENDARIO!G73</f>
        <v>0</v>
      </c>
      <c r="H73" s="52" t="str">
        <f>CALENDARIO!H73</f>
        <v>Argentina</v>
      </c>
      <c r="I73" s="53"/>
      <c r="J73" s="53"/>
      <c r="K73" s="53">
        <f t="shared" si="27"/>
        <v>0</v>
      </c>
      <c r="L73" s="53">
        <f t="shared" si="0"/>
        <v>0</v>
      </c>
      <c r="M73" s="53"/>
      <c r="N73" s="53"/>
      <c r="O73" s="53">
        <f t="shared" si="1"/>
        <v>0</v>
      </c>
      <c r="P73" s="53">
        <f t="shared" si="2"/>
        <v>0</v>
      </c>
      <c r="Q73" s="53"/>
      <c r="R73" s="53"/>
      <c r="S73" s="53">
        <f t="shared" si="3"/>
        <v>0</v>
      </c>
      <c r="T73" s="53">
        <f t="shared" si="4"/>
        <v>0</v>
      </c>
      <c r="U73" s="53"/>
      <c r="V73" s="53"/>
      <c r="W73" s="53">
        <f t="shared" si="5"/>
        <v>0</v>
      </c>
      <c r="X73" s="53">
        <f t="shared" si="6"/>
        <v>0</v>
      </c>
      <c r="Y73" s="53"/>
      <c r="Z73" s="53"/>
      <c r="AA73" s="53">
        <f t="shared" si="7"/>
        <v>0</v>
      </c>
      <c r="AB73" s="53">
        <f t="shared" si="8"/>
        <v>0</v>
      </c>
      <c r="AC73" s="53"/>
      <c r="AD73" s="53"/>
      <c r="AE73" s="53">
        <f t="shared" si="9"/>
        <v>0</v>
      </c>
      <c r="AF73" s="53">
        <f t="shared" si="10"/>
        <v>0</v>
      </c>
      <c r="AG73" s="53"/>
      <c r="AH73" s="53"/>
      <c r="AI73" s="53">
        <f t="shared" si="11"/>
        <v>0</v>
      </c>
      <c r="AJ73" s="53">
        <f t="shared" si="12"/>
        <v>0</v>
      </c>
      <c r="AK73" s="53"/>
      <c r="AL73" s="53"/>
      <c r="AM73" s="53">
        <f t="shared" si="13"/>
        <v>0</v>
      </c>
      <c r="AN73" s="53">
        <f t="shared" si="14"/>
        <v>0</v>
      </c>
      <c r="AO73" s="53"/>
      <c r="AP73" s="53"/>
      <c r="AQ73" s="53">
        <f t="shared" si="15"/>
        <v>0</v>
      </c>
      <c r="AR73" s="53">
        <f t="shared" si="16"/>
        <v>0</v>
      </c>
      <c r="AS73" s="53"/>
      <c r="AT73" s="53"/>
      <c r="AU73" s="53">
        <f t="shared" si="17"/>
        <v>0</v>
      </c>
      <c r="AV73" s="53">
        <f t="shared" si="18"/>
        <v>0</v>
      </c>
      <c r="AW73" s="53"/>
      <c r="AX73" s="53"/>
      <c r="AY73" s="53">
        <f t="shared" si="19"/>
        <v>0</v>
      </c>
      <c r="AZ73" s="53">
        <f t="shared" si="20"/>
        <v>0</v>
      </c>
      <c r="BA73" s="53"/>
      <c r="BB73" s="53"/>
      <c r="BC73" s="53">
        <f t="shared" si="21"/>
        <v>0</v>
      </c>
      <c r="BD73" s="53">
        <f t="shared" si="22"/>
        <v>0</v>
      </c>
      <c r="BE73" s="53"/>
      <c r="BF73" s="53"/>
      <c r="BG73" s="53">
        <f t="shared" si="23"/>
        <v>0</v>
      </c>
      <c r="BH73" s="53">
        <f t="shared" si="24"/>
        <v>0</v>
      </c>
      <c r="BI73" s="53"/>
      <c r="BJ73" s="53"/>
      <c r="BK73" s="53">
        <f t="shared" si="25"/>
        <v>0</v>
      </c>
      <c r="BL73" s="53">
        <f t="shared" si="26"/>
        <v>0</v>
      </c>
      <c r="BM73" s="54"/>
    </row>
    <row r="74" spans="1:65" ht="12.75">
      <c r="A74" s="49">
        <f>CALENDARIO!A74</f>
        <v>73</v>
      </c>
      <c r="B74" s="50">
        <f>CALENDARIO!B74</f>
        <v>46201</v>
      </c>
      <c r="C74" s="51">
        <f>CALENDARIO!C74</f>
        <v>0.66666666666666663</v>
      </c>
      <c r="D74" s="52" t="str">
        <f>CALENDARIO!D74</f>
        <v>2º colocado Grupo A</v>
      </c>
      <c r="E74" s="52">
        <f>CALENDARIO!E74</f>
        <v>0</v>
      </c>
      <c r="F74" s="49" t="str">
        <f>CALENDARIO!F74</f>
        <v>x</v>
      </c>
      <c r="G74" s="49">
        <f>CALENDARIO!G74</f>
        <v>0</v>
      </c>
      <c r="H74" s="52" t="str">
        <f>CALENDARIO!H74</f>
        <v>2º colocado Grupo B</v>
      </c>
      <c r="I74" s="53"/>
      <c r="J74" s="53"/>
      <c r="K74" s="53">
        <f t="shared" si="27"/>
        <v>0</v>
      </c>
      <c r="L74" s="53">
        <f t="shared" si="0"/>
        <v>0</v>
      </c>
      <c r="M74" s="53"/>
      <c r="N74" s="53"/>
      <c r="O74" s="53">
        <f t="shared" si="1"/>
        <v>0</v>
      </c>
      <c r="P74" s="53">
        <f t="shared" si="2"/>
        <v>0</v>
      </c>
      <c r="Q74" s="53"/>
      <c r="R74" s="53"/>
      <c r="S74" s="53">
        <f t="shared" si="3"/>
        <v>0</v>
      </c>
      <c r="T74" s="53">
        <f t="shared" si="4"/>
        <v>0</v>
      </c>
      <c r="U74" s="53"/>
      <c r="V74" s="53"/>
      <c r="W74" s="53">
        <f t="shared" si="5"/>
        <v>0</v>
      </c>
      <c r="X74" s="53">
        <f t="shared" si="6"/>
        <v>0</v>
      </c>
      <c r="Y74" s="53"/>
      <c r="Z74" s="53"/>
      <c r="AA74" s="53">
        <f t="shared" si="7"/>
        <v>0</v>
      </c>
      <c r="AB74" s="53">
        <f t="shared" si="8"/>
        <v>0</v>
      </c>
      <c r="AC74" s="53"/>
      <c r="AD74" s="53"/>
      <c r="AE74" s="53">
        <f t="shared" si="9"/>
        <v>0</v>
      </c>
      <c r="AF74" s="53">
        <f t="shared" si="10"/>
        <v>0</v>
      </c>
      <c r="AG74" s="53"/>
      <c r="AH74" s="53"/>
      <c r="AI74" s="53">
        <f t="shared" si="11"/>
        <v>0</v>
      </c>
      <c r="AJ74" s="53">
        <f t="shared" si="12"/>
        <v>0</v>
      </c>
      <c r="AK74" s="53"/>
      <c r="AL74" s="53"/>
      <c r="AM74" s="53">
        <f t="shared" si="13"/>
        <v>0</v>
      </c>
      <c r="AN74" s="53">
        <f t="shared" si="14"/>
        <v>0</v>
      </c>
      <c r="AO74" s="53"/>
      <c r="AP74" s="53"/>
      <c r="AQ74" s="53">
        <f t="shared" si="15"/>
        <v>0</v>
      </c>
      <c r="AR74" s="53">
        <f t="shared" si="16"/>
        <v>0</v>
      </c>
      <c r="AS74" s="53"/>
      <c r="AT74" s="53"/>
      <c r="AU74" s="53">
        <f t="shared" si="17"/>
        <v>0</v>
      </c>
      <c r="AV74" s="53">
        <f t="shared" si="18"/>
        <v>0</v>
      </c>
      <c r="AW74" s="53"/>
      <c r="AX74" s="53"/>
      <c r="AY74" s="53">
        <f t="shared" si="19"/>
        <v>0</v>
      </c>
      <c r="AZ74" s="53">
        <f t="shared" si="20"/>
        <v>0</v>
      </c>
      <c r="BA74" s="53"/>
      <c r="BB74" s="53"/>
      <c r="BC74" s="53">
        <f t="shared" si="21"/>
        <v>0</v>
      </c>
      <c r="BD74" s="53">
        <f t="shared" si="22"/>
        <v>0</v>
      </c>
      <c r="BE74" s="53"/>
      <c r="BF74" s="53"/>
      <c r="BG74" s="53">
        <f t="shared" si="23"/>
        <v>0</v>
      </c>
      <c r="BH74" s="53">
        <f t="shared" si="24"/>
        <v>0</v>
      </c>
      <c r="BI74" s="53"/>
      <c r="BJ74" s="53"/>
      <c r="BK74" s="53">
        <f t="shared" si="25"/>
        <v>0</v>
      </c>
      <c r="BL74" s="53">
        <f t="shared" si="26"/>
        <v>0</v>
      </c>
      <c r="BM74" s="54"/>
    </row>
    <row r="75" spans="1:65" ht="12.75">
      <c r="A75" s="49">
        <f>CALENDARIO!A75</f>
        <v>74</v>
      </c>
      <c r="B75" s="50">
        <f>CALENDARIO!B75</f>
        <v>46202</v>
      </c>
      <c r="C75" s="51">
        <f>CALENDARIO!C75</f>
        <v>0.72916666666666663</v>
      </c>
      <c r="D75" s="52" t="str">
        <f>CALENDARIO!D75</f>
        <v>Vencedor Grupo E</v>
      </c>
      <c r="E75" s="52">
        <f>CALENDARIO!E75</f>
        <v>0</v>
      </c>
      <c r="F75" s="49" t="str">
        <f>CALENDARIO!F75</f>
        <v>x</v>
      </c>
      <c r="G75" s="49">
        <f>CALENDARIO!G75</f>
        <v>0</v>
      </c>
      <c r="H75" s="52" t="str">
        <f>CALENDARIO!H75</f>
        <v>3º colocado Grupos A/B/C/D/F</v>
      </c>
      <c r="I75" s="53"/>
      <c r="J75" s="53"/>
      <c r="K75" s="53">
        <f t="shared" si="27"/>
        <v>0</v>
      </c>
      <c r="L75" s="53">
        <f t="shared" si="0"/>
        <v>0</v>
      </c>
      <c r="M75" s="53"/>
      <c r="N75" s="53"/>
      <c r="O75" s="53">
        <f t="shared" si="1"/>
        <v>0</v>
      </c>
      <c r="P75" s="53">
        <f t="shared" si="2"/>
        <v>0</v>
      </c>
      <c r="Q75" s="53"/>
      <c r="R75" s="53"/>
      <c r="S75" s="53">
        <f t="shared" si="3"/>
        <v>0</v>
      </c>
      <c r="T75" s="53">
        <f t="shared" si="4"/>
        <v>0</v>
      </c>
      <c r="U75" s="53"/>
      <c r="V75" s="53"/>
      <c r="W75" s="53">
        <f t="shared" si="5"/>
        <v>0</v>
      </c>
      <c r="X75" s="53">
        <f t="shared" si="6"/>
        <v>0</v>
      </c>
      <c r="Y75" s="53"/>
      <c r="Z75" s="53"/>
      <c r="AA75" s="53">
        <f t="shared" si="7"/>
        <v>0</v>
      </c>
      <c r="AB75" s="53">
        <f t="shared" si="8"/>
        <v>0</v>
      </c>
      <c r="AC75" s="53"/>
      <c r="AD75" s="53"/>
      <c r="AE75" s="53">
        <f t="shared" si="9"/>
        <v>0</v>
      </c>
      <c r="AF75" s="53">
        <f t="shared" si="10"/>
        <v>0</v>
      </c>
      <c r="AG75" s="53"/>
      <c r="AH75" s="53"/>
      <c r="AI75" s="53">
        <f t="shared" si="11"/>
        <v>0</v>
      </c>
      <c r="AJ75" s="53">
        <f t="shared" si="12"/>
        <v>0</v>
      </c>
      <c r="AK75" s="53"/>
      <c r="AL75" s="53"/>
      <c r="AM75" s="53">
        <f t="shared" si="13"/>
        <v>0</v>
      </c>
      <c r="AN75" s="53">
        <f t="shared" si="14"/>
        <v>0</v>
      </c>
      <c r="AO75" s="53"/>
      <c r="AP75" s="53"/>
      <c r="AQ75" s="53">
        <f t="shared" si="15"/>
        <v>0</v>
      </c>
      <c r="AR75" s="53">
        <f t="shared" si="16"/>
        <v>0</v>
      </c>
      <c r="AS75" s="53"/>
      <c r="AT75" s="53"/>
      <c r="AU75" s="53">
        <f t="shared" si="17"/>
        <v>0</v>
      </c>
      <c r="AV75" s="53">
        <f t="shared" si="18"/>
        <v>0</v>
      </c>
      <c r="AW75" s="53"/>
      <c r="AX75" s="53"/>
      <c r="AY75" s="53">
        <f t="shared" si="19"/>
        <v>0</v>
      </c>
      <c r="AZ75" s="53">
        <f t="shared" si="20"/>
        <v>0</v>
      </c>
      <c r="BA75" s="53"/>
      <c r="BB75" s="53"/>
      <c r="BC75" s="53">
        <f t="shared" si="21"/>
        <v>0</v>
      </c>
      <c r="BD75" s="53">
        <f t="shared" si="22"/>
        <v>0</v>
      </c>
      <c r="BE75" s="53"/>
      <c r="BF75" s="53"/>
      <c r="BG75" s="53">
        <f t="shared" si="23"/>
        <v>0</v>
      </c>
      <c r="BH75" s="53">
        <f t="shared" si="24"/>
        <v>0</v>
      </c>
      <c r="BI75" s="53"/>
      <c r="BJ75" s="53"/>
      <c r="BK75" s="53">
        <f t="shared" si="25"/>
        <v>0</v>
      </c>
      <c r="BL75" s="53">
        <f t="shared" si="26"/>
        <v>0</v>
      </c>
      <c r="BM75" s="54"/>
    </row>
    <row r="76" spans="1:65" ht="12.75">
      <c r="A76" s="49">
        <f>CALENDARIO!A76</f>
        <v>75</v>
      </c>
      <c r="B76" s="50">
        <f>CALENDARIO!B76</f>
        <v>46202</v>
      </c>
      <c r="C76" s="51">
        <f>CALENDARIO!C76</f>
        <v>0.91666666666666663</v>
      </c>
      <c r="D76" s="52" t="str">
        <f>CALENDARIO!D76</f>
        <v>Vencedor Grupo F</v>
      </c>
      <c r="E76" s="52">
        <f>CALENDARIO!E76</f>
        <v>0</v>
      </c>
      <c r="F76" s="49" t="str">
        <f>CALENDARIO!F76</f>
        <v>x</v>
      </c>
      <c r="G76" s="49">
        <f>CALENDARIO!G76</f>
        <v>0</v>
      </c>
      <c r="H76" s="52" t="str">
        <f>CALENDARIO!H76</f>
        <v>2º colocado Grupo C</v>
      </c>
      <c r="I76" s="53"/>
      <c r="J76" s="53"/>
      <c r="K76" s="53">
        <f t="shared" si="27"/>
        <v>0</v>
      </c>
      <c r="L76" s="53">
        <f t="shared" si="0"/>
        <v>0</v>
      </c>
      <c r="M76" s="53"/>
      <c r="N76" s="53"/>
      <c r="O76" s="53">
        <f t="shared" si="1"/>
        <v>0</v>
      </c>
      <c r="P76" s="53">
        <f t="shared" si="2"/>
        <v>0</v>
      </c>
      <c r="Q76" s="53"/>
      <c r="R76" s="53"/>
      <c r="S76" s="53">
        <f t="shared" si="3"/>
        <v>0</v>
      </c>
      <c r="T76" s="53">
        <f t="shared" si="4"/>
        <v>0</v>
      </c>
      <c r="U76" s="53"/>
      <c r="V76" s="53"/>
      <c r="W76" s="53">
        <f t="shared" si="5"/>
        <v>0</v>
      </c>
      <c r="X76" s="53">
        <f t="shared" si="6"/>
        <v>0</v>
      </c>
      <c r="Y76" s="53"/>
      <c r="Z76" s="53"/>
      <c r="AA76" s="53">
        <f t="shared" si="7"/>
        <v>0</v>
      </c>
      <c r="AB76" s="53">
        <f t="shared" si="8"/>
        <v>0</v>
      </c>
      <c r="AC76" s="53"/>
      <c r="AD76" s="53"/>
      <c r="AE76" s="53">
        <f t="shared" si="9"/>
        <v>0</v>
      </c>
      <c r="AF76" s="53">
        <f t="shared" si="10"/>
        <v>0</v>
      </c>
      <c r="AG76" s="53"/>
      <c r="AH76" s="53"/>
      <c r="AI76" s="53">
        <f t="shared" si="11"/>
        <v>0</v>
      </c>
      <c r="AJ76" s="53">
        <f t="shared" si="12"/>
        <v>0</v>
      </c>
      <c r="AK76" s="53"/>
      <c r="AL76" s="53"/>
      <c r="AM76" s="53">
        <f t="shared" si="13"/>
        <v>0</v>
      </c>
      <c r="AN76" s="53">
        <f t="shared" si="14"/>
        <v>0</v>
      </c>
      <c r="AO76" s="53"/>
      <c r="AP76" s="53"/>
      <c r="AQ76" s="53">
        <f t="shared" si="15"/>
        <v>0</v>
      </c>
      <c r="AR76" s="53">
        <f t="shared" si="16"/>
        <v>0</v>
      </c>
      <c r="AS76" s="53"/>
      <c r="AT76" s="53"/>
      <c r="AU76" s="53">
        <f t="shared" si="17"/>
        <v>0</v>
      </c>
      <c r="AV76" s="53">
        <f t="shared" si="18"/>
        <v>0</v>
      </c>
      <c r="AW76" s="53"/>
      <c r="AX76" s="53"/>
      <c r="AY76" s="53">
        <f t="shared" si="19"/>
        <v>0</v>
      </c>
      <c r="AZ76" s="53">
        <f t="shared" si="20"/>
        <v>0</v>
      </c>
      <c r="BA76" s="53"/>
      <c r="BB76" s="53"/>
      <c r="BC76" s="53">
        <f t="shared" si="21"/>
        <v>0</v>
      </c>
      <c r="BD76" s="53">
        <f t="shared" si="22"/>
        <v>0</v>
      </c>
      <c r="BE76" s="53"/>
      <c r="BF76" s="53"/>
      <c r="BG76" s="53">
        <f t="shared" si="23"/>
        <v>0</v>
      </c>
      <c r="BH76" s="53">
        <f t="shared" si="24"/>
        <v>0</v>
      </c>
      <c r="BI76" s="53"/>
      <c r="BJ76" s="53"/>
      <c r="BK76" s="53">
        <f t="shared" si="25"/>
        <v>0</v>
      </c>
      <c r="BL76" s="53">
        <f t="shared" si="26"/>
        <v>0</v>
      </c>
      <c r="BM76" s="54"/>
    </row>
    <row r="77" spans="1:65" ht="12.75">
      <c r="A77" s="49">
        <f>CALENDARIO!A77</f>
        <v>76</v>
      </c>
      <c r="B77" s="50">
        <f>CALENDARIO!B77</f>
        <v>46202</v>
      </c>
      <c r="C77" s="51">
        <f>CALENDARIO!C77</f>
        <v>0.58333333333333337</v>
      </c>
      <c r="D77" s="52" t="str">
        <f>CALENDARIO!D77</f>
        <v>Vencedor Grupo C</v>
      </c>
      <c r="E77" s="52">
        <f>CALENDARIO!E77</f>
        <v>0</v>
      </c>
      <c r="F77" s="49" t="str">
        <f>CALENDARIO!F77</f>
        <v>x</v>
      </c>
      <c r="G77" s="49">
        <f>CALENDARIO!G77</f>
        <v>0</v>
      </c>
      <c r="H77" s="52" t="str">
        <f>CALENDARIO!H77</f>
        <v>2º colocado Grupo F</v>
      </c>
      <c r="I77" s="53"/>
      <c r="J77" s="53"/>
      <c r="K77" s="53">
        <f t="shared" si="27"/>
        <v>0</v>
      </c>
      <c r="L77" s="53">
        <f t="shared" si="0"/>
        <v>0</v>
      </c>
      <c r="M77" s="53"/>
      <c r="N77" s="53"/>
      <c r="O77" s="53">
        <f t="shared" si="1"/>
        <v>0</v>
      </c>
      <c r="P77" s="53">
        <f t="shared" si="2"/>
        <v>0</v>
      </c>
      <c r="Q77" s="53"/>
      <c r="R77" s="53"/>
      <c r="S77" s="53">
        <f t="shared" si="3"/>
        <v>0</v>
      </c>
      <c r="T77" s="53">
        <f t="shared" si="4"/>
        <v>0</v>
      </c>
      <c r="U77" s="53"/>
      <c r="V77" s="53"/>
      <c r="W77" s="53">
        <f t="shared" si="5"/>
        <v>0</v>
      </c>
      <c r="X77" s="53">
        <f t="shared" si="6"/>
        <v>0</v>
      </c>
      <c r="Y77" s="53"/>
      <c r="Z77" s="53"/>
      <c r="AA77" s="53">
        <f t="shared" si="7"/>
        <v>0</v>
      </c>
      <c r="AB77" s="53">
        <f t="shared" si="8"/>
        <v>0</v>
      </c>
      <c r="AC77" s="53"/>
      <c r="AD77" s="53"/>
      <c r="AE77" s="53">
        <f t="shared" si="9"/>
        <v>0</v>
      </c>
      <c r="AF77" s="53">
        <f t="shared" si="10"/>
        <v>0</v>
      </c>
      <c r="AG77" s="53"/>
      <c r="AH77" s="53"/>
      <c r="AI77" s="53">
        <f t="shared" si="11"/>
        <v>0</v>
      </c>
      <c r="AJ77" s="53">
        <f t="shared" si="12"/>
        <v>0</v>
      </c>
      <c r="AK77" s="53"/>
      <c r="AL77" s="53"/>
      <c r="AM77" s="53">
        <f t="shared" si="13"/>
        <v>0</v>
      </c>
      <c r="AN77" s="53">
        <f t="shared" si="14"/>
        <v>0</v>
      </c>
      <c r="AO77" s="53"/>
      <c r="AP77" s="53"/>
      <c r="AQ77" s="53">
        <f t="shared" si="15"/>
        <v>0</v>
      </c>
      <c r="AR77" s="53">
        <f t="shared" si="16"/>
        <v>0</v>
      </c>
      <c r="AS77" s="53"/>
      <c r="AT77" s="53"/>
      <c r="AU77" s="53">
        <f t="shared" si="17"/>
        <v>0</v>
      </c>
      <c r="AV77" s="53">
        <f t="shared" si="18"/>
        <v>0</v>
      </c>
      <c r="AW77" s="53"/>
      <c r="AX77" s="53"/>
      <c r="AY77" s="53">
        <f t="shared" si="19"/>
        <v>0</v>
      </c>
      <c r="AZ77" s="53">
        <f t="shared" si="20"/>
        <v>0</v>
      </c>
      <c r="BA77" s="53"/>
      <c r="BB77" s="53"/>
      <c r="BC77" s="53">
        <f t="shared" si="21"/>
        <v>0</v>
      </c>
      <c r="BD77" s="53">
        <f t="shared" si="22"/>
        <v>0</v>
      </c>
      <c r="BE77" s="53"/>
      <c r="BF77" s="53"/>
      <c r="BG77" s="53">
        <f t="shared" si="23"/>
        <v>0</v>
      </c>
      <c r="BH77" s="53">
        <f t="shared" si="24"/>
        <v>0</v>
      </c>
      <c r="BI77" s="53"/>
      <c r="BJ77" s="53"/>
      <c r="BK77" s="53">
        <f t="shared" si="25"/>
        <v>0</v>
      </c>
      <c r="BL77" s="53">
        <f t="shared" si="26"/>
        <v>0</v>
      </c>
      <c r="BM77" s="54"/>
    </row>
    <row r="78" spans="1:65" ht="12.75">
      <c r="A78" s="49">
        <f>CALENDARIO!A78</f>
        <v>77</v>
      </c>
      <c r="B78" s="50">
        <f>CALENDARIO!B78</f>
        <v>46203</v>
      </c>
      <c r="C78" s="51">
        <f>CALENDARIO!C78</f>
        <v>0.75</v>
      </c>
      <c r="D78" s="52" t="str">
        <f>CALENDARIO!D78</f>
        <v>Vencedor Grupo I</v>
      </c>
      <c r="E78" s="52">
        <f>CALENDARIO!E78</f>
        <v>0</v>
      </c>
      <c r="F78" s="49" t="str">
        <f>CALENDARIO!F78</f>
        <v>x</v>
      </c>
      <c r="G78" s="49">
        <f>CALENDARIO!G78</f>
        <v>0</v>
      </c>
      <c r="H78" s="52" t="str">
        <f>CALENDARIO!H78</f>
        <v>3º colocado Grupos C/D/F/G/H</v>
      </c>
      <c r="I78" s="53"/>
      <c r="J78" s="53"/>
      <c r="K78" s="53">
        <f t="shared" si="27"/>
        <v>0</v>
      </c>
      <c r="L78" s="53">
        <f t="shared" si="0"/>
        <v>0</v>
      </c>
      <c r="M78" s="53"/>
      <c r="N78" s="53"/>
      <c r="O78" s="53">
        <f t="shared" si="1"/>
        <v>0</v>
      </c>
      <c r="P78" s="53">
        <f t="shared" si="2"/>
        <v>0</v>
      </c>
      <c r="Q78" s="53"/>
      <c r="R78" s="53"/>
      <c r="S78" s="53">
        <f t="shared" si="3"/>
        <v>0</v>
      </c>
      <c r="T78" s="53">
        <f t="shared" si="4"/>
        <v>0</v>
      </c>
      <c r="U78" s="53"/>
      <c r="V78" s="53"/>
      <c r="W78" s="53">
        <f t="shared" si="5"/>
        <v>0</v>
      </c>
      <c r="X78" s="53">
        <f t="shared" si="6"/>
        <v>0</v>
      </c>
      <c r="Y78" s="53"/>
      <c r="Z78" s="53"/>
      <c r="AA78" s="53">
        <f t="shared" si="7"/>
        <v>0</v>
      </c>
      <c r="AB78" s="53">
        <f t="shared" si="8"/>
        <v>0</v>
      </c>
      <c r="AC78" s="53"/>
      <c r="AD78" s="53"/>
      <c r="AE78" s="53">
        <f t="shared" si="9"/>
        <v>0</v>
      </c>
      <c r="AF78" s="53">
        <f t="shared" si="10"/>
        <v>0</v>
      </c>
      <c r="AG78" s="53"/>
      <c r="AH78" s="53"/>
      <c r="AI78" s="53">
        <f t="shared" si="11"/>
        <v>0</v>
      </c>
      <c r="AJ78" s="53">
        <f t="shared" si="12"/>
        <v>0</v>
      </c>
      <c r="AK78" s="53"/>
      <c r="AL78" s="53"/>
      <c r="AM78" s="53">
        <f t="shared" si="13"/>
        <v>0</v>
      </c>
      <c r="AN78" s="53">
        <f t="shared" si="14"/>
        <v>0</v>
      </c>
      <c r="AO78" s="53"/>
      <c r="AP78" s="53"/>
      <c r="AQ78" s="53">
        <f t="shared" si="15"/>
        <v>0</v>
      </c>
      <c r="AR78" s="53">
        <f t="shared" si="16"/>
        <v>0</v>
      </c>
      <c r="AS78" s="53"/>
      <c r="AT78" s="53"/>
      <c r="AU78" s="53">
        <f t="shared" si="17"/>
        <v>0</v>
      </c>
      <c r="AV78" s="53">
        <f t="shared" si="18"/>
        <v>0</v>
      </c>
      <c r="AW78" s="53"/>
      <c r="AX78" s="53"/>
      <c r="AY78" s="53">
        <f t="shared" si="19"/>
        <v>0</v>
      </c>
      <c r="AZ78" s="53">
        <f t="shared" si="20"/>
        <v>0</v>
      </c>
      <c r="BA78" s="53"/>
      <c r="BB78" s="53"/>
      <c r="BC78" s="53">
        <f t="shared" si="21"/>
        <v>0</v>
      </c>
      <c r="BD78" s="53">
        <f t="shared" si="22"/>
        <v>0</v>
      </c>
      <c r="BE78" s="53"/>
      <c r="BF78" s="53"/>
      <c r="BG78" s="53">
        <f t="shared" si="23"/>
        <v>0</v>
      </c>
      <c r="BH78" s="53">
        <f t="shared" si="24"/>
        <v>0</v>
      </c>
      <c r="BI78" s="53"/>
      <c r="BJ78" s="53"/>
      <c r="BK78" s="53">
        <f t="shared" si="25"/>
        <v>0</v>
      </c>
      <c r="BL78" s="53">
        <f t="shared" si="26"/>
        <v>0</v>
      </c>
      <c r="BM78" s="54"/>
    </row>
    <row r="79" spans="1:65" ht="12.75">
      <c r="A79" s="49">
        <f>CALENDARIO!A79</f>
        <v>78</v>
      </c>
      <c r="B79" s="50">
        <f>CALENDARIO!B79</f>
        <v>46203</v>
      </c>
      <c r="C79" s="51">
        <f>CALENDARIO!C79</f>
        <v>0.58333333333333337</v>
      </c>
      <c r="D79" s="52" t="str">
        <f>CALENDARIO!D79</f>
        <v>2º colocado Grupo E</v>
      </c>
      <c r="E79" s="52">
        <f>CALENDARIO!E79</f>
        <v>0</v>
      </c>
      <c r="F79" s="49" t="str">
        <f>CALENDARIO!F79</f>
        <v>x</v>
      </c>
      <c r="G79" s="49">
        <f>CALENDARIO!G79</f>
        <v>0</v>
      </c>
      <c r="H79" s="52" t="str">
        <f>CALENDARIO!H79</f>
        <v>2º colocado Grupo I</v>
      </c>
      <c r="I79" s="53"/>
      <c r="J79" s="53"/>
      <c r="K79" s="53">
        <f t="shared" si="27"/>
        <v>0</v>
      </c>
      <c r="L79" s="53">
        <f t="shared" si="0"/>
        <v>0</v>
      </c>
      <c r="M79" s="53"/>
      <c r="N79" s="53"/>
      <c r="O79" s="53">
        <f t="shared" si="1"/>
        <v>0</v>
      </c>
      <c r="P79" s="53">
        <f t="shared" si="2"/>
        <v>0</v>
      </c>
      <c r="Q79" s="53"/>
      <c r="R79" s="53"/>
      <c r="S79" s="53">
        <f t="shared" si="3"/>
        <v>0</v>
      </c>
      <c r="T79" s="53">
        <f t="shared" si="4"/>
        <v>0</v>
      </c>
      <c r="U79" s="53"/>
      <c r="V79" s="53"/>
      <c r="W79" s="53">
        <f t="shared" si="5"/>
        <v>0</v>
      </c>
      <c r="X79" s="53">
        <f t="shared" si="6"/>
        <v>0</v>
      </c>
      <c r="Y79" s="53"/>
      <c r="Z79" s="53"/>
      <c r="AA79" s="53">
        <f t="shared" si="7"/>
        <v>0</v>
      </c>
      <c r="AB79" s="53">
        <f t="shared" si="8"/>
        <v>0</v>
      </c>
      <c r="AC79" s="53"/>
      <c r="AD79" s="53"/>
      <c r="AE79" s="53">
        <f t="shared" si="9"/>
        <v>0</v>
      </c>
      <c r="AF79" s="53">
        <f t="shared" si="10"/>
        <v>0</v>
      </c>
      <c r="AG79" s="53"/>
      <c r="AH79" s="53"/>
      <c r="AI79" s="53">
        <f t="shared" si="11"/>
        <v>0</v>
      </c>
      <c r="AJ79" s="53">
        <f t="shared" si="12"/>
        <v>0</v>
      </c>
      <c r="AK79" s="53"/>
      <c r="AL79" s="53"/>
      <c r="AM79" s="53">
        <f t="shared" si="13"/>
        <v>0</v>
      </c>
      <c r="AN79" s="53">
        <f t="shared" si="14"/>
        <v>0</v>
      </c>
      <c r="AO79" s="53"/>
      <c r="AP79" s="53"/>
      <c r="AQ79" s="53">
        <f t="shared" si="15"/>
        <v>0</v>
      </c>
      <c r="AR79" s="53">
        <f t="shared" si="16"/>
        <v>0</v>
      </c>
      <c r="AS79" s="53"/>
      <c r="AT79" s="53"/>
      <c r="AU79" s="53">
        <f t="shared" si="17"/>
        <v>0</v>
      </c>
      <c r="AV79" s="53">
        <f t="shared" si="18"/>
        <v>0</v>
      </c>
      <c r="AW79" s="53"/>
      <c r="AX79" s="53"/>
      <c r="AY79" s="53">
        <f t="shared" si="19"/>
        <v>0</v>
      </c>
      <c r="AZ79" s="53">
        <f t="shared" si="20"/>
        <v>0</v>
      </c>
      <c r="BA79" s="53"/>
      <c r="BB79" s="53"/>
      <c r="BC79" s="53">
        <f t="shared" si="21"/>
        <v>0</v>
      </c>
      <c r="BD79" s="53">
        <f t="shared" si="22"/>
        <v>0</v>
      </c>
      <c r="BE79" s="53"/>
      <c r="BF79" s="53"/>
      <c r="BG79" s="53">
        <f t="shared" si="23"/>
        <v>0</v>
      </c>
      <c r="BH79" s="53">
        <f t="shared" si="24"/>
        <v>0</v>
      </c>
      <c r="BI79" s="53"/>
      <c r="BJ79" s="53"/>
      <c r="BK79" s="53">
        <f t="shared" si="25"/>
        <v>0</v>
      </c>
      <c r="BL79" s="53">
        <f t="shared" si="26"/>
        <v>0</v>
      </c>
      <c r="BM79" s="54"/>
    </row>
    <row r="80" spans="1:65" ht="12.75">
      <c r="A80" s="49">
        <f>CALENDARIO!A80</f>
        <v>79</v>
      </c>
      <c r="B80" s="50">
        <f>CALENDARIO!B80</f>
        <v>46203</v>
      </c>
      <c r="C80" s="51">
        <f>CALENDARIO!C80</f>
        <v>0.91666666666666663</v>
      </c>
      <c r="D80" s="52" t="str">
        <f>CALENDARIO!D80</f>
        <v>Vencedor Grupo A</v>
      </c>
      <c r="E80" s="52">
        <f>CALENDARIO!E80</f>
        <v>0</v>
      </c>
      <c r="F80" s="49" t="str">
        <f>CALENDARIO!F80</f>
        <v>x</v>
      </c>
      <c r="G80" s="49">
        <f>CALENDARIO!G80</f>
        <v>0</v>
      </c>
      <c r="H80" s="52" t="str">
        <f>CALENDARIO!H80</f>
        <v>3º colocado Grupos C/E/F/H/I</v>
      </c>
      <c r="I80" s="53"/>
      <c r="J80" s="53"/>
      <c r="K80" s="53">
        <f t="shared" si="27"/>
        <v>0</v>
      </c>
      <c r="L80" s="53">
        <f t="shared" si="0"/>
        <v>0</v>
      </c>
      <c r="M80" s="53"/>
      <c r="N80" s="53"/>
      <c r="O80" s="53">
        <f t="shared" si="1"/>
        <v>0</v>
      </c>
      <c r="P80" s="53">
        <f t="shared" si="2"/>
        <v>0</v>
      </c>
      <c r="Q80" s="53"/>
      <c r="R80" s="53"/>
      <c r="S80" s="53">
        <f t="shared" si="3"/>
        <v>0</v>
      </c>
      <c r="T80" s="53">
        <f t="shared" si="4"/>
        <v>0</v>
      </c>
      <c r="U80" s="53"/>
      <c r="V80" s="53"/>
      <c r="W80" s="53">
        <f t="shared" si="5"/>
        <v>0</v>
      </c>
      <c r="X80" s="53">
        <f t="shared" si="6"/>
        <v>0</v>
      </c>
      <c r="Y80" s="53"/>
      <c r="Z80" s="53"/>
      <c r="AA80" s="53">
        <f t="shared" si="7"/>
        <v>0</v>
      </c>
      <c r="AB80" s="53">
        <f t="shared" si="8"/>
        <v>0</v>
      </c>
      <c r="AC80" s="53"/>
      <c r="AD80" s="53"/>
      <c r="AE80" s="53">
        <f t="shared" si="9"/>
        <v>0</v>
      </c>
      <c r="AF80" s="53">
        <f t="shared" si="10"/>
        <v>0</v>
      </c>
      <c r="AG80" s="53"/>
      <c r="AH80" s="53"/>
      <c r="AI80" s="53">
        <f t="shared" si="11"/>
        <v>0</v>
      </c>
      <c r="AJ80" s="53">
        <f t="shared" si="12"/>
        <v>0</v>
      </c>
      <c r="AK80" s="53"/>
      <c r="AL80" s="53"/>
      <c r="AM80" s="53">
        <f t="shared" si="13"/>
        <v>0</v>
      </c>
      <c r="AN80" s="53">
        <f t="shared" si="14"/>
        <v>0</v>
      </c>
      <c r="AO80" s="53"/>
      <c r="AP80" s="53"/>
      <c r="AQ80" s="53">
        <f t="shared" si="15"/>
        <v>0</v>
      </c>
      <c r="AR80" s="53">
        <f t="shared" si="16"/>
        <v>0</v>
      </c>
      <c r="AS80" s="53"/>
      <c r="AT80" s="53"/>
      <c r="AU80" s="53">
        <f t="shared" si="17"/>
        <v>0</v>
      </c>
      <c r="AV80" s="53">
        <f t="shared" si="18"/>
        <v>0</v>
      </c>
      <c r="AW80" s="53"/>
      <c r="AX80" s="53"/>
      <c r="AY80" s="53">
        <f t="shared" si="19"/>
        <v>0</v>
      </c>
      <c r="AZ80" s="53">
        <f t="shared" si="20"/>
        <v>0</v>
      </c>
      <c r="BA80" s="53"/>
      <c r="BB80" s="53"/>
      <c r="BC80" s="53">
        <f t="shared" si="21"/>
        <v>0</v>
      </c>
      <c r="BD80" s="53">
        <f t="shared" si="22"/>
        <v>0</v>
      </c>
      <c r="BE80" s="53"/>
      <c r="BF80" s="53"/>
      <c r="BG80" s="53">
        <f t="shared" si="23"/>
        <v>0</v>
      </c>
      <c r="BH80" s="53">
        <f t="shared" si="24"/>
        <v>0</v>
      </c>
      <c r="BI80" s="53"/>
      <c r="BJ80" s="53"/>
      <c r="BK80" s="53">
        <f t="shared" si="25"/>
        <v>0</v>
      </c>
      <c r="BL80" s="53">
        <f t="shared" si="26"/>
        <v>0</v>
      </c>
      <c r="BM80" s="54"/>
    </row>
    <row r="81" spans="1:65" ht="12.75">
      <c r="A81" s="49">
        <f>CALENDARIO!A81</f>
        <v>80</v>
      </c>
      <c r="B81" s="50">
        <f>CALENDARIO!B81</f>
        <v>46204</v>
      </c>
      <c r="C81" s="51">
        <f>CALENDARIO!C81</f>
        <v>0.54166666666666663</v>
      </c>
      <c r="D81" s="52" t="str">
        <f>CALENDARIO!D81</f>
        <v>Vencedor Grupo L</v>
      </c>
      <c r="E81" s="52">
        <f>CALENDARIO!E81</f>
        <v>0</v>
      </c>
      <c r="F81" s="49" t="str">
        <f>CALENDARIO!F81</f>
        <v>x</v>
      </c>
      <c r="G81" s="49">
        <f>CALENDARIO!G81</f>
        <v>0</v>
      </c>
      <c r="H81" s="52" t="str">
        <f>CALENDARIO!H81</f>
        <v>3º colocado Grupos E/H/I/J/K</v>
      </c>
      <c r="I81" s="53"/>
      <c r="J81" s="53"/>
      <c r="K81" s="53">
        <f t="shared" si="27"/>
        <v>0</v>
      </c>
      <c r="L81" s="53">
        <f t="shared" si="0"/>
        <v>0</v>
      </c>
      <c r="M81" s="53"/>
      <c r="N81" s="53"/>
      <c r="O81" s="53">
        <f t="shared" si="1"/>
        <v>0</v>
      </c>
      <c r="P81" s="53">
        <f t="shared" si="2"/>
        <v>0</v>
      </c>
      <c r="Q81" s="53"/>
      <c r="R81" s="53"/>
      <c r="S81" s="53">
        <f t="shared" si="3"/>
        <v>0</v>
      </c>
      <c r="T81" s="53">
        <f t="shared" si="4"/>
        <v>0</v>
      </c>
      <c r="U81" s="53"/>
      <c r="V81" s="53"/>
      <c r="W81" s="53">
        <f t="shared" si="5"/>
        <v>0</v>
      </c>
      <c r="X81" s="53">
        <f t="shared" si="6"/>
        <v>0</v>
      </c>
      <c r="Y81" s="53"/>
      <c r="Z81" s="53"/>
      <c r="AA81" s="53">
        <f t="shared" si="7"/>
        <v>0</v>
      </c>
      <c r="AB81" s="53">
        <f t="shared" si="8"/>
        <v>0</v>
      </c>
      <c r="AC81" s="53"/>
      <c r="AD81" s="53"/>
      <c r="AE81" s="53">
        <f t="shared" si="9"/>
        <v>0</v>
      </c>
      <c r="AF81" s="53">
        <f t="shared" si="10"/>
        <v>0</v>
      </c>
      <c r="AG81" s="53"/>
      <c r="AH81" s="53"/>
      <c r="AI81" s="53">
        <f t="shared" si="11"/>
        <v>0</v>
      </c>
      <c r="AJ81" s="53">
        <f t="shared" si="12"/>
        <v>0</v>
      </c>
      <c r="AK81" s="53"/>
      <c r="AL81" s="53"/>
      <c r="AM81" s="53">
        <f t="shared" si="13"/>
        <v>0</v>
      </c>
      <c r="AN81" s="53">
        <f t="shared" si="14"/>
        <v>0</v>
      </c>
      <c r="AO81" s="53"/>
      <c r="AP81" s="53"/>
      <c r="AQ81" s="53">
        <f t="shared" si="15"/>
        <v>0</v>
      </c>
      <c r="AR81" s="53">
        <f t="shared" si="16"/>
        <v>0</v>
      </c>
      <c r="AS81" s="53"/>
      <c r="AT81" s="53"/>
      <c r="AU81" s="53">
        <f t="shared" si="17"/>
        <v>0</v>
      </c>
      <c r="AV81" s="53">
        <f t="shared" si="18"/>
        <v>0</v>
      </c>
      <c r="AW81" s="53"/>
      <c r="AX81" s="53"/>
      <c r="AY81" s="53">
        <f t="shared" si="19"/>
        <v>0</v>
      </c>
      <c r="AZ81" s="53">
        <f t="shared" si="20"/>
        <v>0</v>
      </c>
      <c r="BA81" s="53"/>
      <c r="BB81" s="53"/>
      <c r="BC81" s="53">
        <f t="shared" si="21"/>
        <v>0</v>
      </c>
      <c r="BD81" s="53">
        <f t="shared" si="22"/>
        <v>0</v>
      </c>
      <c r="BE81" s="53"/>
      <c r="BF81" s="53"/>
      <c r="BG81" s="53">
        <f t="shared" si="23"/>
        <v>0</v>
      </c>
      <c r="BH81" s="53">
        <f t="shared" si="24"/>
        <v>0</v>
      </c>
      <c r="BI81" s="53"/>
      <c r="BJ81" s="53"/>
      <c r="BK81" s="53">
        <f t="shared" si="25"/>
        <v>0</v>
      </c>
      <c r="BL81" s="53">
        <f t="shared" si="26"/>
        <v>0</v>
      </c>
      <c r="BM81" s="54"/>
    </row>
    <row r="82" spans="1:65" ht="12.75">
      <c r="A82" s="49">
        <f>CALENDARIO!A82</f>
        <v>81</v>
      </c>
      <c r="B82" s="50">
        <f>CALENDARIO!B82</f>
        <v>46204</v>
      </c>
      <c r="C82" s="51">
        <f>CALENDARIO!C82</f>
        <v>0.875</v>
      </c>
      <c r="D82" s="52" t="str">
        <f>CALENDARIO!D82</f>
        <v>Vencedor Grupo D</v>
      </c>
      <c r="E82" s="52">
        <f>CALENDARIO!E82</f>
        <v>0</v>
      </c>
      <c r="F82" s="49" t="str">
        <f>CALENDARIO!F82</f>
        <v>x</v>
      </c>
      <c r="G82" s="49">
        <f>CALENDARIO!G82</f>
        <v>0</v>
      </c>
      <c r="H82" s="52" t="str">
        <f>CALENDARIO!H82</f>
        <v>3º colocado Grupos B/E/F/I/J</v>
      </c>
      <c r="I82" s="53"/>
      <c r="J82" s="53"/>
      <c r="K82" s="53">
        <f t="shared" si="27"/>
        <v>0</v>
      </c>
      <c r="L82" s="53">
        <f t="shared" si="0"/>
        <v>0</v>
      </c>
      <c r="M82" s="53"/>
      <c r="N82" s="53"/>
      <c r="O82" s="53">
        <f t="shared" si="1"/>
        <v>0</v>
      </c>
      <c r="P82" s="53">
        <f t="shared" si="2"/>
        <v>0</v>
      </c>
      <c r="Q82" s="53"/>
      <c r="R82" s="53"/>
      <c r="S82" s="53">
        <f t="shared" si="3"/>
        <v>0</v>
      </c>
      <c r="T82" s="53">
        <f t="shared" si="4"/>
        <v>0</v>
      </c>
      <c r="U82" s="53"/>
      <c r="V82" s="53"/>
      <c r="W82" s="53">
        <f t="shared" si="5"/>
        <v>0</v>
      </c>
      <c r="X82" s="53">
        <f t="shared" si="6"/>
        <v>0</v>
      </c>
      <c r="Y82" s="53"/>
      <c r="Z82" s="53"/>
      <c r="AA82" s="53">
        <f t="shared" si="7"/>
        <v>0</v>
      </c>
      <c r="AB82" s="53">
        <f t="shared" si="8"/>
        <v>0</v>
      </c>
      <c r="AC82" s="53"/>
      <c r="AD82" s="53"/>
      <c r="AE82" s="53">
        <f t="shared" si="9"/>
        <v>0</v>
      </c>
      <c r="AF82" s="53">
        <f t="shared" si="10"/>
        <v>0</v>
      </c>
      <c r="AG82" s="53"/>
      <c r="AH82" s="53"/>
      <c r="AI82" s="53">
        <f t="shared" si="11"/>
        <v>0</v>
      </c>
      <c r="AJ82" s="53">
        <f t="shared" si="12"/>
        <v>0</v>
      </c>
      <c r="AK82" s="53"/>
      <c r="AL82" s="53"/>
      <c r="AM82" s="53">
        <f t="shared" si="13"/>
        <v>0</v>
      </c>
      <c r="AN82" s="53">
        <f t="shared" si="14"/>
        <v>0</v>
      </c>
      <c r="AO82" s="53"/>
      <c r="AP82" s="53"/>
      <c r="AQ82" s="53">
        <f t="shared" si="15"/>
        <v>0</v>
      </c>
      <c r="AR82" s="53">
        <f t="shared" si="16"/>
        <v>0</v>
      </c>
      <c r="AS82" s="53"/>
      <c r="AT82" s="53"/>
      <c r="AU82" s="53">
        <f t="shared" si="17"/>
        <v>0</v>
      </c>
      <c r="AV82" s="53">
        <f t="shared" si="18"/>
        <v>0</v>
      </c>
      <c r="AW82" s="53"/>
      <c r="AX82" s="53"/>
      <c r="AY82" s="53">
        <f t="shared" si="19"/>
        <v>0</v>
      </c>
      <c r="AZ82" s="53">
        <f t="shared" si="20"/>
        <v>0</v>
      </c>
      <c r="BA82" s="53"/>
      <c r="BB82" s="53"/>
      <c r="BC82" s="53">
        <f t="shared" si="21"/>
        <v>0</v>
      </c>
      <c r="BD82" s="53">
        <f t="shared" si="22"/>
        <v>0</v>
      </c>
      <c r="BE82" s="53"/>
      <c r="BF82" s="53"/>
      <c r="BG82" s="53">
        <f t="shared" si="23"/>
        <v>0</v>
      </c>
      <c r="BH82" s="53">
        <f t="shared" si="24"/>
        <v>0</v>
      </c>
      <c r="BI82" s="53"/>
      <c r="BJ82" s="53"/>
      <c r="BK82" s="53">
        <f t="shared" si="25"/>
        <v>0</v>
      </c>
      <c r="BL82" s="53">
        <f t="shared" si="26"/>
        <v>0</v>
      </c>
      <c r="BM82" s="54"/>
    </row>
    <row r="83" spans="1:65" ht="12.75">
      <c r="A83" s="49">
        <f>CALENDARIO!A83</f>
        <v>82</v>
      </c>
      <c r="B83" s="50">
        <f>CALENDARIO!B83</f>
        <v>46204</v>
      </c>
      <c r="C83" s="51">
        <f>CALENDARIO!C83</f>
        <v>0.70833333333333337</v>
      </c>
      <c r="D83" s="52" t="str">
        <f>CALENDARIO!D83</f>
        <v>Vencedor Grupo G</v>
      </c>
      <c r="E83" s="52">
        <f>CALENDARIO!E83</f>
        <v>0</v>
      </c>
      <c r="F83" s="49" t="str">
        <f>CALENDARIO!F83</f>
        <v>x</v>
      </c>
      <c r="G83" s="49">
        <f>CALENDARIO!G83</f>
        <v>0</v>
      </c>
      <c r="H83" s="52" t="str">
        <f>CALENDARIO!H83</f>
        <v>3º colocado Grupos A/E/H/I/J</v>
      </c>
      <c r="I83" s="53"/>
      <c r="J83" s="53"/>
      <c r="K83" s="53">
        <f t="shared" si="27"/>
        <v>0</v>
      </c>
      <c r="L83" s="53">
        <f t="shared" si="0"/>
        <v>0</v>
      </c>
      <c r="M83" s="53"/>
      <c r="N83" s="53"/>
      <c r="O83" s="53">
        <f t="shared" si="1"/>
        <v>0</v>
      </c>
      <c r="P83" s="53">
        <f t="shared" si="2"/>
        <v>0</v>
      </c>
      <c r="Q83" s="53"/>
      <c r="R83" s="53"/>
      <c r="S83" s="53">
        <f t="shared" si="3"/>
        <v>0</v>
      </c>
      <c r="T83" s="53">
        <f t="shared" si="4"/>
        <v>0</v>
      </c>
      <c r="U83" s="53"/>
      <c r="V83" s="53"/>
      <c r="W83" s="53">
        <f t="shared" si="5"/>
        <v>0</v>
      </c>
      <c r="X83" s="53">
        <f t="shared" si="6"/>
        <v>0</v>
      </c>
      <c r="Y83" s="53"/>
      <c r="Z83" s="53"/>
      <c r="AA83" s="53">
        <f t="shared" si="7"/>
        <v>0</v>
      </c>
      <c r="AB83" s="53">
        <f t="shared" si="8"/>
        <v>0</v>
      </c>
      <c r="AC83" s="53"/>
      <c r="AD83" s="53"/>
      <c r="AE83" s="53">
        <f t="shared" si="9"/>
        <v>0</v>
      </c>
      <c r="AF83" s="53">
        <f t="shared" si="10"/>
        <v>0</v>
      </c>
      <c r="AG83" s="53"/>
      <c r="AH83" s="53"/>
      <c r="AI83" s="53">
        <f t="shared" si="11"/>
        <v>0</v>
      </c>
      <c r="AJ83" s="53">
        <f t="shared" si="12"/>
        <v>0</v>
      </c>
      <c r="AK83" s="53"/>
      <c r="AL83" s="53"/>
      <c r="AM83" s="53">
        <f t="shared" si="13"/>
        <v>0</v>
      </c>
      <c r="AN83" s="53">
        <f t="shared" si="14"/>
        <v>0</v>
      </c>
      <c r="AO83" s="53"/>
      <c r="AP83" s="53"/>
      <c r="AQ83" s="53">
        <f t="shared" si="15"/>
        <v>0</v>
      </c>
      <c r="AR83" s="53">
        <f t="shared" si="16"/>
        <v>0</v>
      </c>
      <c r="AS83" s="53"/>
      <c r="AT83" s="53"/>
      <c r="AU83" s="53">
        <f t="shared" si="17"/>
        <v>0</v>
      </c>
      <c r="AV83" s="53">
        <f t="shared" si="18"/>
        <v>0</v>
      </c>
      <c r="AW83" s="53"/>
      <c r="AX83" s="53"/>
      <c r="AY83" s="53">
        <f t="shared" si="19"/>
        <v>0</v>
      </c>
      <c r="AZ83" s="53">
        <f t="shared" si="20"/>
        <v>0</v>
      </c>
      <c r="BA83" s="53"/>
      <c r="BB83" s="53"/>
      <c r="BC83" s="53">
        <f t="shared" si="21"/>
        <v>0</v>
      </c>
      <c r="BD83" s="53">
        <f t="shared" si="22"/>
        <v>0</v>
      </c>
      <c r="BE83" s="53"/>
      <c r="BF83" s="53"/>
      <c r="BG83" s="53">
        <f t="shared" si="23"/>
        <v>0</v>
      </c>
      <c r="BH83" s="53">
        <f t="shared" si="24"/>
        <v>0</v>
      </c>
      <c r="BI83" s="53"/>
      <c r="BJ83" s="53"/>
      <c r="BK83" s="53">
        <f t="shared" si="25"/>
        <v>0</v>
      </c>
      <c r="BL83" s="53">
        <f t="shared" si="26"/>
        <v>0</v>
      </c>
      <c r="BM83" s="54"/>
    </row>
    <row r="84" spans="1:65" ht="12.75">
      <c r="A84" s="49">
        <f>CALENDARIO!A84</f>
        <v>83</v>
      </c>
      <c r="B84" s="50">
        <f>CALENDARIO!B84</f>
        <v>46205</v>
      </c>
      <c r="C84" s="51">
        <f>CALENDARIO!C84</f>
        <v>0.83333333333333337</v>
      </c>
      <c r="D84" s="52" t="str">
        <f>CALENDARIO!D84</f>
        <v>2º colocado Grupo K</v>
      </c>
      <c r="E84" s="52">
        <f>CALENDARIO!E84</f>
        <v>0</v>
      </c>
      <c r="F84" s="49" t="str">
        <f>CALENDARIO!F84</f>
        <v>x</v>
      </c>
      <c r="G84" s="49">
        <f>CALENDARIO!G84</f>
        <v>0</v>
      </c>
      <c r="H84" s="52" t="str">
        <f>CALENDARIO!H84</f>
        <v>2º colocado Grupo L</v>
      </c>
      <c r="I84" s="53"/>
      <c r="J84" s="53"/>
      <c r="K84" s="53">
        <f t="shared" si="27"/>
        <v>0</v>
      </c>
      <c r="L84" s="53">
        <f t="shared" si="0"/>
        <v>0</v>
      </c>
      <c r="M84" s="53"/>
      <c r="N84" s="53"/>
      <c r="O84" s="53">
        <f t="shared" si="1"/>
        <v>0</v>
      </c>
      <c r="P84" s="53">
        <f t="shared" si="2"/>
        <v>0</v>
      </c>
      <c r="Q84" s="53"/>
      <c r="R84" s="53"/>
      <c r="S84" s="53">
        <f t="shared" si="3"/>
        <v>0</v>
      </c>
      <c r="T84" s="53">
        <f t="shared" si="4"/>
        <v>0</v>
      </c>
      <c r="U84" s="53"/>
      <c r="V84" s="53"/>
      <c r="W84" s="53">
        <f t="shared" si="5"/>
        <v>0</v>
      </c>
      <c r="X84" s="53">
        <f t="shared" si="6"/>
        <v>0</v>
      </c>
      <c r="Y84" s="53"/>
      <c r="Z84" s="53"/>
      <c r="AA84" s="53">
        <f t="shared" si="7"/>
        <v>0</v>
      </c>
      <c r="AB84" s="53">
        <f t="shared" si="8"/>
        <v>0</v>
      </c>
      <c r="AC84" s="53"/>
      <c r="AD84" s="53"/>
      <c r="AE84" s="53">
        <f t="shared" si="9"/>
        <v>0</v>
      </c>
      <c r="AF84" s="53">
        <f t="shared" si="10"/>
        <v>0</v>
      </c>
      <c r="AG84" s="53"/>
      <c r="AH84" s="53"/>
      <c r="AI84" s="53">
        <f t="shared" si="11"/>
        <v>0</v>
      </c>
      <c r="AJ84" s="53">
        <f t="shared" si="12"/>
        <v>0</v>
      </c>
      <c r="AK84" s="53"/>
      <c r="AL84" s="53"/>
      <c r="AM84" s="53">
        <f t="shared" si="13"/>
        <v>0</v>
      </c>
      <c r="AN84" s="53">
        <f t="shared" si="14"/>
        <v>0</v>
      </c>
      <c r="AO84" s="53"/>
      <c r="AP84" s="53"/>
      <c r="AQ84" s="53">
        <f t="shared" si="15"/>
        <v>0</v>
      </c>
      <c r="AR84" s="53">
        <f t="shared" si="16"/>
        <v>0</v>
      </c>
      <c r="AS84" s="53"/>
      <c r="AT84" s="53"/>
      <c r="AU84" s="53">
        <f t="shared" si="17"/>
        <v>0</v>
      </c>
      <c r="AV84" s="53">
        <f t="shared" si="18"/>
        <v>0</v>
      </c>
      <c r="AW84" s="53"/>
      <c r="AX84" s="53"/>
      <c r="AY84" s="53">
        <f t="shared" si="19"/>
        <v>0</v>
      </c>
      <c r="AZ84" s="53">
        <f t="shared" si="20"/>
        <v>0</v>
      </c>
      <c r="BA84" s="53"/>
      <c r="BB84" s="53"/>
      <c r="BC84" s="53">
        <f t="shared" si="21"/>
        <v>0</v>
      </c>
      <c r="BD84" s="53">
        <f t="shared" si="22"/>
        <v>0</v>
      </c>
      <c r="BE84" s="53"/>
      <c r="BF84" s="53"/>
      <c r="BG84" s="53">
        <f t="shared" si="23"/>
        <v>0</v>
      </c>
      <c r="BH84" s="53">
        <f t="shared" si="24"/>
        <v>0</v>
      </c>
      <c r="BI84" s="53"/>
      <c r="BJ84" s="53"/>
      <c r="BK84" s="53">
        <f t="shared" si="25"/>
        <v>0</v>
      </c>
      <c r="BL84" s="53">
        <f t="shared" si="26"/>
        <v>0</v>
      </c>
      <c r="BM84" s="54"/>
    </row>
    <row r="85" spans="1:65" ht="12.75">
      <c r="A85" s="49">
        <f>CALENDARIO!A85</f>
        <v>84</v>
      </c>
      <c r="B85" s="50">
        <f>CALENDARIO!B85</f>
        <v>46205</v>
      </c>
      <c r="C85" s="51">
        <f>CALENDARIO!C85</f>
        <v>0.66666666666666663</v>
      </c>
      <c r="D85" s="52" t="str">
        <f>CALENDARIO!D85</f>
        <v>Vencedor Grupo H</v>
      </c>
      <c r="E85" s="52">
        <f>CALENDARIO!E85</f>
        <v>0</v>
      </c>
      <c r="F85" s="49" t="str">
        <f>CALENDARIO!F85</f>
        <v>x</v>
      </c>
      <c r="G85" s="49">
        <f>CALENDARIO!G85</f>
        <v>0</v>
      </c>
      <c r="H85" s="52" t="str">
        <f>CALENDARIO!H85</f>
        <v>2º colocado Grupo J</v>
      </c>
      <c r="I85" s="53"/>
      <c r="J85" s="53"/>
      <c r="K85" s="53">
        <f t="shared" si="27"/>
        <v>0</v>
      </c>
      <c r="L85" s="53">
        <f t="shared" si="0"/>
        <v>0</v>
      </c>
      <c r="M85" s="53"/>
      <c r="N85" s="53"/>
      <c r="O85" s="53">
        <f t="shared" si="1"/>
        <v>0</v>
      </c>
      <c r="P85" s="53">
        <f t="shared" si="2"/>
        <v>0</v>
      </c>
      <c r="Q85" s="53"/>
      <c r="R85" s="53"/>
      <c r="S85" s="53">
        <f t="shared" si="3"/>
        <v>0</v>
      </c>
      <c r="T85" s="53">
        <f t="shared" si="4"/>
        <v>0</v>
      </c>
      <c r="U85" s="53"/>
      <c r="V85" s="53"/>
      <c r="W85" s="53">
        <f t="shared" si="5"/>
        <v>0</v>
      </c>
      <c r="X85" s="53">
        <f t="shared" si="6"/>
        <v>0</v>
      </c>
      <c r="Y85" s="53"/>
      <c r="Z85" s="53"/>
      <c r="AA85" s="53">
        <f t="shared" si="7"/>
        <v>0</v>
      </c>
      <c r="AB85" s="53">
        <f t="shared" si="8"/>
        <v>0</v>
      </c>
      <c r="AC85" s="53"/>
      <c r="AD85" s="53"/>
      <c r="AE85" s="53">
        <f t="shared" si="9"/>
        <v>0</v>
      </c>
      <c r="AF85" s="53">
        <f t="shared" si="10"/>
        <v>0</v>
      </c>
      <c r="AG85" s="53"/>
      <c r="AH85" s="53"/>
      <c r="AI85" s="53">
        <f t="shared" si="11"/>
        <v>0</v>
      </c>
      <c r="AJ85" s="53">
        <f t="shared" si="12"/>
        <v>0</v>
      </c>
      <c r="AK85" s="53"/>
      <c r="AL85" s="53"/>
      <c r="AM85" s="53">
        <f t="shared" si="13"/>
        <v>0</v>
      </c>
      <c r="AN85" s="53">
        <f t="shared" si="14"/>
        <v>0</v>
      </c>
      <c r="AO85" s="53"/>
      <c r="AP85" s="53"/>
      <c r="AQ85" s="53">
        <f t="shared" si="15"/>
        <v>0</v>
      </c>
      <c r="AR85" s="53">
        <f t="shared" si="16"/>
        <v>0</v>
      </c>
      <c r="AS85" s="53"/>
      <c r="AT85" s="53"/>
      <c r="AU85" s="53">
        <f t="shared" si="17"/>
        <v>0</v>
      </c>
      <c r="AV85" s="53">
        <f t="shared" si="18"/>
        <v>0</v>
      </c>
      <c r="AW85" s="53"/>
      <c r="AX85" s="53"/>
      <c r="AY85" s="53">
        <f t="shared" si="19"/>
        <v>0</v>
      </c>
      <c r="AZ85" s="53">
        <f t="shared" si="20"/>
        <v>0</v>
      </c>
      <c r="BA85" s="53"/>
      <c r="BB85" s="53"/>
      <c r="BC85" s="53">
        <f t="shared" si="21"/>
        <v>0</v>
      </c>
      <c r="BD85" s="53">
        <f t="shared" si="22"/>
        <v>0</v>
      </c>
      <c r="BE85" s="53"/>
      <c r="BF85" s="53"/>
      <c r="BG85" s="53">
        <f t="shared" si="23"/>
        <v>0</v>
      </c>
      <c r="BH85" s="53">
        <f t="shared" si="24"/>
        <v>0</v>
      </c>
      <c r="BI85" s="53"/>
      <c r="BJ85" s="53"/>
      <c r="BK85" s="53">
        <f t="shared" si="25"/>
        <v>0</v>
      </c>
      <c r="BL85" s="53">
        <f t="shared" si="26"/>
        <v>0</v>
      </c>
      <c r="BM85" s="54"/>
    </row>
    <row r="86" spans="1:65" ht="12.75">
      <c r="A86" s="49">
        <f>CALENDARIO!A86</f>
        <v>85</v>
      </c>
      <c r="B86" s="50">
        <f>CALENDARIO!B86</f>
        <v>46205</v>
      </c>
      <c r="C86" s="51">
        <f>CALENDARIO!C86</f>
        <v>0</v>
      </c>
      <c r="D86" s="52" t="str">
        <f>CALENDARIO!D86</f>
        <v>Vencedor Grupo B</v>
      </c>
      <c r="E86" s="52">
        <f>CALENDARIO!E86</f>
        <v>0</v>
      </c>
      <c r="F86" s="49" t="str">
        <f>CALENDARIO!F86</f>
        <v>x</v>
      </c>
      <c r="G86" s="49">
        <f>CALENDARIO!G86</f>
        <v>0</v>
      </c>
      <c r="H86" s="52" t="str">
        <f>CALENDARIO!H86</f>
        <v>3º colocado Grupos E/F/G/I/J</v>
      </c>
      <c r="I86" s="53"/>
      <c r="J86" s="53"/>
      <c r="K86" s="53">
        <f t="shared" si="27"/>
        <v>0</v>
      </c>
      <c r="L86" s="53">
        <f t="shared" si="0"/>
        <v>0</v>
      </c>
      <c r="M86" s="53"/>
      <c r="N86" s="53"/>
      <c r="O86" s="53">
        <f t="shared" si="1"/>
        <v>0</v>
      </c>
      <c r="P86" s="53">
        <f t="shared" si="2"/>
        <v>0</v>
      </c>
      <c r="Q86" s="53"/>
      <c r="R86" s="53"/>
      <c r="S86" s="53">
        <f t="shared" si="3"/>
        <v>0</v>
      </c>
      <c r="T86" s="53">
        <f t="shared" si="4"/>
        <v>0</v>
      </c>
      <c r="U86" s="53"/>
      <c r="V86" s="53"/>
      <c r="W86" s="53">
        <f t="shared" si="5"/>
        <v>0</v>
      </c>
      <c r="X86" s="53">
        <f t="shared" si="6"/>
        <v>0</v>
      </c>
      <c r="Y86" s="53"/>
      <c r="Z86" s="53"/>
      <c r="AA86" s="53">
        <f t="shared" si="7"/>
        <v>0</v>
      </c>
      <c r="AB86" s="53">
        <f t="shared" si="8"/>
        <v>0</v>
      </c>
      <c r="AC86" s="53"/>
      <c r="AD86" s="53"/>
      <c r="AE86" s="53">
        <f t="shared" si="9"/>
        <v>0</v>
      </c>
      <c r="AF86" s="53">
        <f t="shared" si="10"/>
        <v>0</v>
      </c>
      <c r="AG86" s="53"/>
      <c r="AH86" s="53"/>
      <c r="AI86" s="53">
        <f t="shared" si="11"/>
        <v>0</v>
      </c>
      <c r="AJ86" s="53">
        <f t="shared" si="12"/>
        <v>0</v>
      </c>
      <c r="AK86" s="53"/>
      <c r="AL86" s="53"/>
      <c r="AM86" s="53">
        <f t="shared" si="13"/>
        <v>0</v>
      </c>
      <c r="AN86" s="53">
        <f t="shared" si="14"/>
        <v>0</v>
      </c>
      <c r="AO86" s="53"/>
      <c r="AP86" s="53"/>
      <c r="AQ86" s="53">
        <f t="shared" si="15"/>
        <v>0</v>
      </c>
      <c r="AR86" s="53">
        <f t="shared" si="16"/>
        <v>0</v>
      </c>
      <c r="AS86" s="53"/>
      <c r="AT86" s="53"/>
      <c r="AU86" s="53">
        <f t="shared" si="17"/>
        <v>0</v>
      </c>
      <c r="AV86" s="53">
        <f t="shared" si="18"/>
        <v>0</v>
      </c>
      <c r="AW86" s="53"/>
      <c r="AX86" s="53"/>
      <c r="AY86" s="53">
        <f t="shared" si="19"/>
        <v>0</v>
      </c>
      <c r="AZ86" s="53">
        <f t="shared" si="20"/>
        <v>0</v>
      </c>
      <c r="BA86" s="53"/>
      <c r="BB86" s="53"/>
      <c r="BC86" s="53">
        <f t="shared" si="21"/>
        <v>0</v>
      </c>
      <c r="BD86" s="53">
        <f t="shared" si="22"/>
        <v>0</v>
      </c>
      <c r="BE86" s="53"/>
      <c r="BF86" s="53"/>
      <c r="BG86" s="53">
        <f t="shared" si="23"/>
        <v>0</v>
      </c>
      <c r="BH86" s="53">
        <f t="shared" si="24"/>
        <v>0</v>
      </c>
      <c r="BI86" s="53"/>
      <c r="BJ86" s="53"/>
      <c r="BK86" s="53">
        <f t="shared" si="25"/>
        <v>0</v>
      </c>
      <c r="BL86" s="53">
        <f t="shared" si="26"/>
        <v>0</v>
      </c>
      <c r="BM86" s="54"/>
    </row>
    <row r="87" spans="1:65" ht="12.75">
      <c r="A87" s="49">
        <f>CALENDARIO!A87</f>
        <v>86</v>
      </c>
      <c r="B87" s="50">
        <f>CALENDARIO!B87</f>
        <v>46206</v>
      </c>
      <c r="C87" s="51">
        <f>CALENDARIO!C87</f>
        <v>0.79166666666666663</v>
      </c>
      <c r="D87" s="52" t="str">
        <f>CALENDARIO!D87</f>
        <v>Vencedor Grupo J</v>
      </c>
      <c r="E87" s="52">
        <f>CALENDARIO!E87</f>
        <v>0</v>
      </c>
      <c r="F87" s="49" t="str">
        <f>CALENDARIO!F87</f>
        <v>x</v>
      </c>
      <c r="G87" s="49">
        <f>CALENDARIO!G87</f>
        <v>0</v>
      </c>
      <c r="H87" s="52" t="str">
        <f>CALENDARIO!H87</f>
        <v>2º colocado Grupo H</v>
      </c>
      <c r="I87" s="53"/>
      <c r="J87" s="53"/>
      <c r="K87" s="53">
        <f t="shared" si="27"/>
        <v>0</v>
      </c>
      <c r="L87" s="53">
        <f t="shared" si="0"/>
        <v>0</v>
      </c>
      <c r="M87" s="53"/>
      <c r="N87" s="53"/>
      <c r="O87" s="53">
        <f t="shared" si="1"/>
        <v>0</v>
      </c>
      <c r="P87" s="53">
        <f t="shared" si="2"/>
        <v>0</v>
      </c>
      <c r="Q87" s="53"/>
      <c r="R87" s="53"/>
      <c r="S87" s="53">
        <f t="shared" si="3"/>
        <v>0</v>
      </c>
      <c r="T87" s="53">
        <f t="shared" si="4"/>
        <v>0</v>
      </c>
      <c r="U87" s="53"/>
      <c r="V87" s="53"/>
      <c r="W87" s="53">
        <f t="shared" si="5"/>
        <v>0</v>
      </c>
      <c r="X87" s="53">
        <f t="shared" si="6"/>
        <v>0</v>
      </c>
      <c r="Y87" s="53"/>
      <c r="Z87" s="53"/>
      <c r="AA87" s="53">
        <f t="shared" si="7"/>
        <v>0</v>
      </c>
      <c r="AB87" s="53">
        <f t="shared" si="8"/>
        <v>0</v>
      </c>
      <c r="AC87" s="53"/>
      <c r="AD87" s="53"/>
      <c r="AE87" s="53">
        <f t="shared" si="9"/>
        <v>0</v>
      </c>
      <c r="AF87" s="53">
        <f t="shared" si="10"/>
        <v>0</v>
      </c>
      <c r="AG87" s="53"/>
      <c r="AH87" s="53"/>
      <c r="AI87" s="53">
        <f t="shared" si="11"/>
        <v>0</v>
      </c>
      <c r="AJ87" s="53">
        <f t="shared" si="12"/>
        <v>0</v>
      </c>
      <c r="AK87" s="53"/>
      <c r="AL87" s="53"/>
      <c r="AM87" s="53">
        <f t="shared" si="13"/>
        <v>0</v>
      </c>
      <c r="AN87" s="53">
        <f t="shared" si="14"/>
        <v>0</v>
      </c>
      <c r="AO87" s="53"/>
      <c r="AP87" s="53"/>
      <c r="AQ87" s="53">
        <f t="shared" si="15"/>
        <v>0</v>
      </c>
      <c r="AR87" s="53">
        <f t="shared" si="16"/>
        <v>0</v>
      </c>
      <c r="AS87" s="53"/>
      <c r="AT87" s="53"/>
      <c r="AU87" s="53">
        <f t="shared" si="17"/>
        <v>0</v>
      </c>
      <c r="AV87" s="53">
        <f t="shared" si="18"/>
        <v>0</v>
      </c>
      <c r="AW87" s="53"/>
      <c r="AX87" s="53"/>
      <c r="AY87" s="53">
        <f t="shared" si="19"/>
        <v>0</v>
      </c>
      <c r="AZ87" s="53">
        <f t="shared" si="20"/>
        <v>0</v>
      </c>
      <c r="BA87" s="53"/>
      <c r="BB87" s="53"/>
      <c r="BC87" s="53">
        <f t="shared" si="21"/>
        <v>0</v>
      </c>
      <c r="BD87" s="53">
        <f t="shared" si="22"/>
        <v>0</v>
      </c>
      <c r="BE87" s="53"/>
      <c r="BF87" s="53"/>
      <c r="BG87" s="53">
        <f t="shared" si="23"/>
        <v>0</v>
      </c>
      <c r="BH87" s="53">
        <f t="shared" si="24"/>
        <v>0</v>
      </c>
      <c r="BI87" s="53"/>
      <c r="BJ87" s="53"/>
      <c r="BK87" s="53">
        <f t="shared" si="25"/>
        <v>0</v>
      </c>
      <c r="BL87" s="53">
        <f t="shared" si="26"/>
        <v>0</v>
      </c>
      <c r="BM87" s="54"/>
    </row>
    <row r="88" spans="1:65" ht="12.75">
      <c r="A88" s="49">
        <f>CALENDARIO!A88</f>
        <v>87</v>
      </c>
      <c r="B88" s="50">
        <f>CALENDARIO!B88</f>
        <v>46206</v>
      </c>
      <c r="C88" s="51">
        <f>CALENDARIO!C88</f>
        <v>0.9375</v>
      </c>
      <c r="D88" s="52" t="str">
        <f>CALENDARIO!D88</f>
        <v>Vencedor Grupo K</v>
      </c>
      <c r="E88" s="52">
        <f>CALENDARIO!E88</f>
        <v>0</v>
      </c>
      <c r="F88" s="49" t="str">
        <f>CALENDARIO!F88</f>
        <v>x</v>
      </c>
      <c r="G88" s="49">
        <f>CALENDARIO!G88</f>
        <v>0</v>
      </c>
      <c r="H88" s="52" t="str">
        <f>CALENDARIO!H88</f>
        <v>3º colocado Grupos D/E/I/J/L</v>
      </c>
      <c r="I88" s="53"/>
      <c r="J88" s="53"/>
      <c r="K88" s="53">
        <f t="shared" si="27"/>
        <v>0</v>
      </c>
      <c r="L88" s="53">
        <f t="shared" si="0"/>
        <v>0</v>
      </c>
      <c r="M88" s="53"/>
      <c r="N88" s="53"/>
      <c r="O88" s="53">
        <f t="shared" si="1"/>
        <v>0</v>
      </c>
      <c r="P88" s="53">
        <f t="shared" si="2"/>
        <v>0</v>
      </c>
      <c r="Q88" s="53"/>
      <c r="R88" s="53"/>
      <c r="S88" s="53">
        <f t="shared" si="3"/>
        <v>0</v>
      </c>
      <c r="T88" s="53">
        <f t="shared" si="4"/>
        <v>0</v>
      </c>
      <c r="U88" s="53"/>
      <c r="V88" s="53"/>
      <c r="W88" s="53">
        <f t="shared" si="5"/>
        <v>0</v>
      </c>
      <c r="X88" s="53">
        <f t="shared" si="6"/>
        <v>0</v>
      </c>
      <c r="Y88" s="53"/>
      <c r="Z88" s="53"/>
      <c r="AA88" s="53">
        <f t="shared" si="7"/>
        <v>0</v>
      </c>
      <c r="AB88" s="53">
        <f t="shared" si="8"/>
        <v>0</v>
      </c>
      <c r="AC88" s="53"/>
      <c r="AD88" s="53"/>
      <c r="AE88" s="53">
        <f t="shared" si="9"/>
        <v>0</v>
      </c>
      <c r="AF88" s="53">
        <f t="shared" si="10"/>
        <v>0</v>
      </c>
      <c r="AG88" s="53"/>
      <c r="AH88" s="53"/>
      <c r="AI88" s="53">
        <f t="shared" si="11"/>
        <v>0</v>
      </c>
      <c r="AJ88" s="53">
        <f t="shared" si="12"/>
        <v>0</v>
      </c>
      <c r="AK88" s="53"/>
      <c r="AL88" s="53"/>
      <c r="AM88" s="53">
        <f t="shared" si="13"/>
        <v>0</v>
      </c>
      <c r="AN88" s="53">
        <f t="shared" si="14"/>
        <v>0</v>
      </c>
      <c r="AO88" s="53"/>
      <c r="AP88" s="53"/>
      <c r="AQ88" s="53">
        <f t="shared" si="15"/>
        <v>0</v>
      </c>
      <c r="AR88" s="53">
        <f t="shared" si="16"/>
        <v>0</v>
      </c>
      <c r="AS88" s="53"/>
      <c r="AT88" s="53"/>
      <c r="AU88" s="53">
        <f t="shared" si="17"/>
        <v>0</v>
      </c>
      <c r="AV88" s="53">
        <f t="shared" si="18"/>
        <v>0</v>
      </c>
      <c r="AW88" s="53"/>
      <c r="AX88" s="53"/>
      <c r="AY88" s="53">
        <f t="shared" si="19"/>
        <v>0</v>
      </c>
      <c r="AZ88" s="53">
        <f t="shared" si="20"/>
        <v>0</v>
      </c>
      <c r="BA88" s="53"/>
      <c r="BB88" s="53"/>
      <c r="BC88" s="53">
        <f t="shared" si="21"/>
        <v>0</v>
      </c>
      <c r="BD88" s="53">
        <f t="shared" si="22"/>
        <v>0</v>
      </c>
      <c r="BE88" s="53"/>
      <c r="BF88" s="53"/>
      <c r="BG88" s="53">
        <f t="shared" si="23"/>
        <v>0</v>
      </c>
      <c r="BH88" s="53">
        <f t="shared" si="24"/>
        <v>0</v>
      </c>
      <c r="BI88" s="53"/>
      <c r="BJ88" s="53"/>
      <c r="BK88" s="53">
        <f t="shared" si="25"/>
        <v>0</v>
      </c>
      <c r="BL88" s="53">
        <f t="shared" si="26"/>
        <v>0</v>
      </c>
      <c r="BM88" s="54"/>
    </row>
    <row r="89" spans="1:65" ht="12.75">
      <c r="A89" s="49">
        <f>CALENDARIO!A89</f>
        <v>88</v>
      </c>
      <c r="B89" s="50">
        <f>CALENDARIO!B89</f>
        <v>46206</v>
      </c>
      <c r="C89" s="51">
        <f>CALENDARIO!C89</f>
        <v>0.625</v>
      </c>
      <c r="D89" s="52" t="str">
        <f>CALENDARIO!D89</f>
        <v>2º colocado Grupo D</v>
      </c>
      <c r="E89" s="52">
        <f>CALENDARIO!E89</f>
        <v>0</v>
      </c>
      <c r="F89" s="49" t="str">
        <f>CALENDARIO!F89</f>
        <v>x</v>
      </c>
      <c r="G89" s="49">
        <f>CALENDARIO!G89</f>
        <v>0</v>
      </c>
      <c r="H89" s="52" t="str">
        <f>CALENDARIO!H89</f>
        <v>2º colocado Grupo G</v>
      </c>
      <c r="I89" s="53"/>
      <c r="J89" s="53"/>
      <c r="K89" s="53">
        <f t="shared" si="27"/>
        <v>0</v>
      </c>
      <c r="L89" s="53">
        <f t="shared" si="0"/>
        <v>0</v>
      </c>
      <c r="M89" s="53"/>
      <c r="N89" s="53"/>
      <c r="O89" s="53">
        <f t="shared" si="1"/>
        <v>0</v>
      </c>
      <c r="P89" s="53">
        <f t="shared" si="2"/>
        <v>0</v>
      </c>
      <c r="Q89" s="53"/>
      <c r="R89" s="53"/>
      <c r="S89" s="53">
        <f t="shared" si="3"/>
        <v>0</v>
      </c>
      <c r="T89" s="53">
        <f t="shared" si="4"/>
        <v>0</v>
      </c>
      <c r="U89" s="53"/>
      <c r="V89" s="53"/>
      <c r="W89" s="53">
        <f t="shared" si="5"/>
        <v>0</v>
      </c>
      <c r="X89" s="53">
        <f t="shared" si="6"/>
        <v>0</v>
      </c>
      <c r="Y89" s="53"/>
      <c r="Z89" s="53"/>
      <c r="AA89" s="53">
        <f t="shared" si="7"/>
        <v>0</v>
      </c>
      <c r="AB89" s="53">
        <f t="shared" si="8"/>
        <v>0</v>
      </c>
      <c r="AC89" s="53"/>
      <c r="AD89" s="53"/>
      <c r="AE89" s="53">
        <f t="shared" si="9"/>
        <v>0</v>
      </c>
      <c r="AF89" s="53">
        <f t="shared" si="10"/>
        <v>0</v>
      </c>
      <c r="AG89" s="53"/>
      <c r="AH89" s="53"/>
      <c r="AI89" s="53">
        <f t="shared" si="11"/>
        <v>0</v>
      </c>
      <c r="AJ89" s="53">
        <f t="shared" si="12"/>
        <v>0</v>
      </c>
      <c r="AK89" s="53"/>
      <c r="AL89" s="53"/>
      <c r="AM89" s="53">
        <f t="shared" si="13"/>
        <v>0</v>
      </c>
      <c r="AN89" s="53">
        <f t="shared" si="14"/>
        <v>0</v>
      </c>
      <c r="AO89" s="53"/>
      <c r="AP89" s="53"/>
      <c r="AQ89" s="53">
        <f t="shared" si="15"/>
        <v>0</v>
      </c>
      <c r="AR89" s="53">
        <f t="shared" si="16"/>
        <v>0</v>
      </c>
      <c r="AS89" s="53"/>
      <c r="AT89" s="53"/>
      <c r="AU89" s="53">
        <f t="shared" si="17"/>
        <v>0</v>
      </c>
      <c r="AV89" s="53">
        <f t="shared" si="18"/>
        <v>0</v>
      </c>
      <c r="AW89" s="53"/>
      <c r="AX89" s="53"/>
      <c r="AY89" s="53">
        <f t="shared" si="19"/>
        <v>0</v>
      </c>
      <c r="AZ89" s="53">
        <f t="shared" si="20"/>
        <v>0</v>
      </c>
      <c r="BA89" s="53"/>
      <c r="BB89" s="53"/>
      <c r="BC89" s="53">
        <f t="shared" si="21"/>
        <v>0</v>
      </c>
      <c r="BD89" s="53">
        <f t="shared" si="22"/>
        <v>0</v>
      </c>
      <c r="BE89" s="53"/>
      <c r="BF89" s="53"/>
      <c r="BG89" s="53">
        <f t="shared" si="23"/>
        <v>0</v>
      </c>
      <c r="BH89" s="53">
        <f t="shared" si="24"/>
        <v>0</v>
      </c>
      <c r="BI89" s="53"/>
      <c r="BJ89" s="53"/>
      <c r="BK89" s="53">
        <f t="shared" si="25"/>
        <v>0</v>
      </c>
      <c r="BL89" s="53">
        <f t="shared" si="26"/>
        <v>0</v>
      </c>
      <c r="BM89" s="54"/>
    </row>
    <row r="90" spans="1:65" ht="12.75">
      <c r="A90" s="49">
        <f>CALENDARIO!A90</f>
        <v>89</v>
      </c>
      <c r="B90" s="50">
        <f>CALENDARIO!B90</f>
        <v>46207</v>
      </c>
      <c r="C90" s="51">
        <f>CALENDARIO!C90</f>
        <v>0.75</v>
      </c>
      <c r="D90" s="52" t="str">
        <f>CALENDARIO!D90</f>
        <v>Vencedor jogo 74</v>
      </c>
      <c r="E90" s="52">
        <f>CALENDARIO!E90</f>
        <v>0</v>
      </c>
      <c r="F90" s="49" t="str">
        <f>CALENDARIO!F90</f>
        <v>x</v>
      </c>
      <c r="G90" s="49">
        <f>CALENDARIO!G90</f>
        <v>0</v>
      </c>
      <c r="H90" s="52" t="str">
        <f>CALENDARIO!H90</f>
        <v>Vencedor jogo 77</v>
      </c>
      <c r="I90" s="53"/>
      <c r="J90" s="53"/>
      <c r="K90" s="53">
        <f t="shared" si="27"/>
        <v>0</v>
      </c>
      <c r="L90" s="53">
        <f t="shared" si="0"/>
        <v>0</v>
      </c>
      <c r="M90" s="53"/>
      <c r="N90" s="53"/>
      <c r="O90" s="53">
        <f t="shared" si="1"/>
        <v>0</v>
      </c>
      <c r="P90" s="53">
        <f t="shared" si="2"/>
        <v>0</v>
      </c>
      <c r="Q90" s="53"/>
      <c r="R90" s="53"/>
      <c r="S90" s="53">
        <f t="shared" si="3"/>
        <v>0</v>
      </c>
      <c r="T90" s="53">
        <f t="shared" si="4"/>
        <v>0</v>
      </c>
      <c r="U90" s="53"/>
      <c r="V90" s="53"/>
      <c r="W90" s="53">
        <f t="shared" si="5"/>
        <v>0</v>
      </c>
      <c r="X90" s="53">
        <f t="shared" si="6"/>
        <v>0</v>
      </c>
      <c r="Y90" s="53"/>
      <c r="Z90" s="53"/>
      <c r="AA90" s="53">
        <f t="shared" si="7"/>
        <v>0</v>
      </c>
      <c r="AB90" s="53">
        <f t="shared" si="8"/>
        <v>0</v>
      </c>
      <c r="AC90" s="53"/>
      <c r="AD90" s="53"/>
      <c r="AE90" s="53">
        <f t="shared" si="9"/>
        <v>0</v>
      </c>
      <c r="AF90" s="53">
        <f t="shared" si="10"/>
        <v>0</v>
      </c>
      <c r="AG90" s="53"/>
      <c r="AH90" s="53"/>
      <c r="AI90" s="53">
        <f t="shared" si="11"/>
        <v>0</v>
      </c>
      <c r="AJ90" s="53">
        <f t="shared" si="12"/>
        <v>0</v>
      </c>
      <c r="AK90" s="53"/>
      <c r="AL90" s="53"/>
      <c r="AM90" s="53">
        <f t="shared" si="13"/>
        <v>0</v>
      </c>
      <c r="AN90" s="53">
        <f t="shared" si="14"/>
        <v>0</v>
      </c>
      <c r="AO90" s="53"/>
      <c r="AP90" s="53"/>
      <c r="AQ90" s="53">
        <f t="shared" si="15"/>
        <v>0</v>
      </c>
      <c r="AR90" s="53">
        <f t="shared" si="16"/>
        <v>0</v>
      </c>
      <c r="AS90" s="53"/>
      <c r="AT90" s="53"/>
      <c r="AU90" s="53">
        <f t="shared" si="17"/>
        <v>0</v>
      </c>
      <c r="AV90" s="53">
        <f t="shared" si="18"/>
        <v>0</v>
      </c>
      <c r="AW90" s="53"/>
      <c r="AX90" s="53"/>
      <c r="AY90" s="53">
        <f t="shared" si="19"/>
        <v>0</v>
      </c>
      <c r="AZ90" s="53">
        <f t="shared" si="20"/>
        <v>0</v>
      </c>
      <c r="BA90" s="53"/>
      <c r="BB90" s="53"/>
      <c r="BC90" s="53">
        <f t="shared" si="21"/>
        <v>0</v>
      </c>
      <c r="BD90" s="53">
        <f t="shared" si="22"/>
        <v>0</v>
      </c>
      <c r="BE90" s="53"/>
      <c r="BF90" s="53"/>
      <c r="BG90" s="53">
        <f t="shared" si="23"/>
        <v>0</v>
      </c>
      <c r="BH90" s="53">
        <f t="shared" si="24"/>
        <v>0</v>
      </c>
      <c r="BI90" s="53"/>
      <c r="BJ90" s="53"/>
      <c r="BK90" s="53">
        <f t="shared" si="25"/>
        <v>0</v>
      </c>
      <c r="BL90" s="53">
        <f t="shared" si="26"/>
        <v>0</v>
      </c>
      <c r="BM90" s="54"/>
    </row>
    <row r="91" spans="1:65" ht="12.75">
      <c r="A91" s="49">
        <f>CALENDARIO!A91</f>
        <v>90</v>
      </c>
      <c r="B91" s="50">
        <f>CALENDARIO!B91</f>
        <v>46207</v>
      </c>
      <c r="C91" s="51">
        <f>CALENDARIO!C91</f>
        <v>0.58333333333333337</v>
      </c>
      <c r="D91" s="52" t="str">
        <f>CALENDARIO!D91</f>
        <v>Vencedor jogo 73</v>
      </c>
      <c r="E91" s="52">
        <f>CALENDARIO!E91</f>
        <v>0</v>
      </c>
      <c r="F91" s="49" t="str">
        <f>CALENDARIO!F91</f>
        <v>x</v>
      </c>
      <c r="G91" s="49">
        <f>CALENDARIO!G91</f>
        <v>0</v>
      </c>
      <c r="H91" s="52" t="str">
        <f>CALENDARIO!H91</f>
        <v>Vencedor jogo 75</v>
      </c>
      <c r="I91" s="53"/>
      <c r="J91" s="53"/>
      <c r="K91" s="53">
        <f t="shared" si="27"/>
        <v>0</v>
      </c>
      <c r="L91" s="53">
        <f t="shared" si="0"/>
        <v>0</v>
      </c>
      <c r="M91" s="53"/>
      <c r="N91" s="53"/>
      <c r="O91" s="53">
        <f t="shared" si="1"/>
        <v>0</v>
      </c>
      <c r="P91" s="53">
        <f t="shared" si="2"/>
        <v>0</v>
      </c>
      <c r="Q91" s="53"/>
      <c r="R91" s="53"/>
      <c r="S91" s="53">
        <f t="shared" si="3"/>
        <v>0</v>
      </c>
      <c r="T91" s="53">
        <f t="shared" si="4"/>
        <v>0</v>
      </c>
      <c r="U91" s="53"/>
      <c r="V91" s="53"/>
      <c r="W91" s="53">
        <f t="shared" si="5"/>
        <v>0</v>
      </c>
      <c r="X91" s="53">
        <f t="shared" si="6"/>
        <v>0</v>
      </c>
      <c r="Y91" s="53"/>
      <c r="Z91" s="53"/>
      <c r="AA91" s="53">
        <f t="shared" si="7"/>
        <v>0</v>
      </c>
      <c r="AB91" s="53">
        <f t="shared" si="8"/>
        <v>0</v>
      </c>
      <c r="AC91" s="53"/>
      <c r="AD91" s="53"/>
      <c r="AE91" s="53">
        <f t="shared" si="9"/>
        <v>0</v>
      </c>
      <c r="AF91" s="53">
        <f t="shared" si="10"/>
        <v>0</v>
      </c>
      <c r="AG91" s="53"/>
      <c r="AH91" s="53"/>
      <c r="AI91" s="53">
        <f t="shared" si="11"/>
        <v>0</v>
      </c>
      <c r="AJ91" s="53">
        <f t="shared" si="12"/>
        <v>0</v>
      </c>
      <c r="AK91" s="53"/>
      <c r="AL91" s="53"/>
      <c r="AM91" s="53">
        <f t="shared" si="13"/>
        <v>0</v>
      </c>
      <c r="AN91" s="53">
        <f t="shared" si="14"/>
        <v>0</v>
      </c>
      <c r="AO91" s="53"/>
      <c r="AP91" s="53"/>
      <c r="AQ91" s="53">
        <f t="shared" si="15"/>
        <v>0</v>
      </c>
      <c r="AR91" s="53">
        <f t="shared" si="16"/>
        <v>0</v>
      </c>
      <c r="AS91" s="53"/>
      <c r="AT91" s="53"/>
      <c r="AU91" s="53">
        <f t="shared" si="17"/>
        <v>0</v>
      </c>
      <c r="AV91" s="53">
        <f t="shared" si="18"/>
        <v>0</v>
      </c>
      <c r="AW91" s="53"/>
      <c r="AX91" s="53"/>
      <c r="AY91" s="53">
        <f t="shared" si="19"/>
        <v>0</v>
      </c>
      <c r="AZ91" s="53">
        <f t="shared" si="20"/>
        <v>0</v>
      </c>
      <c r="BA91" s="53"/>
      <c r="BB91" s="53"/>
      <c r="BC91" s="53">
        <f t="shared" si="21"/>
        <v>0</v>
      </c>
      <c r="BD91" s="53">
        <f t="shared" si="22"/>
        <v>0</v>
      </c>
      <c r="BE91" s="53"/>
      <c r="BF91" s="53"/>
      <c r="BG91" s="53">
        <f t="shared" si="23"/>
        <v>0</v>
      </c>
      <c r="BH91" s="53">
        <f t="shared" si="24"/>
        <v>0</v>
      </c>
      <c r="BI91" s="53"/>
      <c r="BJ91" s="53"/>
      <c r="BK91" s="53">
        <f t="shared" si="25"/>
        <v>0</v>
      </c>
      <c r="BL91" s="53">
        <f t="shared" si="26"/>
        <v>0</v>
      </c>
      <c r="BM91" s="54"/>
    </row>
    <row r="92" spans="1:65" ht="12.75">
      <c r="A92" s="49">
        <f>CALENDARIO!A92</f>
        <v>91</v>
      </c>
      <c r="B92" s="50">
        <f>CALENDARIO!B92</f>
        <v>46208</v>
      </c>
      <c r="C92" s="51">
        <f>CALENDARIO!C92</f>
        <v>0.70833333333333337</v>
      </c>
      <c r="D92" s="52" t="str">
        <f>CALENDARIO!D92</f>
        <v>Vencedor jogo 76</v>
      </c>
      <c r="E92" s="52">
        <f>CALENDARIO!E92</f>
        <v>0</v>
      </c>
      <c r="F92" s="49" t="str">
        <f>CALENDARIO!F92</f>
        <v>x</v>
      </c>
      <c r="G92" s="49">
        <f>CALENDARIO!G92</f>
        <v>0</v>
      </c>
      <c r="H92" s="52" t="str">
        <f>CALENDARIO!H92</f>
        <v>Vencedor jogo 78</v>
      </c>
      <c r="I92" s="53"/>
      <c r="J92" s="53"/>
      <c r="K92" s="53">
        <f t="shared" si="27"/>
        <v>0</v>
      </c>
      <c r="L92" s="53">
        <f t="shared" si="0"/>
        <v>0</v>
      </c>
      <c r="M92" s="53"/>
      <c r="N92" s="53"/>
      <c r="O92" s="53">
        <f t="shared" si="1"/>
        <v>0</v>
      </c>
      <c r="P92" s="53">
        <f t="shared" si="2"/>
        <v>0</v>
      </c>
      <c r="Q92" s="53"/>
      <c r="R92" s="53"/>
      <c r="S92" s="53">
        <f t="shared" si="3"/>
        <v>0</v>
      </c>
      <c r="T92" s="53">
        <f t="shared" si="4"/>
        <v>0</v>
      </c>
      <c r="U92" s="53"/>
      <c r="V92" s="53"/>
      <c r="W92" s="53">
        <f t="shared" si="5"/>
        <v>0</v>
      </c>
      <c r="X92" s="53">
        <f t="shared" si="6"/>
        <v>0</v>
      </c>
      <c r="Y92" s="53"/>
      <c r="Z92" s="53"/>
      <c r="AA92" s="53">
        <f t="shared" si="7"/>
        <v>0</v>
      </c>
      <c r="AB92" s="53">
        <f t="shared" si="8"/>
        <v>0</v>
      </c>
      <c r="AC92" s="53"/>
      <c r="AD92" s="53"/>
      <c r="AE92" s="53">
        <f t="shared" si="9"/>
        <v>0</v>
      </c>
      <c r="AF92" s="53">
        <f t="shared" si="10"/>
        <v>0</v>
      </c>
      <c r="AG92" s="53"/>
      <c r="AH92" s="53"/>
      <c r="AI92" s="53">
        <f t="shared" si="11"/>
        <v>0</v>
      </c>
      <c r="AJ92" s="53">
        <f t="shared" si="12"/>
        <v>0</v>
      </c>
      <c r="AK92" s="53"/>
      <c r="AL92" s="53"/>
      <c r="AM92" s="53">
        <f t="shared" si="13"/>
        <v>0</v>
      </c>
      <c r="AN92" s="53">
        <f t="shared" si="14"/>
        <v>0</v>
      </c>
      <c r="AO92" s="53"/>
      <c r="AP92" s="53"/>
      <c r="AQ92" s="53">
        <f t="shared" si="15"/>
        <v>0</v>
      </c>
      <c r="AR92" s="53">
        <f t="shared" si="16"/>
        <v>0</v>
      </c>
      <c r="AS92" s="53"/>
      <c r="AT92" s="53"/>
      <c r="AU92" s="53">
        <f t="shared" si="17"/>
        <v>0</v>
      </c>
      <c r="AV92" s="53">
        <f t="shared" si="18"/>
        <v>0</v>
      </c>
      <c r="AW92" s="53"/>
      <c r="AX92" s="53"/>
      <c r="AY92" s="53">
        <f t="shared" si="19"/>
        <v>0</v>
      </c>
      <c r="AZ92" s="53">
        <f t="shared" si="20"/>
        <v>0</v>
      </c>
      <c r="BA92" s="53"/>
      <c r="BB92" s="53"/>
      <c r="BC92" s="53">
        <f t="shared" si="21"/>
        <v>0</v>
      </c>
      <c r="BD92" s="53">
        <f t="shared" si="22"/>
        <v>0</v>
      </c>
      <c r="BE92" s="53"/>
      <c r="BF92" s="53"/>
      <c r="BG92" s="53">
        <f t="shared" si="23"/>
        <v>0</v>
      </c>
      <c r="BH92" s="53">
        <f t="shared" si="24"/>
        <v>0</v>
      </c>
      <c r="BI92" s="53"/>
      <c r="BJ92" s="53"/>
      <c r="BK92" s="53">
        <f t="shared" si="25"/>
        <v>0</v>
      </c>
      <c r="BL92" s="53">
        <f t="shared" si="26"/>
        <v>0</v>
      </c>
      <c r="BM92" s="54"/>
    </row>
    <row r="93" spans="1:65" ht="12.75">
      <c r="A93" s="49">
        <f>CALENDARIO!A93</f>
        <v>92</v>
      </c>
      <c r="B93" s="50">
        <f>CALENDARIO!B93</f>
        <v>46208</v>
      </c>
      <c r="C93" s="51">
        <f>CALENDARIO!C93</f>
        <v>0.875</v>
      </c>
      <c r="D93" s="52" t="str">
        <f>CALENDARIO!D93</f>
        <v>Vencedor jogo 79</v>
      </c>
      <c r="E93" s="52">
        <f>CALENDARIO!E93</f>
        <v>0</v>
      </c>
      <c r="F93" s="49" t="str">
        <f>CALENDARIO!F93</f>
        <v>x</v>
      </c>
      <c r="G93" s="49">
        <f>CALENDARIO!G93</f>
        <v>0</v>
      </c>
      <c r="H93" s="52" t="str">
        <f>CALENDARIO!H93</f>
        <v>Vencedor jogo 80</v>
      </c>
      <c r="I93" s="53"/>
      <c r="J93" s="53"/>
      <c r="K93" s="53">
        <f t="shared" si="27"/>
        <v>0</v>
      </c>
      <c r="L93" s="53">
        <f t="shared" si="0"/>
        <v>0</v>
      </c>
      <c r="M93" s="53"/>
      <c r="N93" s="53"/>
      <c r="O93" s="53">
        <f t="shared" si="1"/>
        <v>0</v>
      </c>
      <c r="P93" s="53">
        <f t="shared" si="2"/>
        <v>0</v>
      </c>
      <c r="Q93" s="53"/>
      <c r="R93" s="53"/>
      <c r="S93" s="53">
        <f t="shared" si="3"/>
        <v>0</v>
      </c>
      <c r="T93" s="53">
        <f t="shared" si="4"/>
        <v>0</v>
      </c>
      <c r="U93" s="53"/>
      <c r="V93" s="53"/>
      <c r="W93" s="53">
        <f t="shared" si="5"/>
        <v>0</v>
      </c>
      <c r="X93" s="53">
        <f t="shared" si="6"/>
        <v>0</v>
      </c>
      <c r="Y93" s="53"/>
      <c r="Z93" s="53"/>
      <c r="AA93" s="53">
        <f t="shared" si="7"/>
        <v>0</v>
      </c>
      <c r="AB93" s="53">
        <f t="shared" si="8"/>
        <v>0</v>
      </c>
      <c r="AC93" s="53"/>
      <c r="AD93" s="53"/>
      <c r="AE93" s="53">
        <f t="shared" si="9"/>
        <v>0</v>
      </c>
      <c r="AF93" s="53">
        <f t="shared" si="10"/>
        <v>0</v>
      </c>
      <c r="AG93" s="53"/>
      <c r="AH93" s="53"/>
      <c r="AI93" s="53">
        <f t="shared" si="11"/>
        <v>0</v>
      </c>
      <c r="AJ93" s="53">
        <f t="shared" si="12"/>
        <v>0</v>
      </c>
      <c r="AK93" s="53"/>
      <c r="AL93" s="53"/>
      <c r="AM93" s="53">
        <f t="shared" si="13"/>
        <v>0</v>
      </c>
      <c r="AN93" s="53">
        <f t="shared" si="14"/>
        <v>0</v>
      </c>
      <c r="AO93" s="53"/>
      <c r="AP93" s="53"/>
      <c r="AQ93" s="53">
        <f t="shared" si="15"/>
        <v>0</v>
      </c>
      <c r="AR93" s="53">
        <f t="shared" si="16"/>
        <v>0</v>
      </c>
      <c r="AS93" s="53"/>
      <c r="AT93" s="53"/>
      <c r="AU93" s="53">
        <f t="shared" si="17"/>
        <v>0</v>
      </c>
      <c r="AV93" s="53">
        <f t="shared" si="18"/>
        <v>0</v>
      </c>
      <c r="AW93" s="53"/>
      <c r="AX93" s="53"/>
      <c r="AY93" s="53">
        <f t="shared" si="19"/>
        <v>0</v>
      </c>
      <c r="AZ93" s="53">
        <f t="shared" si="20"/>
        <v>0</v>
      </c>
      <c r="BA93" s="53"/>
      <c r="BB93" s="53"/>
      <c r="BC93" s="53">
        <f t="shared" si="21"/>
        <v>0</v>
      </c>
      <c r="BD93" s="53">
        <f t="shared" si="22"/>
        <v>0</v>
      </c>
      <c r="BE93" s="53"/>
      <c r="BF93" s="53"/>
      <c r="BG93" s="53">
        <f t="shared" si="23"/>
        <v>0</v>
      </c>
      <c r="BH93" s="53">
        <f t="shared" si="24"/>
        <v>0</v>
      </c>
      <c r="BI93" s="53"/>
      <c r="BJ93" s="53"/>
      <c r="BK93" s="53">
        <f t="shared" si="25"/>
        <v>0</v>
      </c>
      <c r="BL93" s="53">
        <f t="shared" si="26"/>
        <v>0</v>
      </c>
      <c r="BM93" s="54"/>
    </row>
    <row r="94" spans="1:65" ht="12.75">
      <c r="A94" s="49">
        <f>CALENDARIO!A94</f>
        <v>93</v>
      </c>
      <c r="B94" s="50">
        <f>CALENDARIO!B94</f>
        <v>46209</v>
      </c>
      <c r="C94" s="51">
        <f>CALENDARIO!C94</f>
        <v>0.66666666666666663</v>
      </c>
      <c r="D94" s="52" t="str">
        <f>CALENDARIO!D94</f>
        <v>Vencedor jogo 83</v>
      </c>
      <c r="E94" s="52">
        <f>CALENDARIO!E94</f>
        <v>0</v>
      </c>
      <c r="F94" s="49" t="str">
        <f>CALENDARIO!F94</f>
        <v>x</v>
      </c>
      <c r="G94" s="49">
        <f>CALENDARIO!G94</f>
        <v>0</v>
      </c>
      <c r="H94" s="52" t="str">
        <f>CALENDARIO!H94</f>
        <v>Vencedor jogo 84</v>
      </c>
      <c r="I94" s="53"/>
      <c r="J94" s="53"/>
      <c r="K94" s="53">
        <f t="shared" si="27"/>
        <v>0</v>
      </c>
      <c r="L94" s="53">
        <f t="shared" si="0"/>
        <v>0</v>
      </c>
      <c r="M94" s="53"/>
      <c r="N94" s="53"/>
      <c r="O94" s="53">
        <f t="shared" si="1"/>
        <v>0</v>
      </c>
      <c r="P94" s="53">
        <f t="shared" si="2"/>
        <v>0</v>
      </c>
      <c r="Q94" s="53"/>
      <c r="R94" s="53"/>
      <c r="S94" s="53">
        <f t="shared" si="3"/>
        <v>0</v>
      </c>
      <c r="T94" s="53">
        <f t="shared" si="4"/>
        <v>0</v>
      </c>
      <c r="U94" s="53"/>
      <c r="V94" s="53"/>
      <c r="W94" s="53">
        <f t="shared" si="5"/>
        <v>0</v>
      </c>
      <c r="X94" s="53">
        <f t="shared" si="6"/>
        <v>0</v>
      </c>
      <c r="Y94" s="53"/>
      <c r="Z94" s="53"/>
      <c r="AA94" s="53">
        <f t="shared" si="7"/>
        <v>0</v>
      </c>
      <c r="AB94" s="53">
        <f t="shared" si="8"/>
        <v>0</v>
      </c>
      <c r="AC94" s="53"/>
      <c r="AD94" s="53"/>
      <c r="AE94" s="53">
        <f t="shared" si="9"/>
        <v>0</v>
      </c>
      <c r="AF94" s="53">
        <f t="shared" si="10"/>
        <v>0</v>
      </c>
      <c r="AG94" s="53"/>
      <c r="AH94" s="53"/>
      <c r="AI94" s="53">
        <f t="shared" si="11"/>
        <v>0</v>
      </c>
      <c r="AJ94" s="53">
        <f t="shared" si="12"/>
        <v>0</v>
      </c>
      <c r="AK94" s="53"/>
      <c r="AL94" s="53"/>
      <c r="AM94" s="53">
        <f t="shared" si="13"/>
        <v>0</v>
      </c>
      <c r="AN94" s="53">
        <f t="shared" si="14"/>
        <v>0</v>
      </c>
      <c r="AO94" s="53"/>
      <c r="AP94" s="53"/>
      <c r="AQ94" s="53">
        <f t="shared" si="15"/>
        <v>0</v>
      </c>
      <c r="AR94" s="53">
        <f t="shared" si="16"/>
        <v>0</v>
      </c>
      <c r="AS94" s="53"/>
      <c r="AT94" s="53"/>
      <c r="AU94" s="53">
        <f t="shared" si="17"/>
        <v>0</v>
      </c>
      <c r="AV94" s="53">
        <f t="shared" si="18"/>
        <v>0</v>
      </c>
      <c r="AW94" s="53"/>
      <c r="AX94" s="53"/>
      <c r="AY94" s="53">
        <f t="shared" si="19"/>
        <v>0</v>
      </c>
      <c r="AZ94" s="53">
        <f t="shared" si="20"/>
        <v>0</v>
      </c>
      <c r="BA94" s="53"/>
      <c r="BB94" s="53"/>
      <c r="BC94" s="53">
        <f t="shared" si="21"/>
        <v>0</v>
      </c>
      <c r="BD94" s="53">
        <f t="shared" si="22"/>
        <v>0</v>
      </c>
      <c r="BE94" s="53"/>
      <c r="BF94" s="53"/>
      <c r="BG94" s="53">
        <f t="shared" si="23"/>
        <v>0</v>
      </c>
      <c r="BH94" s="53">
        <f t="shared" si="24"/>
        <v>0</v>
      </c>
      <c r="BI94" s="53"/>
      <c r="BJ94" s="53"/>
      <c r="BK94" s="53">
        <f t="shared" si="25"/>
        <v>0</v>
      </c>
      <c r="BL94" s="53">
        <f t="shared" si="26"/>
        <v>0</v>
      </c>
      <c r="BM94" s="54"/>
    </row>
    <row r="95" spans="1:65" ht="12.75">
      <c r="A95" s="49">
        <f>CALENDARIO!A95</f>
        <v>94</v>
      </c>
      <c r="B95" s="50">
        <f>CALENDARIO!B95</f>
        <v>46209</v>
      </c>
      <c r="C95" s="51">
        <f>CALENDARIO!C95</f>
        <v>0.875</v>
      </c>
      <c r="D95" s="52" t="str">
        <f>CALENDARIO!D95</f>
        <v>Vencedor jogo 81</v>
      </c>
      <c r="E95" s="52">
        <f>CALENDARIO!E95</f>
        <v>0</v>
      </c>
      <c r="F95" s="49" t="str">
        <f>CALENDARIO!F95</f>
        <v>x</v>
      </c>
      <c r="G95" s="49">
        <f>CALENDARIO!G95</f>
        <v>0</v>
      </c>
      <c r="H95" s="52" t="str">
        <f>CALENDARIO!H95</f>
        <v>Vencedor jogo 82</v>
      </c>
      <c r="I95" s="53"/>
      <c r="J95" s="53"/>
      <c r="K95" s="53">
        <f t="shared" si="27"/>
        <v>0</v>
      </c>
      <c r="L95" s="53">
        <f t="shared" si="0"/>
        <v>0</v>
      </c>
      <c r="M95" s="53"/>
      <c r="N95" s="53"/>
      <c r="O95" s="53">
        <f t="shared" si="1"/>
        <v>0</v>
      </c>
      <c r="P95" s="53">
        <f t="shared" si="2"/>
        <v>0</v>
      </c>
      <c r="Q95" s="53"/>
      <c r="R95" s="53"/>
      <c r="S95" s="53">
        <f t="shared" si="3"/>
        <v>0</v>
      </c>
      <c r="T95" s="53">
        <f t="shared" si="4"/>
        <v>0</v>
      </c>
      <c r="U95" s="53"/>
      <c r="V95" s="53"/>
      <c r="W95" s="53">
        <f t="shared" si="5"/>
        <v>0</v>
      </c>
      <c r="X95" s="53">
        <f t="shared" si="6"/>
        <v>0</v>
      </c>
      <c r="Y95" s="53"/>
      <c r="Z95" s="53"/>
      <c r="AA95" s="53">
        <f t="shared" si="7"/>
        <v>0</v>
      </c>
      <c r="AB95" s="53">
        <f t="shared" si="8"/>
        <v>0</v>
      </c>
      <c r="AC95" s="53"/>
      <c r="AD95" s="53"/>
      <c r="AE95" s="53">
        <f t="shared" si="9"/>
        <v>0</v>
      </c>
      <c r="AF95" s="53">
        <f t="shared" si="10"/>
        <v>0</v>
      </c>
      <c r="AG95" s="53"/>
      <c r="AH95" s="53"/>
      <c r="AI95" s="53">
        <f t="shared" si="11"/>
        <v>0</v>
      </c>
      <c r="AJ95" s="53">
        <f t="shared" si="12"/>
        <v>0</v>
      </c>
      <c r="AK95" s="53"/>
      <c r="AL95" s="53"/>
      <c r="AM95" s="53">
        <f t="shared" si="13"/>
        <v>0</v>
      </c>
      <c r="AN95" s="53">
        <f t="shared" si="14"/>
        <v>0</v>
      </c>
      <c r="AO95" s="53"/>
      <c r="AP95" s="53"/>
      <c r="AQ95" s="53">
        <f t="shared" si="15"/>
        <v>0</v>
      </c>
      <c r="AR95" s="53">
        <f t="shared" si="16"/>
        <v>0</v>
      </c>
      <c r="AS95" s="53"/>
      <c r="AT95" s="53"/>
      <c r="AU95" s="53">
        <f t="shared" si="17"/>
        <v>0</v>
      </c>
      <c r="AV95" s="53">
        <f t="shared" si="18"/>
        <v>0</v>
      </c>
      <c r="AW95" s="53"/>
      <c r="AX95" s="53"/>
      <c r="AY95" s="53">
        <f t="shared" si="19"/>
        <v>0</v>
      </c>
      <c r="AZ95" s="53">
        <f t="shared" si="20"/>
        <v>0</v>
      </c>
      <c r="BA95" s="53"/>
      <c r="BB95" s="53"/>
      <c r="BC95" s="53">
        <f t="shared" si="21"/>
        <v>0</v>
      </c>
      <c r="BD95" s="53">
        <f t="shared" si="22"/>
        <v>0</v>
      </c>
      <c r="BE95" s="53"/>
      <c r="BF95" s="53"/>
      <c r="BG95" s="53">
        <f t="shared" si="23"/>
        <v>0</v>
      </c>
      <c r="BH95" s="53">
        <f t="shared" si="24"/>
        <v>0</v>
      </c>
      <c r="BI95" s="53"/>
      <c r="BJ95" s="53"/>
      <c r="BK95" s="53">
        <f t="shared" si="25"/>
        <v>0</v>
      </c>
      <c r="BL95" s="53">
        <f t="shared" si="26"/>
        <v>0</v>
      </c>
      <c r="BM95" s="54"/>
    </row>
    <row r="96" spans="1:65" ht="12.75">
      <c r="A96" s="49">
        <f>CALENDARIO!A96</f>
        <v>95</v>
      </c>
      <c r="B96" s="50">
        <f>CALENDARIO!B96</f>
        <v>46210</v>
      </c>
      <c r="C96" s="51">
        <f>CALENDARIO!C96</f>
        <v>0.54166666666666663</v>
      </c>
      <c r="D96" s="52" t="str">
        <f>CALENDARIO!D96</f>
        <v>Vencedor jogo 86</v>
      </c>
      <c r="E96" s="52">
        <f>CALENDARIO!E96</f>
        <v>0</v>
      </c>
      <c r="F96" s="49" t="str">
        <f>CALENDARIO!F96</f>
        <v>x</v>
      </c>
      <c r="G96" s="49">
        <f>CALENDARIO!G96</f>
        <v>0</v>
      </c>
      <c r="H96" s="52" t="str">
        <f>CALENDARIO!H96</f>
        <v>Vencedor jogo 88</v>
      </c>
      <c r="I96" s="53"/>
      <c r="J96" s="53"/>
      <c r="K96" s="53">
        <f t="shared" si="27"/>
        <v>0</v>
      </c>
      <c r="L96" s="53">
        <f t="shared" si="0"/>
        <v>0</v>
      </c>
      <c r="M96" s="53"/>
      <c r="N96" s="53"/>
      <c r="O96" s="53">
        <f t="shared" si="1"/>
        <v>0</v>
      </c>
      <c r="P96" s="53">
        <f t="shared" si="2"/>
        <v>0</v>
      </c>
      <c r="Q96" s="53"/>
      <c r="R96" s="53"/>
      <c r="S96" s="53">
        <f t="shared" si="3"/>
        <v>0</v>
      </c>
      <c r="T96" s="53">
        <f t="shared" si="4"/>
        <v>0</v>
      </c>
      <c r="U96" s="53"/>
      <c r="V96" s="53"/>
      <c r="W96" s="53">
        <f t="shared" si="5"/>
        <v>0</v>
      </c>
      <c r="X96" s="53">
        <f t="shared" si="6"/>
        <v>0</v>
      </c>
      <c r="Y96" s="53"/>
      <c r="Z96" s="53"/>
      <c r="AA96" s="53">
        <f t="shared" si="7"/>
        <v>0</v>
      </c>
      <c r="AB96" s="53">
        <f t="shared" si="8"/>
        <v>0</v>
      </c>
      <c r="AC96" s="53"/>
      <c r="AD96" s="53"/>
      <c r="AE96" s="53">
        <f t="shared" si="9"/>
        <v>0</v>
      </c>
      <c r="AF96" s="53">
        <f t="shared" si="10"/>
        <v>0</v>
      </c>
      <c r="AG96" s="53"/>
      <c r="AH96" s="53"/>
      <c r="AI96" s="53">
        <f t="shared" si="11"/>
        <v>0</v>
      </c>
      <c r="AJ96" s="53">
        <f t="shared" si="12"/>
        <v>0</v>
      </c>
      <c r="AK96" s="53"/>
      <c r="AL96" s="53"/>
      <c r="AM96" s="53">
        <f t="shared" si="13"/>
        <v>0</v>
      </c>
      <c r="AN96" s="53">
        <f t="shared" si="14"/>
        <v>0</v>
      </c>
      <c r="AO96" s="53"/>
      <c r="AP96" s="53"/>
      <c r="AQ96" s="53">
        <f t="shared" si="15"/>
        <v>0</v>
      </c>
      <c r="AR96" s="53">
        <f t="shared" si="16"/>
        <v>0</v>
      </c>
      <c r="AS96" s="53"/>
      <c r="AT96" s="53"/>
      <c r="AU96" s="53">
        <f t="shared" si="17"/>
        <v>0</v>
      </c>
      <c r="AV96" s="53">
        <f t="shared" si="18"/>
        <v>0</v>
      </c>
      <c r="AW96" s="53"/>
      <c r="AX96" s="53"/>
      <c r="AY96" s="53">
        <f t="shared" si="19"/>
        <v>0</v>
      </c>
      <c r="AZ96" s="53">
        <f t="shared" si="20"/>
        <v>0</v>
      </c>
      <c r="BA96" s="53"/>
      <c r="BB96" s="53"/>
      <c r="BC96" s="53">
        <f t="shared" si="21"/>
        <v>0</v>
      </c>
      <c r="BD96" s="53">
        <f t="shared" si="22"/>
        <v>0</v>
      </c>
      <c r="BE96" s="53"/>
      <c r="BF96" s="53"/>
      <c r="BG96" s="53">
        <f t="shared" si="23"/>
        <v>0</v>
      </c>
      <c r="BH96" s="53">
        <f t="shared" si="24"/>
        <v>0</v>
      </c>
      <c r="BI96" s="53"/>
      <c r="BJ96" s="53"/>
      <c r="BK96" s="53">
        <f t="shared" si="25"/>
        <v>0</v>
      </c>
      <c r="BL96" s="53">
        <f t="shared" si="26"/>
        <v>0</v>
      </c>
      <c r="BM96" s="54"/>
    </row>
    <row r="97" spans="1:65" ht="12.75">
      <c r="A97" s="49">
        <f>CALENDARIO!A97</f>
        <v>96</v>
      </c>
      <c r="B97" s="50">
        <f>CALENDARIO!B97</f>
        <v>46210</v>
      </c>
      <c r="C97" s="51">
        <f>CALENDARIO!C97</f>
        <v>0.70833333333333337</v>
      </c>
      <c r="D97" s="52" t="str">
        <f>CALENDARIO!D97</f>
        <v>Vencedor jogo 85</v>
      </c>
      <c r="E97" s="52">
        <f>CALENDARIO!E97</f>
        <v>0</v>
      </c>
      <c r="F97" s="49" t="str">
        <f>CALENDARIO!F97</f>
        <v>x</v>
      </c>
      <c r="G97" s="49">
        <f>CALENDARIO!G97</f>
        <v>0</v>
      </c>
      <c r="H97" s="52" t="str">
        <f>CALENDARIO!H97</f>
        <v>Vencedor jogo 87</v>
      </c>
      <c r="I97" s="53"/>
      <c r="J97" s="53"/>
      <c r="K97" s="53">
        <f t="shared" si="27"/>
        <v>0</v>
      </c>
      <c r="L97" s="53">
        <f t="shared" si="0"/>
        <v>0</v>
      </c>
      <c r="M97" s="53"/>
      <c r="N97" s="53"/>
      <c r="O97" s="53">
        <f t="shared" si="1"/>
        <v>0</v>
      </c>
      <c r="P97" s="53">
        <f t="shared" si="2"/>
        <v>0</v>
      </c>
      <c r="Q97" s="53"/>
      <c r="R97" s="53"/>
      <c r="S97" s="53">
        <f t="shared" si="3"/>
        <v>0</v>
      </c>
      <c r="T97" s="53">
        <f t="shared" si="4"/>
        <v>0</v>
      </c>
      <c r="U97" s="53"/>
      <c r="V97" s="53"/>
      <c r="W97" s="53">
        <f t="shared" si="5"/>
        <v>0</v>
      </c>
      <c r="X97" s="53">
        <f t="shared" si="6"/>
        <v>0</v>
      </c>
      <c r="Y97" s="53"/>
      <c r="Z97" s="53"/>
      <c r="AA97" s="53">
        <f t="shared" si="7"/>
        <v>0</v>
      </c>
      <c r="AB97" s="53">
        <f t="shared" si="8"/>
        <v>0</v>
      </c>
      <c r="AC97" s="53"/>
      <c r="AD97" s="53"/>
      <c r="AE97" s="53">
        <f t="shared" si="9"/>
        <v>0</v>
      </c>
      <c r="AF97" s="53">
        <f t="shared" si="10"/>
        <v>0</v>
      </c>
      <c r="AG97" s="53"/>
      <c r="AH97" s="53"/>
      <c r="AI97" s="53">
        <f t="shared" si="11"/>
        <v>0</v>
      </c>
      <c r="AJ97" s="53">
        <f t="shared" si="12"/>
        <v>0</v>
      </c>
      <c r="AK97" s="53"/>
      <c r="AL97" s="53"/>
      <c r="AM97" s="53">
        <f t="shared" si="13"/>
        <v>0</v>
      </c>
      <c r="AN97" s="53">
        <f t="shared" si="14"/>
        <v>0</v>
      </c>
      <c r="AO97" s="53"/>
      <c r="AP97" s="53"/>
      <c r="AQ97" s="53">
        <f t="shared" si="15"/>
        <v>0</v>
      </c>
      <c r="AR97" s="53">
        <f t="shared" si="16"/>
        <v>0</v>
      </c>
      <c r="AS97" s="53"/>
      <c r="AT97" s="53"/>
      <c r="AU97" s="53">
        <f t="shared" si="17"/>
        <v>0</v>
      </c>
      <c r="AV97" s="53">
        <f t="shared" si="18"/>
        <v>0</v>
      </c>
      <c r="AW97" s="53"/>
      <c r="AX97" s="53"/>
      <c r="AY97" s="53">
        <f t="shared" si="19"/>
        <v>0</v>
      </c>
      <c r="AZ97" s="53">
        <f t="shared" si="20"/>
        <v>0</v>
      </c>
      <c r="BA97" s="53"/>
      <c r="BB97" s="53"/>
      <c r="BC97" s="53">
        <f t="shared" si="21"/>
        <v>0</v>
      </c>
      <c r="BD97" s="53">
        <f t="shared" si="22"/>
        <v>0</v>
      </c>
      <c r="BE97" s="53"/>
      <c r="BF97" s="53"/>
      <c r="BG97" s="53">
        <f t="shared" si="23"/>
        <v>0</v>
      </c>
      <c r="BH97" s="53">
        <f t="shared" si="24"/>
        <v>0</v>
      </c>
      <c r="BI97" s="53"/>
      <c r="BJ97" s="53"/>
      <c r="BK97" s="53">
        <f t="shared" si="25"/>
        <v>0</v>
      </c>
      <c r="BL97" s="53">
        <f t="shared" si="26"/>
        <v>0</v>
      </c>
      <c r="BM97" s="54"/>
    </row>
    <row r="98" spans="1:65" ht="12.75">
      <c r="A98" s="49">
        <f>CALENDARIO!A98</f>
        <v>97</v>
      </c>
      <c r="B98" s="50">
        <f>CALENDARIO!B98</f>
        <v>46212</v>
      </c>
      <c r="C98" s="51">
        <f>CALENDARIO!C98</f>
        <v>0.70833333333333337</v>
      </c>
      <c r="D98" s="52" t="str">
        <f>CALENDARIO!D98</f>
        <v>Vencedor jogo 89</v>
      </c>
      <c r="E98" s="52">
        <f>CALENDARIO!E98</f>
        <v>0</v>
      </c>
      <c r="F98" s="49" t="str">
        <f>CALENDARIO!F98</f>
        <v>x</v>
      </c>
      <c r="G98" s="49">
        <f>CALENDARIO!G98</f>
        <v>0</v>
      </c>
      <c r="H98" s="52" t="str">
        <f>CALENDARIO!H98</f>
        <v>Vencedor jogo 90</v>
      </c>
      <c r="I98" s="53"/>
      <c r="J98" s="53"/>
      <c r="K98" s="53">
        <f t="shared" si="27"/>
        <v>0</v>
      </c>
      <c r="L98" s="53">
        <f t="shared" si="0"/>
        <v>0</v>
      </c>
      <c r="M98" s="53"/>
      <c r="N98" s="53"/>
      <c r="O98" s="53">
        <f t="shared" si="1"/>
        <v>0</v>
      </c>
      <c r="P98" s="53">
        <f t="shared" si="2"/>
        <v>0</v>
      </c>
      <c r="Q98" s="53"/>
      <c r="R98" s="53"/>
      <c r="S98" s="53">
        <f t="shared" si="3"/>
        <v>0</v>
      </c>
      <c r="T98" s="53">
        <f t="shared" si="4"/>
        <v>0</v>
      </c>
      <c r="U98" s="53"/>
      <c r="V98" s="53"/>
      <c r="W98" s="53">
        <f t="shared" si="5"/>
        <v>0</v>
      </c>
      <c r="X98" s="53">
        <f t="shared" si="6"/>
        <v>0</v>
      </c>
      <c r="Y98" s="53"/>
      <c r="Z98" s="53"/>
      <c r="AA98" s="53">
        <f t="shared" si="7"/>
        <v>0</v>
      </c>
      <c r="AB98" s="53">
        <f t="shared" si="8"/>
        <v>0</v>
      </c>
      <c r="AC98" s="53"/>
      <c r="AD98" s="53"/>
      <c r="AE98" s="53">
        <f t="shared" si="9"/>
        <v>0</v>
      </c>
      <c r="AF98" s="53">
        <f t="shared" si="10"/>
        <v>0</v>
      </c>
      <c r="AG98" s="53"/>
      <c r="AH98" s="53"/>
      <c r="AI98" s="53">
        <f t="shared" si="11"/>
        <v>0</v>
      </c>
      <c r="AJ98" s="53">
        <f t="shared" si="12"/>
        <v>0</v>
      </c>
      <c r="AK98" s="53"/>
      <c r="AL98" s="53"/>
      <c r="AM98" s="53">
        <f t="shared" si="13"/>
        <v>0</v>
      </c>
      <c r="AN98" s="53">
        <f t="shared" si="14"/>
        <v>0</v>
      </c>
      <c r="AO98" s="53"/>
      <c r="AP98" s="53"/>
      <c r="AQ98" s="53">
        <f t="shared" si="15"/>
        <v>0</v>
      </c>
      <c r="AR98" s="53">
        <f t="shared" si="16"/>
        <v>0</v>
      </c>
      <c r="AS98" s="53"/>
      <c r="AT98" s="53"/>
      <c r="AU98" s="53">
        <f t="shared" si="17"/>
        <v>0</v>
      </c>
      <c r="AV98" s="53">
        <f t="shared" si="18"/>
        <v>0</v>
      </c>
      <c r="AW98" s="53"/>
      <c r="AX98" s="53"/>
      <c r="AY98" s="53">
        <f t="shared" si="19"/>
        <v>0</v>
      </c>
      <c r="AZ98" s="53">
        <f t="shared" si="20"/>
        <v>0</v>
      </c>
      <c r="BA98" s="53"/>
      <c r="BB98" s="53"/>
      <c r="BC98" s="53">
        <f t="shared" si="21"/>
        <v>0</v>
      </c>
      <c r="BD98" s="53">
        <f t="shared" si="22"/>
        <v>0</v>
      </c>
      <c r="BE98" s="53"/>
      <c r="BF98" s="53"/>
      <c r="BG98" s="53">
        <f t="shared" si="23"/>
        <v>0</v>
      </c>
      <c r="BH98" s="53">
        <f t="shared" si="24"/>
        <v>0</v>
      </c>
      <c r="BI98" s="53"/>
      <c r="BJ98" s="53"/>
      <c r="BK98" s="53">
        <f t="shared" si="25"/>
        <v>0</v>
      </c>
      <c r="BL98" s="53">
        <f t="shared" si="26"/>
        <v>0</v>
      </c>
      <c r="BM98" s="54"/>
    </row>
    <row r="99" spans="1:65" ht="12.75">
      <c r="A99" s="49">
        <f>CALENDARIO!A99</f>
        <v>98</v>
      </c>
      <c r="B99" s="50">
        <f>CALENDARIO!B99</f>
        <v>46213</v>
      </c>
      <c r="C99" s="51">
        <f>CALENDARIO!C99</f>
        <v>0.66666666666666663</v>
      </c>
      <c r="D99" s="52" t="str">
        <f>CALENDARIO!D99</f>
        <v>Vencedor jogo 93</v>
      </c>
      <c r="E99" s="52">
        <f>CALENDARIO!E99</f>
        <v>0</v>
      </c>
      <c r="F99" s="49" t="str">
        <f>CALENDARIO!F99</f>
        <v>x</v>
      </c>
      <c r="G99" s="49">
        <f>CALENDARIO!G99</f>
        <v>0</v>
      </c>
      <c r="H99" s="52" t="str">
        <f>CALENDARIO!H99</f>
        <v>Vencedor jogo 94</v>
      </c>
      <c r="I99" s="53"/>
      <c r="J99" s="53"/>
      <c r="K99" s="53">
        <f t="shared" si="27"/>
        <v>0</v>
      </c>
      <c r="L99" s="53">
        <f t="shared" si="0"/>
        <v>0</v>
      </c>
      <c r="M99" s="53"/>
      <c r="N99" s="53"/>
      <c r="O99" s="53">
        <f t="shared" si="1"/>
        <v>0</v>
      </c>
      <c r="P99" s="53">
        <f t="shared" si="2"/>
        <v>0</v>
      </c>
      <c r="Q99" s="53"/>
      <c r="R99" s="53"/>
      <c r="S99" s="53">
        <f t="shared" si="3"/>
        <v>0</v>
      </c>
      <c r="T99" s="53">
        <f t="shared" si="4"/>
        <v>0</v>
      </c>
      <c r="U99" s="53"/>
      <c r="V99" s="53"/>
      <c r="W99" s="53">
        <f t="shared" si="5"/>
        <v>0</v>
      </c>
      <c r="X99" s="53">
        <f t="shared" si="6"/>
        <v>0</v>
      </c>
      <c r="Y99" s="53"/>
      <c r="Z99" s="53"/>
      <c r="AA99" s="53">
        <f t="shared" si="7"/>
        <v>0</v>
      </c>
      <c r="AB99" s="53">
        <f t="shared" si="8"/>
        <v>0</v>
      </c>
      <c r="AC99" s="53"/>
      <c r="AD99" s="53"/>
      <c r="AE99" s="53">
        <f t="shared" si="9"/>
        <v>0</v>
      </c>
      <c r="AF99" s="53">
        <f t="shared" si="10"/>
        <v>0</v>
      </c>
      <c r="AG99" s="53"/>
      <c r="AH99" s="53"/>
      <c r="AI99" s="53">
        <f t="shared" si="11"/>
        <v>0</v>
      </c>
      <c r="AJ99" s="53">
        <f t="shared" si="12"/>
        <v>0</v>
      </c>
      <c r="AK99" s="53"/>
      <c r="AL99" s="53"/>
      <c r="AM99" s="53">
        <f t="shared" si="13"/>
        <v>0</v>
      </c>
      <c r="AN99" s="53">
        <f t="shared" si="14"/>
        <v>0</v>
      </c>
      <c r="AO99" s="53"/>
      <c r="AP99" s="53"/>
      <c r="AQ99" s="53">
        <f t="shared" si="15"/>
        <v>0</v>
      </c>
      <c r="AR99" s="53">
        <f t="shared" si="16"/>
        <v>0</v>
      </c>
      <c r="AS99" s="53"/>
      <c r="AT99" s="53"/>
      <c r="AU99" s="53">
        <f t="shared" si="17"/>
        <v>0</v>
      </c>
      <c r="AV99" s="53">
        <f t="shared" si="18"/>
        <v>0</v>
      </c>
      <c r="AW99" s="53"/>
      <c r="AX99" s="53"/>
      <c r="AY99" s="53">
        <f t="shared" si="19"/>
        <v>0</v>
      </c>
      <c r="AZ99" s="53">
        <f t="shared" si="20"/>
        <v>0</v>
      </c>
      <c r="BA99" s="53"/>
      <c r="BB99" s="53"/>
      <c r="BC99" s="53">
        <f t="shared" si="21"/>
        <v>0</v>
      </c>
      <c r="BD99" s="53">
        <f t="shared" si="22"/>
        <v>0</v>
      </c>
      <c r="BE99" s="53"/>
      <c r="BF99" s="53"/>
      <c r="BG99" s="53">
        <f t="shared" si="23"/>
        <v>0</v>
      </c>
      <c r="BH99" s="53">
        <f t="shared" si="24"/>
        <v>0</v>
      </c>
      <c r="BI99" s="53"/>
      <c r="BJ99" s="53"/>
      <c r="BK99" s="53">
        <f t="shared" si="25"/>
        <v>0</v>
      </c>
      <c r="BL99" s="53">
        <f t="shared" si="26"/>
        <v>0</v>
      </c>
      <c r="BM99" s="54"/>
    </row>
    <row r="100" spans="1:65" ht="12.75">
      <c r="A100" s="49">
        <f>CALENDARIO!A100</f>
        <v>99</v>
      </c>
      <c r="B100" s="50">
        <f>CALENDARIO!B100</f>
        <v>46215</v>
      </c>
      <c r="C100" s="51">
        <f>CALENDARIO!C100</f>
        <v>0.75</v>
      </c>
      <c r="D100" s="52" t="str">
        <f>CALENDARIO!D100</f>
        <v>Vencedor jogo 91</v>
      </c>
      <c r="E100" s="52">
        <f>CALENDARIO!E100</f>
        <v>0</v>
      </c>
      <c r="F100" s="49" t="str">
        <f>CALENDARIO!F100</f>
        <v>x</v>
      </c>
      <c r="G100" s="49">
        <f>CALENDARIO!G100</f>
        <v>0</v>
      </c>
      <c r="H100" s="52" t="str">
        <f>CALENDARIO!H100</f>
        <v>Vencedor jogo 92</v>
      </c>
      <c r="I100" s="53"/>
      <c r="J100" s="53"/>
      <c r="K100" s="53">
        <f t="shared" si="27"/>
        <v>0</v>
      </c>
      <c r="L100" s="53">
        <f t="shared" si="0"/>
        <v>0</v>
      </c>
      <c r="M100" s="53"/>
      <c r="N100" s="53"/>
      <c r="O100" s="53">
        <f t="shared" si="1"/>
        <v>0</v>
      </c>
      <c r="P100" s="53">
        <f t="shared" si="2"/>
        <v>0</v>
      </c>
      <c r="Q100" s="53"/>
      <c r="R100" s="53"/>
      <c r="S100" s="53">
        <f t="shared" si="3"/>
        <v>0</v>
      </c>
      <c r="T100" s="53">
        <f t="shared" si="4"/>
        <v>0</v>
      </c>
      <c r="U100" s="53"/>
      <c r="V100" s="53"/>
      <c r="W100" s="53">
        <f t="shared" si="5"/>
        <v>0</v>
      </c>
      <c r="X100" s="53">
        <f t="shared" si="6"/>
        <v>0</v>
      </c>
      <c r="Y100" s="53"/>
      <c r="Z100" s="53"/>
      <c r="AA100" s="53">
        <f t="shared" si="7"/>
        <v>0</v>
      </c>
      <c r="AB100" s="53">
        <f t="shared" si="8"/>
        <v>0</v>
      </c>
      <c r="AC100" s="53"/>
      <c r="AD100" s="53"/>
      <c r="AE100" s="53">
        <f t="shared" si="9"/>
        <v>0</v>
      </c>
      <c r="AF100" s="53">
        <f t="shared" si="10"/>
        <v>0</v>
      </c>
      <c r="AG100" s="53"/>
      <c r="AH100" s="53"/>
      <c r="AI100" s="53">
        <f t="shared" si="11"/>
        <v>0</v>
      </c>
      <c r="AJ100" s="53">
        <f t="shared" si="12"/>
        <v>0</v>
      </c>
      <c r="AK100" s="53"/>
      <c r="AL100" s="53"/>
      <c r="AM100" s="53">
        <f t="shared" si="13"/>
        <v>0</v>
      </c>
      <c r="AN100" s="53">
        <f t="shared" si="14"/>
        <v>0</v>
      </c>
      <c r="AO100" s="53"/>
      <c r="AP100" s="53"/>
      <c r="AQ100" s="53">
        <f t="shared" si="15"/>
        <v>0</v>
      </c>
      <c r="AR100" s="53">
        <f t="shared" si="16"/>
        <v>0</v>
      </c>
      <c r="AS100" s="53"/>
      <c r="AT100" s="53"/>
      <c r="AU100" s="53">
        <f t="shared" si="17"/>
        <v>0</v>
      </c>
      <c r="AV100" s="53">
        <f t="shared" si="18"/>
        <v>0</v>
      </c>
      <c r="AW100" s="53"/>
      <c r="AX100" s="53"/>
      <c r="AY100" s="53">
        <f t="shared" si="19"/>
        <v>0</v>
      </c>
      <c r="AZ100" s="53">
        <f t="shared" si="20"/>
        <v>0</v>
      </c>
      <c r="BA100" s="53"/>
      <c r="BB100" s="53"/>
      <c r="BC100" s="53">
        <f t="shared" si="21"/>
        <v>0</v>
      </c>
      <c r="BD100" s="53">
        <f t="shared" si="22"/>
        <v>0</v>
      </c>
      <c r="BE100" s="53"/>
      <c r="BF100" s="53"/>
      <c r="BG100" s="53">
        <f t="shared" si="23"/>
        <v>0</v>
      </c>
      <c r="BH100" s="53">
        <f t="shared" si="24"/>
        <v>0</v>
      </c>
      <c r="BI100" s="53"/>
      <c r="BJ100" s="53"/>
      <c r="BK100" s="53">
        <f t="shared" si="25"/>
        <v>0</v>
      </c>
      <c r="BL100" s="53">
        <f t="shared" si="26"/>
        <v>0</v>
      </c>
      <c r="BM100" s="54"/>
    </row>
    <row r="101" spans="1:65" ht="12.75">
      <c r="A101" s="49">
        <f>CALENDARIO!A101</f>
        <v>100</v>
      </c>
      <c r="B101" s="50">
        <f>CALENDARIO!B101</f>
        <v>46215</v>
      </c>
      <c r="C101" s="51">
        <f>CALENDARIO!C101</f>
        <v>0.91666666666666663</v>
      </c>
      <c r="D101" s="52" t="str">
        <f>CALENDARIO!D101</f>
        <v>Vencedor jogo 95</v>
      </c>
      <c r="E101" s="52">
        <f>CALENDARIO!E101</f>
        <v>0</v>
      </c>
      <c r="F101" s="49" t="str">
        <f>CALENDARIO!F101</f>
        <v>x</v>
      </c>
      <c r="G101" s="49">
        <f>CALENDARIO!G101</f>
        <v>0</v>
      </c>
      <c r="H101" s="52" t="str">
        <f>CALENDARIO!H101</f>
        <v>Vencedor jogo 96</v>
      </c>
      <c r="I101" s="53"/>
      <c r="J101" s="53"/>
      <c r="K101" s="53">
        <f t="shared" si="27"/>
        <v>0</v>
      </c>
      <c r="L101" s="53">
        <f t="shared" si="0"/>
        <v>0</v>
      </c>
      <c r="M101" s="53"/>
      <c r="N101" s="53"/>
      <c r="O101" s="53">
        <f t="shared" si="1"/>
        <v>0</v>
      </c>
      <c r="P101" s="53">
        <f t="shared" si="2"/>
        <v>0</v>
      </c>
      <c r="Q101" s="53"/>
      <c r="R101" s="53"/>
      <c r="S101" s="53">
        <f t="shared" si="3"/>
        <v>0</v>
      </c>
      <c r="T101" s="53">
        <f t="shared" si="4"/>
        <v>0</v>
      </c>
      <c r="U101" s="53"/>
      <c r="V101" s="53"/>
      <c r="W101" s="53">
        <f t="shared" si="5"/>
        <v>0</v>
      </c>
      <c r="X101" s="53">
        <f t="shared" si="6"/>
        <v>0</v>
      </c>
      <c r="Y101" s="53"/>
      <c r="Z101" s="53"/>
      <c r="AA101" s="53">
        <f t="shared" si="7"/>
        <v>0</v>
      </c>
      <c r="AB101" s="53">
        <f t="shared" si="8"/>
        <v>0</v>
      </c>
      <c r="AC101" s="53"/>
      <c r="AD101" s="53"/>
      <c r="AE101" s="53">
        <f t="shared" si="9"/>
        <v>0</v>
      </c>
      <c r="AF101" s="53">
        <f t="shared" si="10"/>
        <v>0</v>
      </c>
      <c r="AG101" s="53"/>
      <c r="AH101" s="53"/>
      <c r="AI101" s="53">
        <f t="shared" si="11"/>
        <v>0</v>
      </c>
      <c r="AJ101" s="53">
        <f t="shared" si="12"/>
        <v>0</v>
      </c>
      <c r="AK101" s="53"/>
      <c r="AL101" s="53"/>
      <c r="AM101" s="53">
        <f t="shared" si="13"/>
        <v>0</v>
      </c>
      <c r="AN101" s="53">
        <f t="shared" si="14"/>
        <v>0</v>
      </c>
      <c r="AO101" s="53"/>
      <c r="AP101" s="53"/>
      <c r="AQ101" s="53">
        <f t="shared" si="15"/>
        <v>0</v>
      </c>
      <c r="AR101" s="53">
        <f t="shared" si="16"/>
        <v>0</v>
      </c>
      <c r="AS101" s="53"/>
      <c r="AT101" s="53"/>
      <c r="AU101" s="53">
        <f t="shared" si="17"/>
        <v>0</v>
      </c>
      <c r="AV101" s="53">
        <f t="shared" si="18"/>
        <v>0</v>
      </c>
      <c r="AW101" s="53"/>
      <c r="AX101" s="53"/>
      <c r="AY101" s="53">
        <f t="shared" si="19"/>
        <v>0</v>
      </c>
      <c r="AZ101" s="53">
        <f t="shared" si="20"/>
        <v>0</v>
      </c>
      <c r="BA101" s="53"/>
      <c r="BB101" s="53"/>
      <c r="BC101" s="53">
        <f t="shared" si="21"/>
        <v>0</v>
      </c>
      <c r="BD101" s="53">
        <f t="shared" si="22"/>
        <v>0</v>
      </c>
      <c r="BE101" s="53"/>
      <c r="BF101" s="53"/>
      <c r="BG101" s="53">
        <f t="shared" si="23"/>
        <v>0</v>
      </c>
      <c r="BH101" s="53">
        <f t="shared" si="24"/>
        <v>0</v>
      </c>
      <c r="BI101" s="53"/>
      <c r="BJ101" s="53"/>
      <c r="BK101" s="53">
        <f t="shared" si="25"/>
        <v>0</v>
      </c>
      <c r="BL101" s="53">
        <f t="shared" si="26"/>
        <v>0</v>
      </c>
      <c r="BM101" s="54"/>
    </row>
    <row r="102" spans="1:65" ht="12.75">
      <c r="A102" s="49">
        <f>CALENDARIO!A102</f>
        <v>101</v>
      </c>
      <c r="B102" s="50">
        <f>CALENDARIO!B102</f>
        <v>46217</v>
      </c>
      <c r="C102" s="51">
        <f>CALENDARIO!C102</f>
        <v>0.66666666666666663</v>
      </c>
      <c r="D102" s="52" t="str">
        <f>CALENDARIO!D102</f>
        <v>Vencedor jogo 97</v>
      </c>
      <c r="E102" s="52">
        <f>CALENDARIO!E102</f>
        <v>0</v>
      </c>
      <c r="F102" s="49" t="str">
        <f>CALENDARIO!F102</f>
        <v>x</v>
      </c>
      <c r="G102" s="49">
        <f>CALENDARIO!G102</f>
        <v>0</v>
      </c>
      <c r="H102" s="52" t="str">
        <f>CALENDARIO!H102</f>
        <v>Vencedor jogo 98</v>
      </c>
      <c r="I102" s="53"/>
      <c r="J102" s="53"/>
      <c r="K102" s="53">
        <f t="shared" si="27"/>
        <v>0</v>
      </c>
      <c r="L102" s="53">
        <f t="shared" si="0"/>
        <v>0</v>
      </c>
      <c r="M102" s="53"/>
      <c r="N102" s="53"/>
      <c r="O102" s="53">
        <f t="shared" si="1"/>
        <v>0</v>
      </c>
      <c r="P102" s="53">
        <f t="shared" si="2"/>
        <v>0</v>
      </c>
      <c r="Q102" s="53"/>
      <c r="R102" s="53"/>
      <c r="S102" s="53">
        <f t="shared" si="3"/>
        <v>0</v>
      </c>
      <c r="T102" s="53">
        <f t="shared" si="4"/>
        <v>0</v>
      </c>
      <c r="U102" s="53"/>
      <c r="V102" s="53"/>
      <c r="W102" s="53">
        <f t="shared" si="5"/>
        <v>0</v>
      </c>
      <c r="X102" s="53">
        <f t="shared" si="6"/>
        <v>0</v>
      </c>
      <c r="Y102" s="53"/>
      <c r="Z102" s="53"/>
      <c r="AA102" s="53">
        <f t="shared" si="7"/>
        <v>0</v>
      </c>
      <c r="AB102" s="53">
        <f t="shared" si="8"/>
        <v>0</v>
      </c>
      <c r="AC102" s="53"/>
      <c r="AD102" s="53"/>
      <c r="AE102" s="53">
        <f t="shared" si="9"/>
        <v>0</v>
      </c>
      <c r="AF102" s="53">
        <f t="shared" si="10"/>
        <v>0</v>
      </c>
      <c r="AG102" s="53"/>
      <c r="AH102" s="53"/>
      <c r="AI102" s="53">
        <f t="shared" si="11"/>
        <v>0</v>
      </c>
      <c r="AJ102" s="53">
        <f t="shared" si="12"/>
        <v>0</v>
      </c>
      <c r="AK102" s="53"/>
      <c r="AL102" s="53"/>
      <c r="AM102" s="53">
        <f t="shared" si="13"/>
        <v>0</v>
      </c>
      <c r="AN102" s="53">
        <f t="shared" si="14"/>
        <v>0</v>
      </c>
      <c r="AO102" s="53"/>
      <c r="AP102" s="53"/>
      <c r="AQ102" s="53">
        <f t="shared" si="15"/>
        <v>0</v>
      </c>
      <c r="AR102" s="53">
        <f t="shared" si="16"/>
        <v>0</v>
      </c>
      <c r="AS102" s="53"/>
      <c r="AT102" s="53"/>
      <c r="AU102" s="53">
        <f t="shared" si="17"/>
        <v>0</v>
      </c>
      <c r="AV102" s="53">
        <f t="shared" si="18"/>
        <v>0</v>
      </c>
      <c r="AW102" s="53"/>
      <c r="AX102" s="53"/>
      <c r="AY102" s="53">
        <f t="shared" si="19"/>
        <v>0</v>
      </c>
      <c r="AZ102" s="53">
        <f t="shared" si="20"/>
        <v>0</v>
      </c>
      <c r="BA102" s="53"/>
      <c r="BB102" s="53"/>
      <c r="BC102" s="53">
        <f t="shared" si="21"/>
        <v>0</v>
      </c>
      <c r="BD102" s="53">
        <f t="shared" si="22"/>
        <v>0</v>
      </c>
      <c r="BE102" s="53"/>
      <c r="BF102" s="53"/>
      <c r="BG102" s="53">
        <f t="shared" si="23"/>
        <v>0</v>
      </c>
      <c r="BH102" s="53">
        <f t="shared" si="24"/>
        <v>0</v>
      </c>
      <c r="BI102" s="53"/>
      <c r="BJ102" s="53"/>
      <c r="BK102" s="53">
        <f t="shared" si="25"/>
        <v>0</v>
      </c>
      <c r="BL102" s="53">
        <f t="shared" si="26"/>
        <v>0</v>
      </c>
      <c r="BM102" s="54"/>
    </row>
    <row r="103" spans="1:65" ht="12.75">
      <c r="A103" s="49">
        <f>CALENDARIO!A103</f>
        <v>102</v>
      </c>
      <c r="B103" s="50">
        <f>CALENDARIO!B103</f>
        <v>46218</v>
      </c>
      <c r="C103" s="51">
        <f>CALENDARIO!C103</f>
        <v>0.66666666666666663</v>
      </c>
      <c r="D103" s="52" t="str">
        <f>CALENDARIO!D103</f>
        <v>Vencedor jogo 99</v>
      </c>
      <c r="E103" s="52">
        <f>CALENDARIO!E103</f>
        <v>0</v>
      </c>
      <c r="F103" s="49" t="str">
        <f>CALENDARIO!F103</f>
        <v>x</v>
      </c>
      <c r="G103" s="49">
        <f>CALENDARIO!G103</f>
        <v>0</v>
      </c>
      <c r="H103" s="52" t="str">
        <f>CALENDARIO!H103</f>
        <v>Vencedor jogo 100</v>
      </c>
      <c r="I103" s="53"/>
      <c r="J103" s="53"/>
      <c r="K103" s="53">
        <f t="shared" si="27"/>
        <v>0</v>
      </c>
      <c r="L103" s="53">
        <f t="shared" si="0"/>
        <v>0</v>
      </c>
      <c r="M103" s="53"/>
      <c r="N103" s="53"/>
      <c r="O103" s="53">
        <f t="shared" si="1"/>
        <v>0</v>
      </c>
      <c r="P103" s="53">
        <f t="shared" si="2"/>
        <v>0</v>
      </c>
      <c r="Q103" s="53"/>
      <c r="R103" s="53"/>
      <c r="S103" s="53">
        <f t="shared" si="3"/>
        <v>0</v>
      </c>
      <c r="T103" s="53">
        <f t="shared" si="4"/>
        <v>0</v>
      </c>
      <c r="U103" s="53"/>
      <c r="V103" s="53"/>
      <c r="W103" s="53">
        <f t="shared" si="5"/>
        <v>0</v>
      </c>
      <c r="X103" s="53">
        <f t="shared" si="6"/>
        <v>0</v>
      </c>
      <c r="Y103" s="53"/>
      <c r="Z103" s="53"/>
      <c r="AA103" s="53">
        <f t="shared" si="7"/>
        <v>0</v>
      </c>
      <c r="AB103" s="53">
        <f t="shared" si="8"/>
        <v>0</v>
      </c>
      <c r="AC103" s="53"/>
      <c r="AD103" s="53"/>
      <c r="AE103" s="53">
        <f t="shared" si="9"/>
        <v>0</v>
      </c>
      <c r="AF103" s="53">
        <f t="shared" si="10"/>
        <v>0</v>
      </c>
      <c r="AG103" s="53"/>
      <c r="AH103" s="53"/>
      <c r="AI103" s="53">
        <f t="shared" si="11"/>
        <v>0</v>
      </c>
      <c r="AJ103" s="53">
        <f t="shared" si="12"/>
        <v>0</v>
      </c>
      <c r="AK103" s="53"/>
      <c r="AL103" s="53"/>
      <c r="AM103" s="53">
        <f t="shared" si="13"/>
        <v>0</v>
      </c>
      <c r="AN103" s="53">
        <f t="shared" si="14"/>
        <v>0</v>
      </c>
      <c r="AO103" s="53"/>
      <c r="AP103" s="53"/>
      <c r="AQ103" s="53">
        <f t="shared" si="15"/>
        <v>0</v>
      </c>
      <c r="AR103" s="53">
        <f t="shared" si="16"/>
        <v>0</v>
      </c>
      <c r="AS103" s="53"/>
      <c r="AT103" s="53"/>
      <c r="AU103" s="53">
        <f t="shared" si="17"/>
        <v>0</v>
      </c>
      <c r="AV103" s="53">
        <f t="shared" si="18"/>
        <v>0</v>
      </c>
      <c r="AW103" s="53"/>
      <c r="AX103" s="53"/>
      <c r="AY103" s="53">
        <f t="shared" si="19"/>
        <v>0</v>
      </c>
      <c r="AZ103" s="53">
        <f t="shared" si="20"/>
        <v>0</v>
      </c>
      <c r="BA103" s="53"/>
      <c r="BB103" s="53"/>
      <c r="BC103" s="53">
        <f t="shared" si="21"/>
        <v>0</v>
      </c>
      <c r="BD103" s="53">
        <f t="shared" si="22"/>
        <v>0</v>
      </c>
      <c r="BE103" s="53"/>
      <c r="BF103" s="53"/>
      <c r="BG103" s="53">
        <f t="shared" si="23"/>
        <v>0</v>
      </c>
      <c r="BH103" s="53">
        <f t="shared" si="24"/>
        <v>0</v>
      </c>
      <c r="BI103" s="53"/>
      <c r="BJ103" s="53"/>
      <c r="BK103" s="53">
        <f t="shared" si="25"/>
        <v>0</v>
      </c>
      <c r="BL103" s="53">
        <f t="shared" si="26"/>
        <v>0</v>
      </c>
      <c r="BM103" s="54"/>
    </row>
    <row r="104" spans="1:65" ht="12.75">
      <c r="A104" s="49">
        <f>CALENDARIO!A104</f>
        <v>103</v>
      </c>
      <c r="B104" s="50">
        <f>CALENDARIO!B104</f>
        <v>46221</v>
      </c>
      <c r="C104" s="51">
        <f>CALENDARIO!C104</f>
        <v>0.75</v>
      </c>
      <c r="D104" s="52" t="str">
        <f>CALENDARIO!D104</f>
        <v>Perdedor jogo 101</v>
      </c>
      <c r="E104" s="52">
        <f>CALENDARIO!E104</f>
        <v>0</v>
      </c>
      <c r="F104" s="49" t="str">
        <f>CALENDARIO!F104</f>
        <v>x</v>
      </c>
      <c r="G104" s="49">
        <f>CALENDARIO!G104</f>
        <v>0</v>
      </c>
      <c r="H104" s="52" t="str">
        <f>CALENDARIO!H104</f>
        <v>Perdedor jogo 102</v>
      </c>
      <c r="I104" s="53"/>
      <c r="J104" s="53"/>
      <c r="K104" s="53">
        <f t="shared" si="27"/>
        <v>0</v>
      </c>
      <c r="L104" s="53">
        <f t="shared" si="0"/>
        <v>0</v>
      </c>
      <c r="M104" s="53"/>
      <c r="N104" s="53"/>
      <c r="O104" s="53">
        <f t="shared" si="1"/>
        <v>0</v>
      </c>
      <c r="P104" s="53">
        <f t="shared" si="2"/>
        <v>0</v>
      </c>
      <c r="Q104" s="53"/>
      <c r="R104" s="53"/>
      <c r="S104" s="53">
        <f t="shared" si="3"/>
        <v>0</v>
      </c>
      <c r="T104" s="53">
        <f t="shared" si="4"/>
        <v>0</v>
      </c>
      <c r="U104" s="53"/>
      <c r="V104" s="53"/>
      <c r="W104" s="53">
        <f t="shared" si="5"/>
        <v>0</v>
      </c>
      <c r="X104" s="53">
        <f t="shared" si="6"/>
        <v>0</v>
      </c>
      <c r="Y104" s="53"/>
      <c r="Z104" s="53"/>
      <c r="AA104" s="53">
        <f t="shared" si="7"/>
        <v>0</v>
      </c>
      <c r="AB104" s="53">
        <f t="shared" si="8"/>
        <v>0</v>
      </c>
      <c r="AC104" s="53"/>
      <c r="AD104" s="53"/>
      <c r="AE104" s="53">
        <f t="shared" si="9"/>
        <v>0</v>
      </c>
      <c r="AF104" s="53">
        <f t="shared" si="10"/>
        <v>0</v>
      </c>
      <c r="AG104" s="53"/>
      <c r="AH104" s="53"/>
      <c r="AI104" s="53">
        <f t="shared" si="11"/>
        <v>0</v>
      </c>
      <c r="AJ104" s="53">
        <f t="shared" si="12"/>
        <v>0</v>
      </c>
      <c r="AK104" s="53"/>
      <c r="AL104" s="53"/>
      <c r="AM104" s="53">
        <f t="shared" si="13"/>
        <v>0</v>
      </c>
      <c r="AN104" s="53">
        <f t="shared" si="14"/>
        <v>0</v>
      </c>
      <c r="AO104" s="53"/>
      <c r="AP104" s="53"/>
      <c r="AQ104" s="53">
        <f t="shared" si="15"/>
        <v>0</v>
      </c>
      <c r="AR104" s="53">
        <f t="shared" si="16"/>
        <v>0</v>
      </c>
      <c r="AS104" s="53"/>
      <c r="AT104" s="53"/>
      <c r="AU104" s="53">
        <f t="shared" si="17"/>
        <v>0</v>
      </c>
      <c r="AV104" s="53">
        <f t="shared" si="18"/>
        <v>0</v>
      </c>
      <c r="AW104" s="53"/>
      <c r="AX104" s="53"/>
      <c r="AY104" s="53">
        <f t="shared" si="19"/>
        <v>0</v>
      </c>
      <c r="AZ104" s="53">
        <f t="shared" si="20"/>
        <v>0</v>
      </c>
      <c r="BA104" s="53"/>
      <c r="BB104" s="53"/>
      <c r="BC104" s="53">
        <f t="shared" si="21"/>
        <v>0</v>
      </c>
      <c r="BD104" s="53">
        <f t="shared" si="22"/>
        <v>0</v>
      </c>
      <c r="BE104" s="53"/>
      <c r="BF104" s="53"/>
      <c r="BG104" s="53">
        <f t="shared" si="23"/>
        <v>0</v>
      </c>
      <c r="BH104" s="53">
        <f t="shared" si="24"/>
        <v>0</v>
      </c>
      <c r="BI104" s="53"/>
      <c r="BJ104" s="53"/>
      <c r="BK104" s="53">
        <f t="shared" si="25"/>
        <v>0</v>
      </c>
      <c r="BL104" s="53">
        <f t="shared" si="26"/>
        <v>0</v>
      </c>
      <c r="BM104" s="54"/>
    </row>
    <row r="105" spans="1:65" ht="12.75">
      <c r="A105" s="49">
        <f>CALENDARIO!A105</f>
        <v>104</v>
      </c>
      <c r="B105" s="50">
        <f>CALENDARIO!B105</f>
        <v>46222</v>
      </c>
      <c r="C105" s="51">
        <f>CALENDARIO!C105</f>
        <v>0.66666666666666663</v>
      </c>
      <c r="D105" s="52" t="str">
        <f>CALENDARIO!D105</f>
        <v>Vencedor jogo 101</v>
      </c>
      <c r="E105" s="52">
        <f>CALENDARIO!E105</f>
        <v>0</v>
      </c>
      <c r="F105" s="49" t="str">
        <f>CALENDARIO!F105</f>
        <v>x</v>
      </c>
      <c r="G105" s="49">
        <f>CALENDARIO!G105</f>
        <v>0</v>
      </c>
      <c r="H105" s="52" t="str">
        <f>CALENDARIO!H105</f>
        <v>Vencedor jogo 102</v>
      </c>
      <c r="I105" s="53"/>
      <c r="J105" s="53"/>
      <c r="K105" s="53">
        <f t="shared" si="27"/>
        <v>0</v>
      </c>
      <c r="L105" s="53">
        <f t="shared" si="0"/>
        <v>0</v>
      </c>
      <c r="M105" s="53"/>
      <c r="N105" s="53"/>
      <c r="O105" s="53">
        <f t="shared" si="1"/>
        <v>0</v>
      </c>
      <c r="P105" s="53">
        <f t="shared" si="2"/>
        <v>0</v>
      </c>
      <c r="Q105" s="53"/>
      <c r="R105" s="53"/>
      <c r="S105" s="53">
        <f t="shared" si="3"/>
        <v>0</v>
      </c>
      <c r="T105" s="53">
        <f t="shared" si="4"/>
        <v>0</v>
      </c>
      <c r="U105" s="53"/>
      <c r="V105" s="53"/>
      <c r="W105" s="53">
        <f t="shared" si="5"/>
        <v>0</v>
      </c>
      <c r="X105" s="53">
        <f t="shared" si="6"/>
        <v>0</v>
      </c>
      <c r="Y105" s="53"/>
      <c r="Z105" s="53"/>
      <c r="AA105" s="53">
        <f t="shared" si="7"/>
        <v>0</v>
      </c>
      <c r="AB105" s="53">
        <f t="shared" si="8"/>
        <v>0</v>
      </c>
      <c r="AC105" s="53"/>
      <c r="AD105" s="53"/>
      <c r="AE105" s="53">
        <f t="shared" si="9"/>
        <v>0</v>
      </c>
      <c r="AF105" s="53">
        <f t="shared" si="10"/>
        <v>0</v>
      </c>
      <c r="AG105" s="53"/>
      <c r="AH105" s="53"/>
      <c r="AI105" s="53">
        <f t="shared" si="11"/>
        <v>0</v>
      </c>
      <c r="AJ105" s="53">
        <f t="shared" si="12"/>
        <v>0</v>
      </c>
      <c r="AK105" s="53"/>
      <c r="AL105" s="53"/>
      <c r="AM105" s="53">
        <f t="shared" si="13"/>
        <v>0</v>
      </c>
      <c r="AN105" s="53">
        <f t="shared" si="14"/>
        <v>0</v>
      </c>
      <c r="AO105" s="53"/>
      <c r="AP105" s="53"/>
      <c r="AQ105" s="53">
        <f t="shared" si="15"/>
        <v>0</v>
      </c>
      <c r="AR105" s="53">
        <f t="shared" si="16"/>
        <v>0</v>
      </c>
      <c r="AS105" s="53"/>
      <c r="AT105" s="53"/>
      <c r="AU105" s="53">
        <f t="shared" si="17"/>
        <v>0</v>
      </c>
      <c r="AV105" s="53">
        <f t="shared" si="18"/>
        <v>0</v>
      </c>
      <c r="AW105" s="53"/>
      <c r="AX105" s="53"/>
      <c r="AY105" s="53">
        <f t="shared" si="19"/>
        <v>0</v>
      </c>
      <c r="AZ105" s="53">
        <f t="shared" si="20"/>
        <v>0</v>
      </c>
      <c r="BA105" s="53"/>
      <c r="BB105" s="53"/>
      <c r="BC105" s="53">
        <f t="shared" si="21"/>
        <v>0</v>
      </c>
      <c r="BD105" s="53">
        <f t="shared" si="22"/>
        <v>0</v>
      </c>
      <c r="BE105" s="53"/>
      <c r="BF105" s="53"/>
      <c r="BG105" s="53">
        <f t="shared" si="23"/>
        <v>0</v>
      </c>
      <c r="BH105" s="53">
        <f t="shared" si="24"/>
        <v>0</v>
      </c>
      <c r="BI105" s="53"/>
      <c r="BJ105" s="53"/>
      <c r="BK105" s="53">
        <f t="shared" si="25"/>
        <v>0</v>
      </c>
      <c r="BL105" s="53">
        <f t="shared" si="26"/>
        <v>0</v>
      </c>
      <c r="BM105" s="54"/>
    </row>
    <row r="106" spans="1:65" ht="12.75">
      <c r="A106" s="49"/>
      <c r="B106" s="49"/>
      <c r="C106" s="49"/>
      <c r="D106" s="52"/>
      <c r="E106" s="52"/>
      <c r="F106" s="49"/>
      <c r="G106" s="49"/>
      <c r="H106" s="54"/>
      <c r="I106" s="55"/>
      <c r="J106" s="55"/>
      <c r="K106" s="55" t="e">
        <f t="shared" ref="K106:L106" ca="1" si="28">SUM(K2:K105)</f>
        <v>#VALUE!</v>
      </c>
      <c r="L106" s="55">
        <f t="shared" ca="1" si="28"/>
        <v>0</v>
      </c>
      <c r="M106" s="55"/>
      <c r="N106" s="55"/>
      <c r="O106" s="55">
        <f t="shared" ref="O106:P106" ca="1" si="29">SUM(O2:O105)</f>
        <v>0</v>
      </c>
      <c r="P106" s="55">
        <f t="shared" ca="1" si="29"/>
        <v>0</v>
      </c>
      <c r="Q106" s="55"/>
      <c r="R106" s="55"/>
      <c r="S106" s="55">
        <f t="shared" ref="S106:T106" ca="1" si="30">SUM(S2:S105)</f>
        <v>0</v>
      </c>
      <c r="T106" s="55">
        <f t="shared" ca="1" si="30"/>
        <v>0</v>
      </c>
      <c r="U106" s="55"/>
      <c r="V106" s="55"/>
      <c r="W106" s="55">
        <f t="shared" ref="W106:X106" ca="1" si="31">SUM(W2:W105)</f>
        <v>0</v>
      </c>
      <c r="X106" s="55">
        <f t="shared" ca="1" si="31"/>
        <v>0</v>
      </c>
      <c r="Y106" s="55"/>
      <c r="Z106" s="55"/>
      <c r="AA106" s="55">
        <f t="shared" ref="AA106:AB106" si="32">SUM(AA2:AA105)</f>
        <v>0</v>
      </c>
      <c r="AB106" s="55">
        <f t="shared" si="32"/>
        <v>0</v>
      </c>
      <c r="AC106" s="55"/>
      <c r="AD106" s="55"/>
      <c r="AE106" s="55">
        <f t="shared" ref="AE106:AF106" ca="1" si="33">SUM(AE2:AE105)</f>
        <v>0</v>
      </c>
      <c r="AF106" s="55">
        <f t="shared" ca="1" si="33"/>
        <v>0</v>
      </c>
      <c r="AG106" s="55"/>
      <c r="AH106" s="55"/>
      <c r="AI106" s="55">
        <f t="shared" ref="AI106:AJ106" ca="1" si="34">SUM(AI2:AI105)</f>
        <v>0</v>
      </c>
      <c r="AJ106" s="55">
        <f t="shared" ca="1" si="34"/>
        <v>0</v>
      </c>
      <c r="AK106" s="55"/>
      <c r="AL106" s="55"/>
      <c r="AM106" s="55">
        <f t="shared" ref="AM106:AN106" ca="1" si="35">SUM(AM2:AM105)</f>
        <v>0</v>
      </c>
      <c r="AN106" s="55">
        <f t="shared" ca="1" si="35"/>
        <v>0</v>
      </c>
      <c r="AO106" s="55"/>
      <c r="AP106" s="55"/>
      <c r="AQ106" s="55">
        <f t="shared" ref="AQ106:AR106" ca="1" si="36">SUM(AQ2:AQ105)</f>
        <v>0</v>
      </c>
      <c r="AR106" s="55">
        <f t="shared" ca="1" si="36"/>
        <v>0</v>
      </c>
      <c r="AS106" s="55"/>
      <c r="AT106" s="55"/>
      <c r="AU106" s="55">
        <f t="shared" ref="AU106:AV106" ca="1" si="37">SUM(AU2:AU105)</f>
        <v>0</v>
      </c>
      <c r="AV106" s="55">
        <f t="shared" ca="1" si="37"/>
        <v>0</v>
      </c>
      <c r="AW106" s="55"/>
      <c r="AX106" s="55"/>
      <c r="AY106" s="55">
        <f t="shared" ref="AY106:AZ106" si="38">SUM(AY2:AY105)</f>
        <v>0</v>
      </c>
      <c r="AZ106" s="55">
        <f t="shared" si="38"/>
        <v>0</v>
      </c>
      <c r="BA106" s="55"/>
      <c r="BB106" s="55"/>
      <c r="BC106" s="55">
        <f t="shared" ref="BC106:BD106" ca="1" si="39">SUM(BC2:BC105)</f>
        <v>0</v>
      </c>
      <c r="BD106" s="55">
        <f t="shared" ca="1" si="39"/>
        <v>0</v>
      </c>
      <c r="BE106" s="55"/>
      <c r="BF106" s="55"/>
      <c r="BG106" s="55">
        <f t="shared" ref="BG106:BH106" ca="1" si="40">SUM(BG2:BG105)</f>
        <v>0</v>
      </c>
      <c r="BH106" s="55">
        <f t="shared" ca="1" si="40"/>
        <v>0</v>
      </c>
      <c r="BI106" s="55"/>
      <c r="BJ106" s="55"/>
      <c r="BK106" s="55">
        <f t="shared" ref="BK106:BL106" ca="1" si="41">SUM(BK2:BK105)</f>
        <v>0</v>
      </c>
      <c r="BL106" s="55">
        <f t="shared" ca="1" si="41"/>
        <v>0</v>
      </c>
      <c r="BM106" s="54"/>
    </row>
    <row r="107" spans="1:65" ht="12.75">
      <c r="A107" s="49"/>
      <c r="B107" s="49"/>
      <c r="C107" s="49"/>
      <c r="D107" s="52"/>
      <c r="E107" s="52"/>
      <c r="F107" s="49"/>
      <c r="G107" s="49"/>
      <c r="H107" s="54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4"/>
    </row>
    <row r="108" spans="1:65" ht="12.75">
      <c r="A108" s="49"/>
      <c r="B108" s="49"/>
      <c r="C108" s="49"/>
      <c r="D108" s="52"/>
      <c r="E108" s="52"/>
      <c r="F108" s="49"/>
      <c r="G108" s="49"/>
      <c r="H108" s="54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4"/>
    </row>
    <row r="109" spans="1:65" ht="12.75">
      <c r="A109" s="49"/>
      <c r="B109" s="49"/>
      <c r="C109" s="49"/>
      <c r="D109" s="52"/>
      <c r="E109" s="52"/>
      <c r="F109" s="49"/>
      <c r="G109" s="49"/>
      <c r="H109" s="54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4"/>
    </row>
    <row r="110" spans="1:65" ht="12.75">
      <c r="A110" s="49"/>
      <c r="B110" s="49"/>
      <c r="C110" s="49"/>
      <c r="D110" s="52"/>
      <c r="E110" s="52"/>
      <c r="F110" s="49"/>
      <c r="G110" s="49"/>
      <c r="H110" s="54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4"/>
    </row>
    <row r="111" spans="1:65" ht="12.75">
      <c r="A111" s="49"/>
      <c r="B111" s="49"/>
      <c r="C111" s="49"/>
      <c r="D111" s="52"/>
      <c r="E111" s="52"/>
      <c r="F111" s="49"/>
      <c r="G111" s="49"/>
      <c r="H111" s="54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4"/>
    </row>
    <row r="112" spans="1:65" ht="12.75">
      <c r="A112" s="53"/>
      <c r="B112" s="53"/>
      <c r="C112" s="53"/>
      <c r="D112" s="54"/>
      <c r="E112" s="54"/>
      <c r="F112" s="53"/>
      <c r="G112" s="53"/>
      <c r="H112" s="54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4"/>
    </row>
    <row r="113" spans="1:65" ht="12.75">
      <c r="A113" s="53"/>
      <c r="B113" s="53"/>
      <c r="C113" s="53"/>
      <c r="D113" s="54"/>
      <c r="E113" s="54"/>
      <c r="F113" s="53"/>
      <c r="G113" s="53"/>
      <c r="H113" s="54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4"/>
    </row>
    <row r="114" spans="1:65" ht="12.75">
      <c r="A114" s="53"/>
      <c r="B114" s="53"/>
      <c r="C114" s="53"/>
      <c r="D114" s="54"/>
      <c r="E114" s="54"/>
      <c r="F114" s="53"/>
      <c r="G114" s="53"/>
      <c r="H114" s="54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4"/>
    </row>
    <row r="115" spans="1:65" ht="12.75">
      <c r="A115" s="53"/>
      <c r="B115" s="53"/>
      <c r="C115" s="53"/>
      <c r="D115" s="54"/>
      <c r="E115" s="54"/>
      <c r="F115" s="53"/>
      <c r="G115" s="53"/>
      <c r="H115" s="54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4"/>
    </row>
    <row r="116" spans="1:65" ht="12.75">
      <c r="A116" s="53"/>
      <c r="B116" s="53"/>
      <c r="C116" s="53"/>
      <c r="D116" s="54"/>
      <c r="E116" s="54"/>
      <c r="F116" s="53"/>
      <c r="G116" s="53"/>
      <c r="H116" s="54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4"/>
    </row>
    <row r="117" spans="1:65" ht="12.75">
      <c r="A117" s="53"/>
      <c r="B117" s="53"/>
      <c r="C117" s="53"/>
      <c r="D117" s="54"/>
      <c r="E117" s="54"/>
      <c r="F117" s="53"/>
      <c r="G117" s="53"/>
      <c r="H117" s="54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4"/>
    </row>
    <row r="118" spans="1:65" ht="12.75">
      <c r="A118" s="53"/>
      <c r="B118" s="53"/>
      <c r="C118" s="53"/>
      <c r="D118" s="54"/>
      <c r="E118" s="54"/>
      <c r="F118" s="53"/>
      <c r="G118" s="53"/>
      <c r="H118" s="54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4"/>
    </row>
    <row r="119" spans="1:65" ht="12.75">
      <c r="A119" s="53"/>
      <c r="B119" s="53"/>
      <c r="C119" s="53"/>
      <c r="D119" s="54"/>
      <c r="E119" s="54"/>
      <c r="F119" s="53"/>
      <c r="G119" s="53"/>
      <c r="H119" s="54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4"/>
    </row>
    <row r="120" spans="1:65" ht="12.75">
      <c r="A120" s="53"/>
      <c r="B120" s="53"/>
      <c r="C120" s="53"/>
      <c r="D120" s="54"/>
      <c r="E120" s="54"/>
      <c r="F120" s="53"/>
      <c r="G120" s="53"/>
      <c r="H120" s="54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4"/>
    </row>
    <row r="121" spans="1:65" ht="12.75">
      <c r="A121" s="53"/>
      <c r="B121" s="53"/>
      <c r="C121" s="53"/>
      <c r="D121" s="54"/>
      <c r="E121" s="54"/>
      <c r="F121" s="53"/>
      <c r="G121" s="53"/>
      <c r="H121" s="54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4"/>
    </row>
    <row r="122" spans="1:65" ht="12.75">
      <c r="A122" s="53"/>
      <c r="B122" s="53"/>
      <c r="C122" s="53"/>
      <c r="D122" s="54"/>
      <c r="E122" s="54"/>
      <c r="F122" s="53"/>
      <c r="G122" s="53"/>
      <c r="H122" s="54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4"/>
    </row>
    <row r="123" spans="1:65" ht="12.75">
      <c r="A123" s="53"/>
      <c r="B123" s="53"/>
      <c r="C123" s="53"/>
      <c r="D123" s="54"/>
      <c r="E123" s="54"/>
      <c r="F123" s="53"/>
      <c r="G123" s="53"/>
      <c r="H123" s="54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4"/>
    </row>
    <row r="124" spans="1:65" ht="12.75">
      <c r="A124" s="53"/>
      <c r="B124" s="53"/>
      <c r="C124" s="53"/>
      <c r="D124" s="54"/>
      <c r="E124" s="54"/>
      <c r="F124" s="53"/>
      <c r="G124" s="53"/>
      <c r="H124" s="54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4"/>
    </row>
    <row r="125" spans="1:65" ht="12.75">
      <c r="A125" s="53"/>
      <c r="B125" s="53"/>
      <c r="C125" s="53"/>
      <c r="D125" s="54"/>
      <c r="E125" s="54"/>
      <c r="F125" s="53"/>
      <c r="G125" s="53"/>
      <c r="H125" s="54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4"/>
    </row>
    <row r="126" spans="1:65" ht="12.75">
      <c r="A126" s="53"/>
      <c r="B126" s="53"/>
      <c r="C126" s="53"/>
      <c r="D126" s="54"/>
      <c r="E126" s="54"/>
      <c r="F126" s="53"/>
      <c r="G126" s="53"/>
      <c r="H126" s="54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4"/>
    </row>
    <row r="127" spans="1:65" ht="12.75">
      <c r="A127" s="53"/>
      <c r="B127" s="53"/>
      <c r="C127" s="53"/>
      <c r="D127" s="54"/>
      <c r="E127" s="54"/>
      <c r="F127" s="53"/>
      <c r="G127" s="53"/>
      <c r="H127" s="54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4"/>
    </row>
    <row r="128" spans="1:65" ht="12.75">
      <c r="A128" s="53"/>
      <c r="B128" s="53"/>
      <c r="C128" s="53"/>
      <c r="D128" s="54"/>
      <c r="E128" s="54"/>
      <c r="F128" s="53"/>
      <c r="G128" s="53"/>
      <c r="H128" s="54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4"/>
    </row>
    <row r="129" spans="1:65" ht="12.75">
      <c r="A129" s="53"/>
      <c r="B129" s="53"/>
      <c r="C129" s="53"/>
      <c r="D129" s="54"/>
      <c r="E129" s="54"/>
      <c r="F129" s="53"/>
      <c r="G129" s="53"/>
      <c r="H129" s="54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4"/>
    </row>
    <row r="130" spans="1:65" ht="12.75">
      <c r="A130" s="53"/>
      <c r="B130" s="53"/>
      <c r="C130" s="53"/>
      <c r="D130" s="54"/>
      <c r="E130" s="54"/>
      <c r="F130" s="53"/>
      <c r="G130" s="53"/>
      <c r="H130" s="54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4"/>
    </row>
    <row r="131" spans="1:65" ht="12.75">
      <c r="A131" s="53"/>
      <c r="B131" s="53"/>
      <c r="C131" s="53"/>
      <c r="D131" s="54"/>
      <c r="E131" s="54"/>
      <c r="F131" s="53"/>
      <c r="G131" s="53"/>
      <c r="H131" s="54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4"/>
    </row>
    <row r="132" spans="1:65" ht="12.75">
      <c r="A132" s="53"/>
      <c r="B132" s="53"/>
      <c r="C132" s="53"/>
      <c r="D132" s="54"/>
      <c r="E132" s="54"/>
      <c r="F132" s="53"/>
      <c r="G132" s="53"/>
      <c r="H132" s="54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4"/>
    </row>
    <row r="133" spans="1:65" ht="12.75">
      <c r="A133" s="53"/>
      <c r="B133" s="53"/>
      <c r="C133" s="53"/>
      <c r="D133" s="54"/>
      <c r="E133" s="54"/>
      <c r="F133" s="53"/>
      <c r="G133" s="53"/>
      <c r="H133" s="54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4"/>
    </row>
    <row r="134" spans="1:65" ht="12.75">
      <c r="A134" s="53"/>
      <c r="B134" s="53"/>
      <c r="C134" s="53"/>
      <c r="D134" s="54"/>
      <c r="E134" s="54"/>
      <c r="F134" s="53"/>
      <c r="G134" s="53"/>
      <c r="H134" s="54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4"/>
    </row>
    <row r="135" spans="1:65" ht="12.75">
      <c r="A135" s="53"/>
      <c r="B135" s="53"/>
      <c r="C135" s="53"/>
      <c r="D135" s="54"/>
      <c r="E135" s="54"/>
      <c r="F135" s="53"/>
      <c r="G135" s="53"/>
      <c r="H135" s="54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4"/>
    </row>
    <row r="136" spans="1:65" ht="12.75">
      <c r="A136" s="53"/>
      <c r="B136" s="53"/>
      <c r="C136" s="53"/>
      <c r="D136" s="54"/>
      <c r="E136" s="54"/>
      <c r="F136" s="53"/>
      <c r="G136" s="53"/>
      <c r="H136" s="54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4"/>
    </row>
    <row r="137" spans="1:65" ht="12.75">
      <c r="A137" s="53"/>
      <c r="B137" s="53"/>
      <c r="C137" s="53"/>
      <c r="D137" s="54"/>
      <c r="E137" s="54"/>
      <c r="F137" s="53"/>
      <c r="G137" s="53"/>
      <c r="H137" s="54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4"/>
    </row>
    <row r="138" spans="1:65" ht="12.75">
      <c r="A138" s="53"/>
      <c r="B138" s="53"/>
      <c r="C138" s="53"/>
      <c r="D138" s="54"/>
      <c r="E138" s="54"/>
      <c r="F138" s="53"/>
      <c r="G138" s="53"/>
      <c r="H138" s="54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4"/>
    </row>
    <row r="139" spans="1:65" ht="12.75">
      <c r="A139" s="53"/>
      <c r="B139" s="53"/>
      <c r="C139" s="53"/>
      <c r="D139" s="54"/>
      <c r="E139" s="54"/>
      <c r="F139" s="53"/>
      <c r="G139" s="53"/>
      <c r="H139" s="54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4"/>
    </row>
    <row r="140" spans="1:65" ht="12.75">
      <c r="A140" s="53"/>
      <c r="B140" s="53"/>
      <c r="C140" s="53"/>
      <c r="D140" s="54"/>
      <c r="E140" s="54"/>
      <c r="F140" s="53"/>
      <c r="G140" s="53"/>
      <c r="H140" s="54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4"/>
    </row>
    <row r="141" spans="1:65" ht="12.75">
      <c r="A141" s="53"/>
      <c r="B141" s="53"/>
      <c r="C141" s="53"/>
      <c r="D141" s="54"/>
      <c r="E141" s="54"/>
      <c r="F141" s="53"/>
      <c r="G141" s="53"/>
      <c r="H141" s="54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4"/>
    </row>
    <row r="142" spans="1:65" ht="12.75">
      <c r="A142" s="53"/>
      <c r="B142" s="53"/>
      <c r="C142" s="53"/>
      <c r="D142" s="54"/>
      <c r="E142" s="54"/>
      <c r="F142" s="53"/>
      <c r="G142" s="53"/>
      <c r="H142" s="54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4"/>
    </row>
    <row r="143" spans="1:65" ht="12.75">
      <c r="A143" s="53"/>
      <c r="B143" s="53"/>
      <c r="C143" s="53"/>
      <c r="D143" s="54"/>
      <c r="E143" s="54"/>
      <c r="F143" s="53"/>
      <c r="G143" s="53"/>
      <c r="H143" s="54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4"/>
    </row>
    <row r="144" spans="1:65" ht="12.75">
      <c r="A144" s="53"/>
      <c r="B144" s="53"/>
      <c r="C144" s="53"/>
      <c r="D144" s="54"/>
      <c r="E144" s="54"/>
      <c r="F144" s="53"/>
      <c r="G144" s="53"/>
      <c r="H144" s="54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4"/>
    </row>
    <row r="145" spans="1:65" ht="12.75">
      <c r="A145" s="53"/>
      <c r="B145" s="53"/>
      <c r="C145" s="53"/>
      <c r="D145" s="54"/>
      <c r="E145" s="54"/>
      <c r="F145" s="53"/>
      <c r="G145" s="53"/>
      <c r="H145" s="54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4"/>
    </row>
    <row r="146" spans="1:65" ht="12.75">
      <c r="A146" s="53"/>
      <c r="B146" s="53"/>
      <c r="C146" s="53"/>
      <c r="D146" s="54"/>
      <c r="E146" s="54"/>
      <c r="F146" s="53"/>
      <c r="G146" s="53"/>
      <c r="H146" s="54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4"/>
    </row>
    <row r="147" spans="1:65" ht="12.75">
      <c r="A147" s="53"/>
      <c r="B147" s="53"/>
      <c r="C147" s="53"/>
      <c r="D147" s="54"/>
      <c r="E147" s="54"/>
      <c r="F147" s="53"/>
      <c r="G147" s="53"/>
      <c r="H147" s="54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4"/>
    </row>
    <row r="148" spans="1:65" ht="12.75">
      <c r="A148" s="53"/>
      <c r="B148" s="53"/>
      <c r="C148" s="53"/>
      <c r="D148" s="54"/>
      <c r="E148" s="54"/>
      <c r="F148" s="53"/>
      <c r="G148" s="53"/>
      <c r="H148" s="54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4"/>
    </row>
    <row r="149" spans="1:65" ht="12.75">
      <c r="A149" s="53"/>
      <c r="B149" s="53"/>
      <c r="C149" s="53"/>
      <c r="D149" s="54"/>
      <c r="E149" s="54"/>
      <c r="F149" s="53"/>
      <c r="G149" s="53"/>
      <c r="H149" s="54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4"/>
    </row>
    <row r="150" spans="1:65" ht="12.75">
      <c r="A150" s="53"/>
      <c r="B150" s="53"/>
      <c r="C150" s="53"/>
      <c r="D150" s="54"/>
      <c r="E150" s="54"/>
      <c r="F150" s="53"/>
      <c r="G150" s="53"/>
      <c r="H150" s="54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4"/>
    </row>
    <row r="151" spans="1:65" ht="12.75">
      <c r="A151" s="53"/>
      <c r="B151" s="53"/>
      <c r="C151" s="53"/>
      <c r="D151" s="54"/>
      <c r="E151" s="54"/>
      <c r="F151" s="53"/>
      <c r="G151" s="53"/>
      <c r="H151" s="54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4"/>
    </row>
    <row r="152" spans="1:65" ht="12.75">
      <c r="A152" s="53"/>
      <c r="B152" s="53"/>
      <c r="C152" s="53"/>
      <c r="D152" s="54"/>
      <c r="E152" s="54"/>
      <c r="F152" s="53"/>
      <c r="G152" s="53"/>
      <c r="H152" s="54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4"/>
    </row>
    <row r="153" spans="1:65" ht="12.75">
      <c r="A153" s="53"/>
      <c r="B153" s="53"/>
      <c r="C153" s="53"/>
      <c r="D153" s="54"/>
      <c r="E153" s="54"/>
      <c r="F153" s="53"/>
      <c r="G153" s="53"/>
      <c r="H153" s="54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4"/>
    </row>
    <row r="154" spans="1:65" ht="12.75">
      <c r="A154" s="53"/>
      <c r="B154" s="53"/>
      <c r="C154" s="53"/>
      <c r="D154" s="54"/>
      <c r="E154" s="54"/>
      <c r="F154" s="53"/>
      <c r="G154" s="53"/>
      <c r="H154" s="54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4"/>
    </row>
    <row r="155" spans="1:65" ht="12.75">
      <c r="A155" s="53"/>
      <c r="B155" s="53"/>
      <c r="C155" s="53"/>
      <c r="D155" s="54"/>
      <c r="E155" s="54"/>
      <c r="F155" s="53"/>
      <c r="G155" s="53"/>
      <c r="H155" s="54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4"/>
    </row>
    <row r="156" spans="1:65" ht="12.75">
      <c r="A156" s="53"/>
      <c r="B156" s="53"/>
      <c r="C156" s="53"/>
      <c r="D156" s="54"/>
      <c r="E156" s="54"/>
      <c r="F156" s="53"/>
      <c r="G156" s="53"/>
      <c r="H156" s="54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4"/>
    </row>
    <row r="157" spans="1:65" ht="12.75">
      <c r="A157" s="53"/>
      <c r="B157" s="53"/>
      <c r="C157" s="53"/>
      <c r="D157" s="54"/>
      <c r="E157" s="54"/>
      <c r="F157" s="53"/>
      <c r="G157" s="53"/>
      <c r="H157" s="54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4"/>
    </row>
    <row r="158" spans="1:65" ht="12.75">
      <c r="A158" s="53"/>
      <c r="B158" s="53"/>
      <c r="C158" s="53"/>
      <c r="D158" s="54"/>
      <c r="E158" s="54"/>
      <c r="F158" s="53"/>
      <c r="G158" s="53"/>
      <c r="H158" s="54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4"/>
    </row>
    <row r="159" spans="1:65" ht="12.75">
      <c r="A159" s="53"/>
      <c r="B159" s="53"/>
      <c r="C159" s="53"/>
      <c r="D159" s="54"/>
      <c r="E159" s="54"/>
      <c r="F159" s="53"/>
      <c r="G159" s="53"/>
      <c r="H159" s="54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4"/>
    </row>
    <row r="160" spans="1:65" ht="12.75">
      <c r="A160" s="53"/>
      <c r="B160" s="53"/>
      <c r="C160" s="53"/>
      <c r="D160" s="54"/>
      <c r="E160" s="54"/>
      <c r="F160" s="53"/>
      <c r="G160" s="53"/>
      <c r="H160" s="54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4"/>
    </row>
    <row r="161" spans="1:65" ht="12.75">
      <c r="A161" s="53"/>
      <c r="B161" s="53"/>
      <c r="C161" s="53"/>
      <c r="D161" s="54"/>
      <c r="E161" s="54"/>
      <c r="F161" s="53"/>
      <c r="G161" s="53"/>
      <c r="H161" s="54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4"/>
    </row>
    <row r="162" spans="1:65" ht="12.75">
      <c r="A162" s="53"/>
      <c r="B162" s="53"/>
      <c r="C162" s="53"/>
      <c r="D162" s="54"/>
      <c r="E162" s="54"/>
      <c r="F162" s="53"/>
      <c r="G162" s="53"/>
      <c r="H162" s="54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4"/>
    </row>
    <row r="163" spans="1:65" ht="12.75">
      <c r="A163" s="53"/>
      <c r="B163" s="53"/>
      <c r="C163" s="53"/>
      <c r="D163" s="54"/>
      <c r="E163" s="54"/>
      <c r="F163" s="53"/>
      <c r="G163" s="53"/>
      <c r="H163" s="54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4"/>
    </row>
    <row r="164" spans="1:65" ht="12.75">
      <c r="A164" s="53"/>
      <c r="B164" s="53"/>
      <c r="C164" s="53"/>
      <c r="D164" s="54"/>
      <c r="E164" s="54"/>
      <c r="F164" s="53"/>
      <c r="G164" s="53"/>
      <c r="H164" s="54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4"/>
    </row>
    <row r="165" spans="1:65" ht="12.75">
      <c r="A165" s="53"/>
      <c r="B165" s="53"/>
      <c r="C165" s="53"/>
      <c r="D165" s="54"/>
      <c r="E165" s="54"/>
      <c r="F165" s="53"/>
      <c r="G165" s="53"/>
      <c r="H165" s="54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4"/>
    </row>
    <row r="166" spans="1:65" ht="12.75">
      <c r="A166" s="53"/>
      <c r="B166" s="53"/>
      <c r="C166" s="53"/>
      <c r="D166" s="54"/>
      <c r="E166" s="54"/>
      <c r="F166" s="53"/>
      <c r="G166" s="53"/>
      <c r="H166" s="54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4"/>
    </row>
    <row r="167" spans="1:65" ht="12.75">
      <c r="A167" s="53"/>
      <c r="B167" s="53"/>
      <c r="C167" s="53"/>
      <c r="D167" s="54"/>
      <c r="E167" s="54"/>
      <c r="F167" s="53"/>
      <c r="G167" s="53"/>
      <c r="H167" s="54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4"/>
    </row>
    <row r="168" spans="1:65" ht="12.75">
      <c r="A168" s="53"/>
      <c r="B168" s="53"/>
      <c r="C168" s="53"/>
      <c r="D168" s="54"/>
      <c r="E168" s="54"/>
      <c r="F168" s="53"/>
      <c r="G168" s="53"/>
      <c r="H168" s="54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4"/>
    </row>
    <row r="169" spans="1:65" ht="12.75">
      <c r="A169" s="53"/>
      <c r="B169" s="53"/>
      <c r="C169" s="53"/>
      <c r="D169" s="54"/>
      <c r="E169" s="54"/>
      <c r="F169" s="53"/>
      <c r="G169" s="53"/>
      <c r="H169" s="54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4"/>
    </row>
    <row r="170" spans="1:65" ht="12.75">
      <c r="A170" s="53"/>
      <c r="B170" s="53"/>
      <c r="C170" s="53"/>
      <c r="D170" s="54"/>
      <c r="E170" s="54"/>
      <c r="F170" s="53"/>
      <c r="G170" s="53"/>
      <c r="H170" s="54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4"/>
    </row>
    <row r="171" spans="1:65" ht="12.75">
      <c r="A171" s="53"/>
      <c r="B171" s="53"/>
      <c r="C171" s="53"/>
      <c r="D171" s="54"/>
      <c r="E171" s="54"/>
      <c r="F171" s="53"/>
      <c r="G171" s="53"/>
      <c r="H171" s="54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4"/>
    </row>
    <row r="172" spans="1:65" ht="12.75">
      <c r="A172" s="53"/>
      <c r="B172" s="53"/>
      <c r="C172" s="53"/>
      <c r="D172" s="54"/>
      <c r="E172" s="54"/>
      <c r="F172" s="53"/>
      <c r="G172" s="53"/>
      <c r="H172" s="54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4"/>
    </row>
    <row r="173" spans="1:65" ht="12.75">
      <c r="A173" s="53"/>
      <c r="B173" s="53"/>
      <c r="C173" s="53"/>
      <c r="D173" s="54"/>
      <c r="E173" s="54"/>
      <c r="F173" s="53"/>
      <c r="G173" s="53"/>
      <c r="H173" s="54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4"/>
    </row>
    <row r="174" spans="1:65" ht="12.75">
      <c r="A174" s="53"/>
      <c r="B174" s="53"/>
      <c r="C174" s="53"/>
      <c r="D174" s="54"/>
      <c r="E174" s="54"/>
      <c r="F174" s="53"/>
      <c r="G174" s="53"/>
      <c r="H174" s="54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4"/>
    </row>
    <row r="175" spans="1:65" ht="12.75">
      <c r="A175" s="53"/>
      <c r="B175" s="53"/>
      <c r="C175" s="53"/>
      <c r="D175" s="54"/>
      <c r="E175" s="54"/>
      <c r="F175" s="53"/>
      <c r="G175" s="53"/>
      <c r="H175" s="54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4"/>
    </row>
    <row r="176" spans="1:65" ht="12.75">
      <c r="A176" s="53"/>
      <c r="B176" s="53"/>
      <c r="C176" s="53"/>
      <c r="D176" s="54"/>
      <c r="E176" s="54"/>
      <c r="F176" s="53"/>
      <c r="G176" s="53"/>
      <c r="H176" s="54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4"/>
    </row>
    <row r="177" spans="1:65" ht="12.75">
      <c r="A177" s="53"/>
      <c r="B177" s="53"/>
      <c r="C177" s="53"/>
      <c r="D177" s="54"/>
      <c r="E177" s="54"/>
      <c r="F177" s="53"/>
      <c r="G177" s="53"/>
      <c r="H177" s="54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4"/>
    </row>
    <row r="178" spans="1:65" ht="12.75">
      <c r="A178" s="53"/>
      <c r="B178" s="53"/>
      <c r="C178" s="53"/>
      <c r="D178" s="54"/>
      <c r="E178" s="54"/>
      <c r="F178" s="53"/>
      <c r="G178" s="53"/>
      <c r="H178" s="54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4"/>
    </row>
    <row r="179" spans="1:65" ht="12.75">
      <c r="A179" s="53"/>
      <c r="B179" s="53"/>
      <c r="C179" s="53"/>
      <c r="D179" s="54"/>
      <c r="E179" s="54"/>
      <c r="F179" s="53"/>
      <c r="G179" s="53"/>
      <c r="H179" s="54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4"/>
    </row>
    <row r="180" spans="1:65" ht="12.75">
      <c r="A180" s="53"/>
      <c r="B180" s="53"/>
      <c r="C180" s="53"/>
      <c r="D180" s="54"/>
      <c r="E180" s="54"/>
      <c r="F180" s="53"/>
      <c r="G180" s="53"/>
      <c r="H180" s="54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4"/>
    </row>
    <row r="181" spans="1:65" ht="12.75">
      <c r="A181" s="53"/>
      <c r="B181" s="53"/>
      <c r="C181" s="53"/>
      <c r="D181" s="54"/>
      <c r="E181" s="54"/>
      <c r="F181" s="53"/>
      <c r="G181" s="53"/>
      <c r="H181" s="54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4"/>
    </row>
    <row r="182" spans="1:65" ht="12.75">
      <c r="A182" s="53"/>
      <c r="B182" s="53"/>
      <c r="C182" s="53"/>
      <c r="D182" s="54"/>
      <c r="E182" s="54"/>
      <c r="F182" s="53"/>
      <c r="G182" s="53"/>
      <c r="H182" s="54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4"/>
    </row>
    <row r="183" spans="1:65" ht="12.75">
      <c r="A183" s="53"/>
      <c r="B183" s="53"/>
      <c r="C183" s="53"/>
      <c r="D183" s="54"/>
      <c r="E183" s="54"/>
      <c r="F183" s="53"/>
      <c r="G183" s="53"/>
      <c r="H183" s="54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4"/>
    </row>
    <row r="184" spans="1:65" ht="12.75">
      <c r="A184" s="53"/>
      <c r="B184" s="53"/>
      <c r="C184" s="53"/>
      <c r="D184" s="54"/>
      <c r="E184" s="54"/>
      <c r="F184" s="53"/>
      <c r="G184" s="53"/>
      <c r="H184" s="54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4"/>
    </row>
    <row r="185" spans="1:65" ht="12.75">
      <c r="A185" s="53"/>
      <c r="B185" s="53"/>
      <c r="C185" s="53"/>
      <c r="D185" s="54"/>
      <c r="E185" s="54"/>
      <c r="F185" s="53"/>
      <c r="G185" s="53"/>
      <c r="H185" s="54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4"/>
    </row>
    <row r="186" spans="1:65" ht="12.75">
      <c r="A186" s="53"/>
      <c r="B186" s="53"/>
      <c r="C186" s="53"/>
      <c r="D186" s="54"/>
      <c r="E186" s="54"/>
      <c r="F186" s="53"/>
      <c r="G186" s="53"/>
      <c r="H186" s="54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4"/>
    </row>
    <row r="187" spans="1:65" ht="12.75">
      <c r="A187" s="53"/>
      <c r="B187" s="53"/>
      <c r="C187" s="53"/>
      <c r="D187" s="54"/>
      <c r="E187" s="54"/>
      <c r="F187" s="53"/>
      <c r="G187" s="53"/>
      <c r="H187" s="54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4"/>
    </row>
    <row r="188" spans="1:65" ht="12.75">
      <c r="A188" s="53"/>
      <c r="B188" s="53"/>
      <c r="C188" s="53"/>
      <c r="D188" s="54"/>
      <c r="E188" s="54"/>
      <c r="F188" s="53"/>
      <c r="G188" s="53"/>
      <c r="H188" s="54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4"/>
    </row>
    <row r="189" spans="1:65" ht="12.75">
      <c r="A189" s="53"/>
      <c r="B189" s="53"/>
      <c r="C189" s="53"/>
      <c r="D189" s="54"/>
      <c r="E189" s="54"/>
      <c r="F189" s="53"/>
      <c r="G189" s="53"/>
      <c r="H189" s="54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4"/>
    </row>
    <row r="190" spans="1:65" ht="12.75">
      <c r="A190" s="53"/>
      <c r="B190" s="53"/>
      <c r="C190" s="53"/>
      <c r="D190" s="54"/>
      <c r="E190" s="54"/>
      <c r="F190" s="53"/>
      <c r="G190" s="53"/>
      <c r="H190" s="54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4"/>
    </row>
    <row r="191" spans="1:65" ht="12.75">
      <c r="A191" s="53"/>
      <c r="B191" s="53"/>
      <c r="C191" s="53"/>
      <c r="D191" s="54"/>
      <c r="E191" s="54"/>
      <c r="F191" s="53"/>
      <c r="G191" s="53"/>
      <c r="H191" s="54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4"/>
    </row>
    <row r="192" spans="1:65" ht="12.75">
      <c r="A192" s="53"/>
      <c r="B192" s="53"/>
      <c r="C192" s="53"/>
      <c r="D192" s="54"/>
      <c r="E192" s="54"/>
      <c r="F192" s="53"/>
      <c r="G192" s="53"/>
      <c r="H192" s="54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4"/>
    </row>
    <row r="193" spans="1:65" ht="12.75">
      <c r="A193" s="53"/>
      <c r="B193" s="53"/>
      <c r="C193" s="53"/>
      <c r="D193" s="54"/>
      <c r="E193" s="54"/>
      <c r="F193" s="53"/>
      <c r="G193" s="53"/>
      <c r="H193" s="54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4"/>
    </row>
    <row r="194" spans="1:65" ht="12.75">
      <c r="A194" s="53"/>
      <c r="B194" s="53"/>
      <c r="C194" s="53"/>
      <c r="D194" s="54"/>
      <c r="E194" s="54"/>
      <c r="F194" s="53"/>
      <c r="G194" s="53"/>
      <c r="H194" s="54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4"/>
    </row>
    <row r="195" spans="1:65" ht="12.75">
      <c r="A195" s="53"/>
      <c r="B195" s="53"/>
      <c r="C195" s="53"/>
      <c r="D195" s="54"/>
      <c r="E195" s="54"/>
      <c r="F195" s="53"/>
      <c r="G195" s="53"/>
      <c r="H195" s="54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4"/>
    </row>
    <row r="196" spans="1:65" ht="12.75">
      <c r="A196" s="53"/>
      <c r="B196" s="53"/>
      <c r="C196" s="53"/>
      <c r="D196" s="54"/>
      <c r="E196" s="54"/>
      <c r="F196" s="53"/>
      <c r="G196" s="53"/>
      <c r="H196" s="54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4"/>
    </row>
    <row r="197" spans="1:65" ht="12.75">
      <c r="A197" s="53"/>
      <c r="B197" s="53"/>
      <c r="C197" s="53"/>
      <c r="D197" s="54"/>
      <c r="E197" s="54"/>
      <c r="F197" s="53"/>
      <c r="G197" s="53"/>
      <c r="H197" s="54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4"/>
    </row>
    <row r="198" spans="1:65" ht="12.75">
      <c r="A198" s="53"/>
      <c r="B198" s="53"/>
      <c r="C198" s="53"/>
      <c r="D198" s="54"/>
      <c r="E198" s="54"/>
      <c r="F198" s="53"/>
      <c r="G198" s="53"/>
      <c r="H198" s="54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4"/>
    </row>
    <row r="199" spans="1:65" ht="12.75">
      <c r="A199" s="53"/>
      <c r="B199" s="53"/>
      <c r="C199" s="53"/>
      <c r="D199" s="54"/>
      <c r="E199" s="54"/>
      <c r="F199" s="53"/>
      <c r="G199" s="53"/>
      <c r="H199" s="54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4"/>
    </row>
    <row r="200" spans="1:65" ht="12.75">
      <c r="A200" s="53"/>
      <c r="B200" s="53"/>
      <c r="C200" s="53"/>
      <c r="D200" s="54"/>
      <c r="E200" s="54"/>
      <c r="F200" s="53"/>
      <c r="G200" s="53"/>
      <c r="H200" s="54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4"/>
    </row>
    <row r="201" spans="1:65" ht="12.75">
      <c r="A201" s="53"/>
      <c r="B201" s="53"/>
      <c r="C201" s="53"/>
      <c r="D201" s="54"/>
      <c r="E201" s="54"/>
      <c r="F201" s="53"/>
      <c r="G201" s="53"/>
      <c r="H201" s="54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4"/>
    </row>
    <row r="202" spans="1:65" ht="12.75">
      <c r="A202" s="53"/>
      <c r="B202" s="53"/>
      <c r="C202" s="53"/>
      <c r="D202" s="54"/>
      <c r="E202" s="54"/>
      <c r="F202" s="53"/>
      <c r="G202" s="53"/>
      <c r="H202" s="54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4"/>
    </row>
    <row r="203" spans="1:65" ht="12.75">
      <c r="A203" s="53"/>
      <c r="B203" s="53"/>
      <c r="C203" s="53"/>
      <c r="D203" s="54"/>
      <c r="E203" s="54"/>
      <c r="F203" s="53"/>
      <c r="G203" s="53"/>
      <c r="H203" s="54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4"/>
    </row>
    <row r="204" spans="1:65" ht="12.75">
      <c r="A204" s="53"/>
      <c r="B204" s="53"/>
      <c r="C204" s="53"/>
      <c r="D204" s="54"/>
      <c r="E204" s="54"/>
      <c r="F204" s="53"/>
      <c r="G204" s="53"/>
      <c r="H204" s="54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4"/>
    </row>
    <row r="205" spans="1:65" ht="12.75">
      <c r="A205" s="53"/>
      <c r="B205" s="53"/>
      <c r="C205" s="53"/>
      <c r="D205" s="54"/>
      <c r="E205" s="54"/>
      <c r="F205" s="53"/>
      <c r="G205" s="53"/>
      <c r="H205" s="54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4"/>
    </row>
    <row r="206" spans="1:65" ht="12.75">
      <c r="A206" s="53"/>
      <c r="B206" s="53"/>
      <c r="C206" s="53"/>
      <c r="D206" s="54"/>
      <c r="E206" s="54"/>
      <c r="F206" s="53"/>
      <c r="G206" s="53"/>
      <c r="H206" s="54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4"/>
    </row>
    <row r="207" spans="1:65" ht="12.75">
      <c r="A207" s="53"/>
      <c r="B207" s="53"/>
      <c r="C207" s="53"/>
      <c r="D207" s="54"/>
      <c r="E207" s="54"/>
      <c r="F207" s="53"/>
      <c r="G207" s="53"/>
      <c r="H207" s="54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4"/>
    </row>
    <row r="208" spans="1:65" ht="12.75">
      <c r="A208" s="53"/>
      <c r="B208" s="53"/>
      <c r="C208" s="53"/>
      <c r="D208" s="54"/>
      <c r="E208" s="54"/>
      <c r="F208" s="53"/>
      <c r="G208" s="53"/>
      <c r="H208" s="54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4"/>
    </row>
    <row r="209" spans="1:65" ht="12.75">
      <c r="A209" s="53"/>
      <c r="B209" s="53"/>
      <c r="C209" s="53"/>
      <c r="D209" s="54"/>
      <c r="E209" s="54"/>
      <c r="F209" s="53"/>
      <c r="G209" s="53"/>
      <c r="H209" s="54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4"/>
    </row>
    <row r="210" spans="1:65" ht="12.75">
      <c r="A210" s="53"/>
      <c r="B210" s="53"/>
      <c r="C210" s="53"/>
      <c r="D210" s="54"/>
      <c r="E210" s="54"/>
      <c r="F210" s="53"/>
      <c r="G210" s="53"/>
      <c r="H210" s="54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4"/>
    </row>
    <row r="211" spans="1:65" ht="12.75">
      <c r="A211" s="53"/>
      <c r="B211" s="53"/>
      <c r="C211" s="53"/>
      <c r="D211" s="54"/>
      <c r="E211" s="54"/>
      <c r="F211" s="53"/>
      <c r="G211" s="53"/>
      <c r="H211" s="54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4"/>
    </row>
    <row r="212" spans="1:65" ht="12.75">
      <c r="A212" s="53"/>
      <c r="B212" s="53"/>
      <c r="C212" s="53"/>
      <c r="D212" s="54"/>
      <c r="E212" s="54"/>
      <c r="F212" s="53"/>
      <c r="G212" s="53"/>
      <c r="H212" s="54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4"/>
    </row>
    <row r="213" spans="1:65" ht="12.75">
      <c r="A213" s="53"/>
      <c r="B213" s="53"/>
      <c r="C213" s="53"/>
      <c r="D213" s="54"/>
      <c r="E213" s="54"/>
      <c r="F213" s="53"/>
      <c r="G213" s="53"/>
      <c r="H213" s="54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4"/>
    </row>
    <row r="214" spans="1:65" ht="12.75">
      <c r="A214" s="53"/>
      <c r="B214" s="53"/>
      <c r="C214" s="53"/>
      <c r="D214" s="54"/>
      <c r="E214" s="54"/>
      <c r="F214" s="53"/>
      <c r="G214" s="53"/>
      <c r="H214" s="54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4"/>
    </row>
    <row r="215" spans="1:65" ht="12.75">
      <c r="A215" s="53"/>
      <c r="B215" s="53"/>
      <c r="C215" s="53"/>
      <c r="D215" s="54"/>
      <c r="E215" s="54"/>
      <c r="F215" s="53"/>
      <c r="G215" s="53"/>
      <c r="H215" s="54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4"/>
    </row>
    <row r="216" spans="1:65" ht="12.75">
      <c r="A216" s="53"/>
      <c r="B216" s="53"/>
      <c r="C216" s="53"/>
      <c r="D216" s="54"/>
      <c r="E216" s="54"/>
      <c r="F216" s="53"/>
      <c r="G216" s="53"/>
      <c r="H216" s="54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4"/>
    </row>
    <row r="217" spans="1:65" ht="12.75">
      <c r="A217" s="53"/>
      <c r="B217" s="53"/>
      <c r="C217" s="53"/>
      <c r="D217" s="54"/>
      <c r="E217" s="54"/>
      <c r="F217" s="53"/>
      <c r="G217" s="53"/>
      <c r="H217" s="54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4"/>
    </row>
    <row r="218" spans="1:65" ht="12.75">
      <c r="A218" s="53"/>
      <c r="B218" s="53"/>
      <c r="C218" s="53"/>
      <c r="D218" s="54"/>
      <c r="E218" s="54"/>
      <c r="F218" s="53"/>
      <c r="G218" s="53"/>
      <c r="H218" s="54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4"/>
    </row>
    <row r="219" spans="1:65" ht="12.75">
      <c r="A219" s="53"/>
      <c r="B219" s="53"/>
      <c r="C219" s="53"/>
      <c r="D219" s="54"/>
      <c r="E219" s="54"/>
      <c r="F219" s="53"/>
      <c r="G219" s="53"/>
      <c r="H219" s="54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4"/>
    </row>
    <row r="220" spans="1:65" ht="12.75">
      <c r="A220" s="53"/>
      <c r="B220" s="53"/>
      <c r="C220" s="53"/>
      <c r="D220" s="54"/>
      <c r="E220" s="54"/>
      <c r="F220" s="53"/>
      <c r="G220" s="53"/>
      <c r="H220" s="54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4"/>
    </row>
    <row r="221" spans="1:65" ht="12.75">
      <c r="A221" s="53"/>
      <c r="B221" s="53"/>
      <c r="C221" s="53"/>
      <c r="D221" s="54"/>
      <c r="E221" s="54"/>
      <c r="F221" s="53"/>
      <c r="G221" s="53"/>
      <c r="H221" s="54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4"/>
    </row>
    <row r="222" spans="1:65" ht="12.75">
      <c r="A222" s="53"/>
      <c r="B222" s="53"/>
      <c r="C222" s="53"/>
      <c r="D222" s="54"/>
      <c r="E222" s="54"/>
      <c r="F222" s="53"/>
      <c r="G222" s="53"/>
      <c r="H222" s="54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4"/>
    </row>
    <row r="223" spans="1:65" ht="12.75">
      <c r="A223" s="53"/>
      <c r="B223" s="53"/>
      <c r="C223" s="53"/>
      <c r="D223" s="54"/>
      <c r="E223" s="54"/>
      <c r="F223" s="53"/>
      <c r="G223" s="53"/>
      <c r="H223" s="54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4"/>
    </row>
    <row r="224" spans="1:65" ht="12.75">
      <c r="A224" s="53"/>
      <c r="B224" s="53"/>
      <c r="C224" s="53"/>
      <c r="D224" s="54"/>
      <c r="E224" s="54"/>
      <c r="F224" s="53"/>
      <c r="G224" s="53"/>
      <c r="H224" s="54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4"/>
    </row>
    <row r="225" spans="1:65" ht="12.75">
      <c r="A225" s="53"/>
      <c r="B225" s="53"/>
      <c r="C225" s="53"/>
      <c r="D225" s="54"/>
      <c r="E225" s="54"/>
      <c r="F225" s="53"/>
      <c r="G225" s="53"/>
      <c r="H225" s="54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4"/>
    </row>
    <row r="226" spans="1:65" ht="12.75">
      <c r="A226" s="53"/>
      <c r="B226" s="53"/>
      <c r="C226" s="53"/>
      <c r="D226" s="54"/>
      <c r="E226" s="54"/>
      <c r="F226" s="53"/>
      <c r="G226" s="53"/>
      <c r="H226" s="54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4"/>
    </row>
    <row r="227" spans="1:65" ht="12.75">
      <c r="A227" s="53"/>
      <c r="B227" s="53"/>
      <c r="C227" s="53"/>
      <c r="D227" s="54"/>
      <c r="E227" s="54"/>
      <c r="F227" s="53"/>
      <c r="G227" s="53"/>
      <c r="H227" s="54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4"/>
    </row>
    <row r="228" spans="1:65" ht="12.75">
      <c r="A228" s="53"/>
      <c r="B228" s="53"/>
      <c r="C228" s="53"/>
      <c r="D228" s="54"/>
      <c r="E228" s="54"/>
      <c r="F228" s="53"/>
      <c r="G228" s="53"/>
      <c r="H228" s="54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4"/>
    </row>
    <row r="229" spans="1:65" ht="12.75">
      <c r="A229" s="53"/>
      <c r="B229" s="53"/>
      <c r="C229" s="53"/>
      <c r="D229" s="54"/>
      <c r="E229" s="54"/>
      <c r="F229" s="53"/>
      <c r="G229" s="53"/>
      <c r="H229" s="54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4"/>
    </row>
    <row r="230" spans="1:65" ht="12.75">
      <c r="A230" s="53"/>
      <c r="B230" s="53"/>
      <c r="C230" s="53"/>
      <c r="D230" s="54"/>
      <c r="E230" s="54"/>
      <c r="F230" s="53"/>
      <c r="G230" s="53"/>
      <c r="H230" s="54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4"/>
    </row>
    <row r="231" spans="1:65" ht="12.75">
      <c r="A231" s="53"/>
      <c r="B231" s="53"/>
      <c r="C231" s="53"/>
      <c r="D231" s="54"/>
      <c r="E231" s="54"/>
      <c r="F231" s="53"/>
      <c r="G231" s="53"/>
      <c r="H231" s="54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4"/>
    </row>
    <row r="232" spans="1:65" ht="12.75">
      <c r="A232" s="53"/>
      <c r="B232" s="53"/>
      <c r="C232" s="53"/>
      <c r="D232" s="54"/>
      <c r="E232" s="54"/>
      <c r="F232" s="53"/>
      <c r="G232" s="53"/>
      <c r="H232" s="54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4"/>
    </row>
    <row r="233" spans="1:65" ht="12.75">
      <c r="A233" s="53"/>
      <c r="B233" s="53"/>
      <c r="C233" s="53"/>
      <c r="D233" s="54"/>
      <c r="E233" s="54"/>
      <c r="F233" s="53"/>
      <c r="G233" s="53"/>
      <c r="H233" s="54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4"/>
    </row>
    <row r="234" spans="1:65" ht="12.75">
      <c r="A234" s="53"/>
      <c r="B234" s="53"/>
      <c r="C234" s="53"/>
      <c r="D234" s="54"/>
      <c r="E234" s="54"/>
      <c r="F234" s="53"/>
      <c r="G234" s="53"/>
      <c r="H234" s="54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4"/>
    </row>
    <row r="235" spans="1:65" ht="12.75">
      <c r="A235" s="53"/>
      <c r="B235" s="53"/>
      <c r="C235" s="53"/>
      <c r="D235" s="54"/>
      <c r="E235" s="54"/>
      <c r="F235" s="53"/>
      <c r="G235" s="53"/>
      <c r="H235" s="54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4"/>
    </row>
    <row r="236" spans="1:65" ht="12.75">
      <c r="A236" s="53"/>
      <c r="B236" s="53"/>
      <c r="C236" s="53"/>
      <c r="D236" s="54"/>
      <c r="E236" s="54"/>
      <c r="F236" s="53"/>
      <c r="G236" s="53"/>
      <c r="H236" s="54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4"/>
    </row>
    <row r="237" spans="1:65" ht="12.75">
      <c r="A237" s="53"/>
      <c r="B237" s="53"/>
      <c r="C237" s="53"/>
      <c r="D237" s="54"/>
      <c r="E237" s="54"/>
      <c r="F237" s="53"/>
      <c r="G237" s="53"/>
      <c r="H237" s="54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4"/>
    </row>
    <row r="238" spans="1:65" ht="12.75">
      <c r="A238" s="53"/>
      <c r="B238" s="53"/>
      <c r="C238" s="53"/>
      <c r="D238" s="54"/>
      <c r="E238" s="54"/>
      <c r="F238" s="53"/>
      <c r="G238" s="53"/>
      <c r="H238" s="54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4"/>
    </row>
    <row r="239" spans="1:65" ht="12.75">
      <c r="A239" s="53"/>
      <c r="B239" s="53"/>
      <c r="C239" s="53"/>
      <c r="D239" s="54"/>
      <c r="E239" s="54"/>
      <c r="F239" s="53"/>
      <c r="G239" s="53"/>
      <c r="H239" s="54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4"/>
    </row>
    <row r="240" spans="1:65" ht="12.75">
      <c r="A240" s="53"/>
      <c r="B240" s="53"/>
      <c r="C240" s="53"/>
      <c r="D240" s="54"/>
      <c r="E240" s="54"/>
      <c r="F240" s="53"/>
      <c r="G240" s="53"/>
      <c r="H240" s="54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4"/>
    </row>
    <row r="241" spans="1:65" ht="12.75">
      <c r="A241" s="53"/>
      <c r="B241" s="53"/>
      <c r="C241" s="53"/>
      <c r="D241" s="54"/>
      <c r="E241" s="54"/>
      <c r="F241" s="53"/>
      <c r="G241" s="53"/>
      <c r="H241" s="54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4"/>
    </row>
    <row r="242" spans="1:65" ht="12.75">
      <c r="A242" s="53"/>
      <c r="B242" s="53"/>
      <c r="C242" s="53"/>
      <c r="D242" s="54"/>
      <c r="E242" s="54"/>
      <c r="F242" s="53"/>
      <c r="G242" s="53"/>
      <c r="H242" s="54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4"/>
    </row>
    <row r="243" spans="1:65" ht="12.75">
      <c r="A243" s="53"/>
      <c r="B243" s="53"/>
      <c r="C243" s="53"/>
      <c r="D243" s="54"/>
      <c r="E243" s="54"/>
      <c r="F243" s="53"/>
      <c r="G243" s="53"/>
      <c r="H243" s="54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4"/>
    </row>
    <row r="244" spans="1:65" ht="12.75">
      <c r="A244" s="53"/>
      <c r="B244" s="53"/>
      <c r="C244" s="53"/>
      <c r="D244" s="54"/>
      <c r="E244" s="54"/>
      <c r="F244" s="53"/>
      <c r="G244" s="53"/>
      <c r="H244" s="54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4"/>
    </row>
    <row r="245" spans="1:65" ht="12.75">
      <c r="A245" s="53"/>
      <c r="B245" s="53"/>
      <c r="C245" s="53"/>
      <c r="D245" s="54"/>
      <c r="E245" s="54"/>
      <c r="F245" s="53"/>
      <c r="G245" s="53"/>
      <c r="H245" s="54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4"/>
    </row>
    <row r="246" spans="1:65" ht="12.75">
      <c r="A246" s="53"/>
      <c r="B246" s="53"/>
      <c r="C246" s="53"/>
      <c r="D246" s="54"/>
      <c r="E246" s="54"/>
      <c r="F246" s="53"/>
      <c r="G246" s="53"/>
      <c r="H246" s="54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4"/>
    </row>
    <row r="247" spans="1:65" ht="12.75">
      <c r="A247" s="53"/>
      <c r="B247" s="53"/>
      <c r="C247" s="53"/>
      <c r="D247" s="54"/>
      <c r="E247" s="54"/>
      <c r="F247" s="53"/>
      <c r="G247" s="53"/>
      <c r="H247" s="54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4"/>
    </row>
    <row r="248" spans="1:65" ht="12.75">
      <c r="A248" s="53"/>
      <c r="B248" s="53"/>
      <c r="C248" s="53"/>
      <c r="D248" s="54"/>
      <c r="E248" s="54"/>
      <c r="F248" s="53"/>
      <c r="G248" s="53"/>
      <c r="H248" s="54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4"/>
    </row>
    <row r="249" spans="1:65" ht="12.75">
      <c r="A249" s="53"/>
      <c r="B249" s="53"/>
      <c r="C249" s="53"/>
      <c r="D249" s="54"/>
      <c r="E249" s="54"/>
      <c r="F249" s="53"/>
      <c r="G249" s="53"/>
      <c r="H249" s="54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4"/>
    </row>
    <row r="250" spans="1:65" ht="12.75">
      <c r="A250" s="53"/>
      <c r="B250" s="53"/>
      <c r="C250" s="53"/>
      <c r="D250" s="54"/>
      <c r="E250" s="54"/>
      <c r="F250" s="53"/>
      <c r="G250" s="53"/>
      <c r="H250" s="54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4"/>
    </row>
    <row r="251" spans="1:65" ht="12.75">
      <c r="A251" s="53"/>
      <c r="B251" s="53"/>
      <c r="C251" s="53"/>
      <c r="D251" s="54"/>
      <c r="E251" s="54"/>
      <c r="F251" s="53"/>
      <c r="G251" s="53"/>
      <c r="H251" s="54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4"/>
    </row>
    <row r="252" spans="1:65" ht="12.75">
      <c r="A252" s="53"/>
      <c r="B252" s="53"/>
      <c r="C252" s="53"/>
      <c r="D252" s="54"/>
      <c r="E252" s="54"/>
      <c r="F252" s="53"/>
      <c r="G252" s="53"/>
      <c r="H252" s="54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4"/>
    </row>
    <row r="253" spans="1:65" ht="12.75">
      <c r="A253" s="53"/>
      <c r="B253" s="53"/>
      <c r="C253" s="53"/>
      <c r="D253" s="54"/>
      <c r="E253" s="54"/>
      <c r="F253" s="53"/>
      <c r="G253" s="53"/>
      <c r="H253" s="54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4"/>
    </row>
    <row r="254" spans="1:65" ht="12.75">
      <c r="A254" s="53"/>
      <c r="B254" s="53"/>
      <c r="C254" s="53"/>
      <c r="D254" s="54"/>
      <c r="E254" s="54"/>
      <c r="F254" s="53"/>
      <c r="G254" s="53"/>
      <c r="H254" s="54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4"/>
    </row>
    <row r="255" spans="1:65" ht="12.75">
      <c r="A255" s="53"/>
      <c r="B255" s="53"/>
      <c r="C255" s="53"/>
      <c r="D255" s="54"/>
      <c r="E255" s="54"/>
      <c r="F255" s="53"/>
      <c r="G255" s="53"/>
      <c r="H255" s="54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4"/>
    </row>
    <row r="256" spans="1:65" ht="12.75">
      <c r="A256" s="53"/>
      <c r="B256" s="53"/>
      <c r="C256" s="53"/>
      <c r="D256" s="54"/>
      <c r="E256" s="54"/>
      <c r="F256" s="53"/>
      <c r="G256" s="53"/>
      <c r="H256" s="54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4"/>
    </row>
    <row r="257" spans="1:65" ht="12.75">
      <c r="A257" s="53"/>
      <c r="B257" s="53"/>
      <c r="C257" s="53"/>
      <c r="D257" s="54"/>
      <c r="E257" s="54"/>
      <c r="F257" s="53"/>
      <c r="G257" s="53"/>
      <c r="H257" s="54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4"/>
    </row>
    <row r="258" spans="1:65" ht="12.75">
      <c r="A258" s="53"/>
      <c r="B258" s="53"/>
      <c r="C258" s="53"/>
      <c r="D258" s="54"/>
      <c r="E258" s="54"/>
      <c r="F258" s="53"/>
      <c r="G258" s="53"/>
      <c r="H258" s="54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4"/>
    </row>
    <row r="259" spans="1:65" ht="12.75">
      <c r="A259" s="53"/>
      <c r="B259" s="53"/>
      <c r="C259" s="53"/>
      <c r="D259" s="54"/>
      <c r="E259" s="54"/>
      <c r="F259" s="53"/>
      <c r="G259" s="53"/>
      <c r="H259" s="54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4"/>
    </row>
    <row r="260" spans="1:65" ht="12.75">
      <c r="A260" s="53"/>
      <c r="B260" s="53"/>
      <c r="C260" s="53"/>
      <c r="D260" s="54"/>
      <c r="E260" s="54"/>
      <c r="F260" s="53"/>
      <c r="G260" s="53"/>
      <c r="H260" s="54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4"/>
    </row>
    <row r="261" spans="1:65" ht="12.75">
      <c r="A261" s="53"/>
      <c r="B261" s="53"/>
      <c r="C261" s="53"/>
      <c r="D261" s="54"/>
      <c r="E261" s="54"/>
      <c r="F261" s="53"/>
      <c r="G261" s="53"/>
      <c r="H261" s="54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4"/>
    </row>
    <row r="262" spans="1:65" ht="12.75">
      <c r="A262" s="53"/>
      <c r="B262" s="53"/>
      <c r="C262" s="53"/>
      <c r="D262" s="54"/>
      <c r="E262" s="54"/>
      <c r="F262" s="53"/>
      <c r="G262" s="53"/>
      <c r="H262" s="54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4"/>
    </row>
    <row r="263" spans="1:65" ht="12.75">
      <c r="A263" s="53"/>
      <c r="B263" s="53"/>
      <c r="C263" s="53"/>
      <c r="D263" s="54"/>
      <c r="E263" s="54"/>
      <c r="F263" s="53"/>
      <c r="G263" s="53"/>
      <c r="H263" s="54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4"/>
    </row>
    <row r="264" spans="1:65" ht="12.75">
      <c r="A264" s="53"/>
      <c r="B264" s="53"/>
      <c r="C264" s="53"/>
      <c r="D264" s="54"/>
      <c r="E264" s="54"/>
      <c r="F264" s="53"/>
      <c r="G264" s="53"/>
      <c r="H264" s="54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4"/>
    </row>
    <row r="265" spans="1:65" ht="12.75">
      <c r="A265" s="53"/>
      <c r="B265" s="53"/>
      <c r="C265" s="53"/>
      <c r="D265" s="54"/>
      <c r="E265" s="54"/>
      <c r="F265" s="53"/>
      <c r="G265" s="53"/>
      <c r="H265" s="54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4"/>
    </row>
    <row r="266" spans="1:65" ht="12.75">
      <c r="A266" s="53"/>
      <c r="B266" s="53"/>
      <c r="C266" s="53"/>
      <c r="D266" s="54"/>
      <c r="E266" s="54"/>
      <c r="F266" s="53"/>
      <c r="G266" s="53"/>
      <c r="H266" s="54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4"/>
    </row>
    <row r="267" spans="1:65" ht="12.75">
      <c r="A267" s="53"/>
      <c r="B267" s="53"/>
      <c r="C267" s="53"/>
      <c r="D267" s="54"/>
      <c r="E267" s="54"/>
      <c r="F267" s="53"/>
      <c r="G267" s="53"/>
      <c r="H267" s="54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4"/>
    </row>
    <row r="268" spans="1:65" ht="12.75">
      <c r="A268" s="53"/>
      <c r="B268" s="53"/>
      <c r="C268" s="53"/>
      <c r="D268" s="54"/>
      <c r="E268" s="54"/>
      <c r="F268" s="53"/>
      <c r="G268" s="53"/>
      <c r="H268" s="54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4"/>
    </row>
    <row r="269" spans="1:65" ht="12.75">
      <c r="A269" s="53"/>
      <c r="B269" s="53"/>
      <c r="C269" s="53"/>
      <c r="D269" s="54"/>
      <c r="E269" s="54"/>
      <c r="F269" s="53"/>
      <c r="G269" s="53"/>
      <c r="H269" s="54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4"/>
    </row>
    <row r="270" spans="1:65" ht="12.75">
      <c r="A270" s="53"/>
      <c r="B270" s="53"/>
      <c r="C270" s="53"/>
      <c r="D270" s="54"/>
      <c r="E270" s="54"/>
      <c r="F270" s="53"/>
      <c r="G270" s="53"/>
      <c r="H270" s="54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4"/>
    </row>
    <row r="271" spans="1:65" ht="12.75">
      <c r="A271" s="53"/>
      <c r="B271" s="53"/>
      <c r="C271" s="53"/>
      <c r="D271" s="54"/>
      <c r="E271" s="54"/>
      <c r="F271" s="53"/>
      <c r="G271" s="53"/>
      <c r="H271" s="54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4"/>
    </row>
    <row r="272" spans="1:65" ht="12.75">
      <c r="A272" s="53"/>
      <c r="B272" s="53"/>
      <c r="C272" s="53"/>
      <c r="D272" s="54"/>
      <c r="E272" s="54"/>
      <c r="F272" s="53"/>
      <c r="G272" s="53"/>
      <c r="H272" s="54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4"/>
    </row>
    <row r="273" spans="1:65" ht="12.75">
      <c r="A273" s="53"/>
      <c r="B273" s="53"/>
      <c r="C273" s="53"/>
      <c r="D273" s="54"/>
      <c r="E273" s="54"/>
      <c r="F273" s="53"/>
      <c r="G273" s="53"/>
      <c r="H273" s="54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4"/>
    </row>
    <row r="274" spans="1:65" ht="12.75">
      <c r="A274" s="53"/>
      <c r="B274" s="53"/>
      <c r="C274" s="53"/>
      <c r="D274" s="54"/>
      <c r="E274" s="54"/>
      <c r="F274" s="53"/>
      <c r="G274" s="53"/>
      <c r="H274" s="54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4"/>
    </row>
    <row r="275" spans="1:65" ht="12.75">
      <c r="A275" s="53"/>
      <c r="B275" s="53"/>
      <c r="C275" s="53"/>
      <c r="D275" s="54"/>
      <c r="E275" s="54"/>
      <c r="F275" s="53"/>
      <c r="G275" s="53"/>
      <c r="H275" s="54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4"/>
    </row>
    <row r="276" spans="1:65" ht="12.75">
      <c r="A276" s="53"/>
      <c r="B276" s="53"/>
      <c r="C276" s="53"/>
      <c r="D276" s="54"/>
      <c r="E276" s="54"/>
      <c r="F276" s="53"/>
      <c r="G276" s="53"/>
      <c r="H276" s="54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4"/>
    </row>
    <row r="277" spans="1:65" ht="12.75">
      <c r="A277" s="53"/>
      <c r="B277" s="53"/>
      <c r="C277" s="53"/>
      <c r="D277" s="54"/>
      <c r="E277" s="54"/>
      <c r="F277" s="53"/>
      <c r="G277" s="53"/>
      <c r="H277" s="54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4"/>
    </row>
    <row r="278" spans="1:65" ht="12.75">
      <c r="A278" s="53"/>
      <c r="B278" s="53"/>
      <c r="C278" s="53"/>
      <c r="D278" s="54"/>
      <c r="E278" s="54"/>
      <c r="F278" s="53"/>
      <c r="G278" s="53"/>
      <c r="H278" s="54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4"/>
    </row>
    <row r="279" spans="1:65" ht="12.75">
      <c r="A279" s="53"/>
      <c r="B279" s="53"/>
      <c r="C279" s="53"/>
      <c r="D279" s="54"/>
      <c r="E279" s="54"/>
      <c r="F279" s="53"/>
      <c r="G279" s="53"/>
      <c r="H279" s="54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4"/>
    </row>
    <row r="280" spans="1:65" ht="12.75">
      <c r="A280" s="53"/>
      <c r="B280" s="53"/>
      <c r="C280" s="53"/>
      <c r="D280" s="54"/>
      <c r="E280" s="54"/>
      <c r="F280" s="53"/>
      <c r="G280" s="53"/>
      <c r="H280" s="54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4"/>
    </row>
    <row r="281" spans="1:65" ht="12.75">
      <c r="A281" s="53"/>
      <c r="B281" s="53"/>
      <c r="C281" s="53"/>
      <c r="D281" s="54"/>
      <c r="E281" s="54"/>
      <c r="F281" s="53"/>
      <c r="G281" s="53"/>
      <c r="H281" s="54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4"/>
    </row>
    <row r="282" spans="1:65" ht="12.75">
      <c r="A282" s="53"/>
      <c r="B282" s="53"/>
      <c r="C282" s="53"/>
      <c r="D282" s="54"/>
      <c r="E282" s="54"/>
      <c r="F282" s="53"/>
      <c r="G282" s="53"/>
      <c r="H282" s="54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4"/>
    </row>
    <row r="283" spans="1:65" ht="12.75">
      <c r="A283" s="53"/>
      <c r="B283" s="53"/>
      <c r="C283" s="53"/>
      <c r="D283" s="54"/>
      <c r="E283" s="54"/>
      <c r="F283" s="53"/>
      <c r="G283" s="53"/>
      <c r="H283" s="54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4"/>
    </row>
    <row r="284" spans="1:65" ht="12.75">
      <c r="A284" s="53"/>
      <c r="B284" s="53"/>
      <c r="C284" s="53"/>
      <c r="D284" s="54"/>
      <c r="E284" s="54"/>
      <c r="F284" s="53"/>
      <c r="G284" s="53"/>
      <c r="H284" s="54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4"/>
    </row>
    <row r="285" spans="1:65" ht="12.75">
      <c r="A285" s="53"/>
      <c r="B285" s="53"/>
      <c r="C285" s="53"/>
      <c r="D285" s="54"/>
      <c r="E285" s="54"/>
      <c r="F285" s="53"/>
      <c r="G285" s="53"/>
      <c r="H285" s="54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4"/>
    </row>
    <row r="286" spans="1:65" ht="12.75">
      <c r="A286" s="53"/>
      <c r="B286" s="53"/>
      <c r="C286" s="53"/>
      <c r="D286" s="54"/>
      <c r="E286" s="54"/>
      <c r="F286" s="53"/>
      <c r="G286" s="53"/>
      <c r="H286" s="54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4"/>
    </row>
    <row r="287" spans="1:65" ht="12.75">
      <c r="A287" s="53"/>
      <c r="B287" s="53"/>
      <c r="C287" s="53"/>
      <c r="D287" s="54"/>
      <c r="E287" s="54"/>
      <c r="F287" s="53"/>
      <c r="G287" s="53"/>
      <c r="H287" s="54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4"/>
    </row>
    <row r="288" spans="1:65" ht="12.75">
      <c r="A288" s="53"/>
      <c r="B288" s="53"/>
      <c r="C288" s="53"/>
      <c r="D288" s="54"/>
      <c r="E288" s="54"/>
      <c r="F288" s="53"/>
      <c r="G288" s="53"/>
      <c r="H288" s="54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4"/>
    </row>
    <row r="289" spans="1:65" ht="12.75">
      <c r="A289" s="53"/>
      <c r="B289" s="53"/>
      <c r="C289" s="53"/>
      <c r="D289" s="54"/>
      <c r="E289" s="54"/>
      <c r="F289" s="53"/>
      <c r="G289" s="53"/>
      <c r="H289" s="54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4"/>
    </row>
    <row r="290" spans="1:65" ht="12.75">
      <c r="A290" s="53"/>
      <c r="B290" s="53"/>
      <c r="C290" s="53"/>
      <c r="D290" s="54"/>
      <c r="E290" s="54"/>
      <c r="F290" s="53"/>
      <c r="G290" s="53"/>
      <c r="H290" s="54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4"/>
    </row>
    <row r="291" spans="1:65" ht="12.75">
      <c r="A291" s="53"/>
      <c r="B291" s="53"/>
      <c r="C291" s="53"/>
      <c r="D291" s="54"/>
      <c r="E291" s="54"/>
      <c r="F291" s="53"/>
      <c r="G291" s="53"/>
      <c r="H291" s="54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4"/>
    </row>
    <row r="292" spans="1:65" ht="12.75">
      <c r="A292" s="53"/>
      <c r="B292" s="53"/>
      <c r="C292" s="53"/>
      <c r="D292" s="54"/>
      <c r="E292" s="54"/>
      <c r="F292" s="53"/>
      <c r="G292" s="53"/>
      <c r="H292" s="54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4"/>
    </row>
    <row r="293" spans="1:65" ht="12.75">
      <c r="A293" s="53"/>
      <c r="B293" s="53"/>
      <c r="C293" s="53"/>
      <c r="D293" s="54"/>
      <c r="E293" s="54"/>
      <c r="F293" s="53"/>
      <c r="G293" s="53"/>
      <c r="H293" s="54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4"/>
    </row>
    <row r="294" spans="1:65" ht="12.75">
      <c r="A294" s="53"/>
      <c r="B294" s="53"/>
      <c r="C294" s="53"/>
      <c r="D294" s="54"/>
      <c r="E294" s="54"/>
      <c r="F294" s="53"/>
      <c r="G294" s="53"/>
      <c r="H294" s="54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4"/>
    </row>
    <row r="295" spans="1:65" ht="12.75">
      <c r="A295" s="53"/>
      <c r="B295" s="53"/>
      <c r="C295" s="53"/>
      <c r="D295" s="54"/>
      <c r="E295" s="54"/>
      <c r="F295" s="53"/>
      <c r="G295" s="53"/>
      <c r="H295" s="54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4"/>
    </row>
    <row r="296" spans="1:65" ht="12.75">
      <c r="A296" s="53"/>
      <c r="B296" s="53"/>
      <c r="C296" s="53"/>
      <c r="D296" s="54"/>
      <c r="E296" s="54"/>
      <c r="F296" s="53"/>
      <c r="G296" s="53"/>
      <c r="H296" s="54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4"/>
    </row>
    <row r="297" spans="1:65" ht="12.75">
      <c r="A297" s="53"/>
      <c r="B297" s="53"/>
      <c r="C297" s="53"/>
      <c r="D297" s="54"/>
      <c r="E297" s="54"/>
      <c r="F297" s="53"/>
      <c r="G297" s="53"/>
      <c r="H297" s="54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4"/>
    </row>
    <row r="298" spans="1:65" ht="12.75">
      <c r="A298" s="53"/>
      <c r="B298" s="53"/>
      <c r="C298" s="53"/>
      <c r="D298" s="54"/>
      <c r="E298" s="54"/>
      <c r="F298" s="53"/>
      <c r="G298" s="53"/>
      <c r="H298" s="54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4"/>
    </row>
    <row r="299" spans="1:65" ht="12.75">
      <c r="A299" s="53"/>
      <c r="B299" s="53"/>
      <c r="C299" s="53"/>
      <c r="D299" s="54"/>
      <c r="E299" s="54"/>
      <c r="F299" s="53"/>
      <c r="G299" s="53"/>
      <c r="H299" s="54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4"/>
    </row>
    <row r="300" spans="1:65" ht="12.75">
      <c r="A300" s="53"/>
      <c r="B300" s="53"/>
      <c r="C300" s="53"/>
      <c r="D300" s="54"/>
      <c r="E300" s="54"/>
      <c r="F300" s="53"/>
      <c r="G300" s="53"/>
      <c r="H300" s="54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4"/>
    </row>
    <row r="301" spans="1:65" ht="12.75">
      <c r="A301" s="53"/>
      <c r="B301" s="53"/>
      <c r="C301" s="53"/>
      <c r="D301" s="54"/>
      <c r="E301" s="54"/>
      <c r="F301" s="53"/>
      <c r="G301" s="53"/>
      <c r="H301" s="54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4"/>
    </row>
    <row r="302" spans="1:65" ht="12.75">
      <c r="A302" s="53"/>
      <c r="B302" s="53"/>
      <c r="C302" s="53"/>
      <c r="D302" s="54"/>
      <c r="E302" s="54"/>
      <c r="F302" s="53"/>
      <c r="G302" s="53"/>
      <c r="H302" s="54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4"/>
    </row>
    <row r="303" spans="1:65" ht="12.75">
      <c r="A303" s="53"/>
      <c r="B303" s="53"/>
      <c r="C303" s="53"/>
      <c r="D303" s="54"/>
      <c r="E303" s="54"/>
      <c r="F303" s="53"/>
      <c r="G303" s="53"/>
      <c r="H303" s="54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4"/>
    </row>
    <row r="304" spans="1:65" ht="12.75">
      <c r="A304" s="53"/>
      <c r="B304" s="53"/>
      <c r="C304" s="53"/>
      <c r="D304" s="54"/>
      <c r="E304" s="54"/>
      <c r="F304" s="53"/>
      <c r="G304" s="53"/>
      <c r="H304" s="54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4"/>
    </row>
    <row r="305" spans="1:65" ht="12.75">
      <c r="A305" s="53"/>
      <c r="B305" s="53"/>
      <c r="C305" s="53"/>
      <c r="D305" s="54"/>
      <c r="E305" s="54"/>
      <c r="F305" s="53"/>
      <c r="G305" s="53"/>
      <c r="H305" s="54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4"/>
    </row>
    <row r="306" spans="1:65" ht="12.75">
      <c r="A306" s="53"/>
      <c r="B306" s="53"/>
      <c r="C306" s="53"/>
      <c r="D306" s="54"/>
      <c r="E306" s="54"/>
      <c r="F306" s="53"/>
      <c r="G306" s="53"/>
      <c r="H306" s="54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4"/>
    </row>
    <row r="307" spans="1:65" ht="12.75">
      <c r="A307" s="53"/>
      <c r="B307" s="53"/>
      <c r="C307" s="53"/>
      <c r="D307" s="54"/>
      <c r="E307" s="54"/>
      <c r="F307" s="53"/>
      <c r="G307" s="53"/>
      <c r="H307" s="54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4"/>
    </row>
    <row r="308" spans="1:65" ht="12.75">
      <c r="A308" s="53"/>
      <c r="B308" s="53"/>
      <c r="C308" s="53"/>
      <c r="D308" s="54"/>
      <c r="E308" s="54"/>
      <c r="F308" s="53"/>
      <c r="G308" s="53"/>
      <c r="H308" s="54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4"/>
    </row>
    <row r="309" spans="1:65" ht="12.75">
      <c r="A309" s="53"/>
      <c r="B309" s="53"/>
      <c r="C309" s="53"/>
      <c r="D309" s="54"/>
      <c r="E309" s="54"/>
      <c r="F309" s="53"/>
      <c r="G309" s="53"/>
      <c r="H309" s="54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4"/>
    </row>
    <row r="310" spans="1:65" ht="12.75">
      <c r="A310" s="53"/>
      <c r="B310" s="53"/>
      <c r="C310" s="53"/>
      <c r="D310" s="54"/>
      <c r="E310" s="54"/>
      <c r="F310" s="53"/>
      <c r="G310" s="53"/>
      <c r="H310" s="54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4"/>
    </row>
    <row r="311" spans="1:65" ht="12.75">
      <c r="A311" s="53"/>
      <c r="B311" s="53"/>
      <c r="C311" s="53"/>
      <c r="D311" s="54"/>
      <c r="E311" s="54"/>
      <c r="F311" s="53"/>
      <c r="G311" s="53"/>
      <c r="H311" s="54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4"/>
    </row>
    <row r="312" spans="1:65" ht="12.75">
      <c r="A312" s="53"/>
      <c r="B312" s="53"/>
      <c r="C312" s="53"/>
      <c r="D312" s="54"/>
      <c r="E312" s="54"/>
      <c r="F312" s="53"/>
      <c r="G312" s="53"/>
      <c r="H312" s="54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4"/>
    </row>
    <row r="313" spans="1:65" ht="12.75">
      <c r="A313" s="53"/>
      <c r="B313" s="53"/>
      <c r="C313" s="53"/>
      <c r="D313" s="54"/>
      <c r="E313" s="54"/>
      <c r="F313" s="53"/>
      <c r="G313" s="53"/>
      <c r="H313" s="54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4"/>
    </row>
    <row r="314" spans="1:65" ht="12.75">
      <c r="A314" s="53"/>
      <c r="B314" s="53"/>
      <c r="C314" s="53"/>
      <c r="D314" s="54"/>
      <c r="E314" s="54"/>
      <c r="F314" s="53"/>
      <c r="G314" s="53"/>
      <c r="H314" s="54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4"/>
    </row>
    <row r="315" spans="1:65" ht="12.75">
      <c r="A315" s="53"/>
      <c r="B315" s="53"/>
      <c r="C315" s="53"/>
      <c r="D315" s="54"/>
      <c r="E315" s="54"/>
      <c r="F315" s="53"/>
      <c r="G315" s="53"/>
      <c r="H315" s="54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4"/>
    </row>
    <row r="316" spans="1:65" ht="12.75">
      <c r="A316" s="53"/>
      <c r="B316" s="53"/>
      <c r="C316" s="53"/>
      <c r="D316" s="54"/>
      <c r="E316" s="54"/>
      <c r="F316" s="53"/>
      <c r="G316" s="53"/>
      <c r="H316" s="54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4"/>
    </row>
    <row r="317" spans="1:65" ht="12.75">
      <c r="A317" s="53"/>
      <c r="B317" s="53"/>
      <c r="C317" s="53"/>
      <c r="D317" s="54"/>
      <c r="E317" s="54"/>
      <c r="F317" s="53"/>
      <c r="G317" s="53"/>
      <c r="H317" s="54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4"/>
    </row>
    <row r="318" spans="1:65" ht="12.75">
      <c r="A318" s="53"/>
      <c r="B318" s="53"/>
      <c r="C318" s="53"/>
      <c r="D318" s="54"/>
      <c r="E318" s="54"/>
      <c r="F318" s="53"/>
      <c r="G318" s="53"/>
      <c r="H318" s="54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4"/>
    </row>
    <row r="319" spans="1:65" ht="12.75">
      <c r="A319" s="53"/>
      <c r="B319" s="53"/>
      <c r="C319" s="53"/>
      <c r="D319" s="54"/>
      <c r="E319" s="54"/>
      <c r="F319" s="53"/>
      <c r="G319" s="53"/>
      <c r="H319" s="54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4"/>
    </row>
    <row r="320" spans="1:65" ht="12.75">
      <c r="A320" s="53"/>
      <c r="B320" s="53"/>
      <c r="C320" s="53"/>
      <c r="D320" s="54"/>
      <c r="E320" s="54"/>
      <c r="F320" s="53"/>
      <c r="G320" s="53"/>
      <c r="H320" s="54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4"/>
    </row>
    <row r="321" spans="1:65" ht="12.75">
      <c r="A321" s="53"/>
      <c r="B321" s="53"/>
      <c r="C321" s="53"/>
      <c r="D321" s="54"/>
      <c r="E321" s="54"/>
      <c r="F321" s="53"/>
      <c r="G321" s="53"/>
      <c r="H321" s="54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4"/>
    </row>
    <row r="322" spans="1:65" ht="12.75">
      <c r="A322" s="53"/>
      <c r="B322" s="53"/>
      <c r="C322" s="53"/>
      <c r="D322" s="54"/>
      <c r="E322" s="54"/>
      <c r="F322" s="53"/>
      <c r="G322" s="53"/>
      <c r="H322" s="54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4"/>
    </row>
    <row r="323" spans="1:65" ht="12.75">
      <c r="A323" s="53"/>
      <c r="B323" s="53"/>
      <c r="C323" s="53"/>
      <c r="D323" s="54"/>
      <c r="E323" s="54"/>
      <c r="F323" s="53"/>
      <c r="G323" s="53"/>
      <c r="H323" s="54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4"/>
    </row>
    <row r="324" spans="1:65" ht="12.75">
      <c r="A324" s="53"/>
      <c r="B324" s="53"/>
      <c r="C324" s="53"/>
      <c r="D324" s="54"/>
      <c r="E324" s="54"/>
      <c r="F324" s="53"/>
      <c r="G324" s="53"/>
      <c r="H324" s="54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4"/>
    </row>
    <row r="325" spans="1:65" ht="12.75">
      <c r="A325" s="53"/>
      <c r="B325" s="53"/>
      <c r="C325" s="53"/>
      <c r="D325" s="54"/>
      <c r="E325" s="54"/>
      <c r="F325" s="53"/>
      <c r="G325" s="53"/>
      <c r="H325" s="54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4"/>
    </row>
    <row r="326" spans="1:65" ht="12.75">
      <c r="A326" s="53"/>
      <c r="B326" s="53"/>
      <c r="C326" s="53"/>
      <c r="D326" s="54"/>
      <c r="E326" s="54"/>
      <c r="F326" s="53"/>
      <c r="G326" s="53"/>
      <c r="H326" s="54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4"/>
    </row>
    <row r="327" spans="1:65" ht="12.75">
      <c r="A327" s="53"/>
      <c r="B327" s="53"/>
      <c r="C327" s="53"/>
      <c r="D327" s="54"/>
      <c r="E327" s="54"/>
      <c r="F327" s="53"/>
      <c r="G327" s="53"/>
      <c r="H327" s="54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4"/>
    </row>
    <row r="328" spans="1:65" ht="12.75">
      <c r="A328" s="53"/>
      <c r="B328" s="53"/>
      <c r="C328" s="53"/>
      <c r="D328" s="54"/>
      <c r="E328" s="54"/>
      <c r="F328" s="53"/>
      <c r="G328" s="53"/>
      <c r="H328" s="54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4"/>
    </row>
    <row r="329" spans="1:65" ht="12.75">
      <c r="A329" s="53"/>
      <c r="B329" s="53"/>
      <c r="C329" s="53"/>
      <c r="D329" s="54"/>
      <c r="E329" s="54"/>
      <c r="F329" s="53"/>
      <c r="G329" s="53"/>
      <c r="H329" s="54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4"/>
    </row>
    <row r="330" spans="1:65" ht="12.75">
      <c r="A330" s="53"/>
      <c r="B330" s="53"/>
      <c r="C330" s="53"/>
      <c r="D330" s="54"/>
      <c r="E330" s="54"/>
      <c r="F330" s="53"/>
      <c r="G330" s="53"/>
      <c r="H330" s="54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4"/>
    </row>
    <row r="331" spans="1:65" ht="12.75">
      <c r="A331" s="53"/>
      <c r="B331" s="53"/>
      <c r="C331" s="53"/>
      <c r="D331" s="54"/>
      <c r="E331" s="54"/>
      <c r="F331" s="53"/>
      <c r="G331" s="53"/>
      <c r="H331" s="54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4"/>
    </row>
    <row r="332" spans="1:65" ht="12.75">
      <c r="A332" s="53"/>
      <c r="B332" s="53"/>
      <c r="C332" s="53"/>
      <c r="D332" s="54"/>
      <c r="E332" s="54"/>
      <c r="F332" s="53"/>
      <c r="G332" s="53"/>
      <c r="H332" s="54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4"/>
    </row>
    <row r="333" spans="1:65" ht="12.75">
      <c r="A333" s="53"/>
      <c r="B333" s="53"/>
      <c r="C333" s="53"/>
      <c r="D333" s="54"/>
      <c r="E333" s="54"/>
      <c r="F333" s="53"/>
      <c r="G333" s="53"/>
      <c r="H333" s="54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4"/>
    </row>
    <row r="334" spans="1:65" ht="12.75">
      <c r="A334" s="53"/>
      <c r="B334" s="53"/>
      <c r="C334" s="53"/>
      <c r="D334" s="54"/>
      <c r="E334" s="54"/>
      <c r="F334" s="53"/>
      <c r="G334" s="53"/>
      <c r="H334" s="54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4"/>
    </row>
    <row r="335" spans="1:65" ht="12.75">
      <c r="A335" s="53"/>
      <c r="B335" s="53"/>
      <c r="C335" s="53"/>
      <c r="D335" s="54"/>
      <c r="E335" s="54"/>
      <c r="F335" s="53"/>
      <c r="G335" s="53"/>
      <c r="H335" s="54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4"/>
    </row>
    <row r="336" spans="1:65" ht="12.75">
      <c r="A336" s="53"/>
      <c r="B336" s="53"/>
      <c r="C336" s="53"/>
      <c r="D336" s="54"/>
      <c r="E336" s="54"/>
      <c r="F336" s="53"/>
      <c r="G336" s="53"/>
      <c r="H336" s="54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4"/>
    </row>
    <row r="337" spans="1:65" ht="12.75">
      <c r="A337" s="53"/>
      <c r="B337" s="53"/>
      <c r="C337" s="53"/>
      <c r="D337" s="54"/>
      <c r="E337" s="54"/>
      <c r="F337" s="53"/>
      <c r="G337" s="53"/>
      <c r="H337" s="54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4"/>
    </row>
    <row r="338" spans="1:65" ht="12.75">
      <c r="A338" s="53"/>
      <c r="B338" s="53"/>
      <c r="C338" s="53"/>
      <c r="D338" s="54"/>
      <c r="E338" s="54"/>
      <c r="F338" s="53"/>
      <c r="G338" s="53"/>
      <c r="H338" s="54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4"/>
    </row>
    <row r="339" spans="1:65" ht="12.75">
      <c r="A339" s="53"/>
      <c r="B339" s="53"/>
      <c r="C339" s="53"/>
      <c r="D339" s="54"/>
      <c r="E339" s="54"/>
      <c r="F339" s="53"/>
      <c r="G339" s="53"/>
      <c r="H339" s="54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4"/>
    </row>
    <row r="340" spans="1:65" ht="12.75">
      <c r="A340" s="53"/>
      <c r="B340" s="53"/>
      <c r="C340" s="53"/>
      <c r="D340" s="54"/>
      <c r="E340" s="54"/>
      <c r="F340" s="53"/>
      <c r="G340" s="53"/>
      <c r="H340" s="54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4"/>
    </row>
    <row r="341" spans="1:65" ht="12.75">
      <c r="A341" s="53"/>
      <c r="B341" s="53"/>
      <c r="C341" s="53"/>
      <c r="D341" s="54"/>
      <c r="E341" s="54"/>
      <c r="F341" s="53"/>
      <c r="G341" s="53"/>
      <c r="H341" s="54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4"/>
    </row>
    <row r="342" spans="1:65" ht="12.75">
      <c r="A342" s="53"/>
      <c r="B342" s="53"/>
      <c r="C342" s="53"/>
      <c r="D342" s="54"/>
      <c r="E342" s="54"/>
      <c r="F342" s="53"/>
      <c r="G342" s="53"/>
      <c r="H342" s="54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4"/>
    </row>
    <row r="343" spans="1:65" ht="12.75">
      <c r="A343" s="53"/>
      <c r="B343" s="53"/>
      <c r="C343" s="53"/>
      <c r="D343" s="54"/>
      <c r="E343" s="54"/>
      <c r="F343" s="53"/>
      <c r="G343" s="53"/>
      <c r="H343" s="54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4"/>
    </row>
    <row r="344" spans="1:65" ht="12.75">
      <c r="A344" s="53"/>
      <c r="B344" s="53"/>
      <c r="C344" s="53"/>
      <c r="D344" s="54"/>
      <c r="E344" s="54"/>
      <c r="F344" s="53"/>
      <c r="G344" s="53"/>
      <c r="H344" s="54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4"/>
    </row>
    <row r="345" spans="1:65" ht="12.75">
      <c r="A345" s="53"/>
      <c r="B345" s="53"/>
      <c r="C345" s="53"/>
      <c r="D345" s="54"/>
      <c r="E345" s="54"/>
      <c r="F345" s="53"/>
      <c r="G345" s="53"/>
      <c r="H345" s="54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4"/>
    </row>
    <row r="346" spans="1:65" ht="12.75">
      <c r="A346" s="53"/>
      <c r="B346" s="53"/>
      <c r="C346" s="53"/>
      <c r="D346" s="54"/>
      <c r="E346" s="54"/>
      <c r="F346" s="53"/>
      <c r="G346" s="53"/>
      <c r="H346" s="54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4"/>
    </row>
    <row r="347" spans="1:65" ht="12.75">
      <c r="A347" s="53"/>
      <c r="B347" s="53"/>
      <c r="C347" s="53"/>
      <c r="D347" s="54"/>
      <c r="E347" s="54"/>
      <c r="F347" s="53"/>
      <c r="G347" s="53"/>
      <c r="H347" s="54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4"/>
    </row>
    <row r="348" spans="1:65" ht="12.75">
      <c r="A348" s="53"/>
      <c r="B348" s="53"/>
      <c r="C348" s="53"/>
      <c r="D348" s="54"/>
      <c r="E348" s="54"/>
      <c r="F348" s="53"/>
      <c r="G348" s="53"/>
      <c r="H348" s="54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4"/>
    </row>
    <row r="349" spans="1:65" ht="12.75">
      <c r="A349" s="53"/>
      <c r="B349" s="53"/>
      <c r="C349" s="53"/>
      <c r="D349" s="54"/>
      <c r="E349" s="54"/>
      <c r="F349" s="53"/>
      <c r="G349" s="53"/>
      <c r="H349" s="54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4"/>
    </row>
    <row r="350" spans="1:65" ht="12.75">
      <c r="A350" s="53"/>
      <c r="B350" s="53"/>
      <c r="C350" s="53"/>
      <c r="D350" s="54"/>
      <c r="E350" s="54"/>
      <c r="F350" s="53"/>
      <c r="G350" s="53"/>
      <c r="H350" s="54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4"/>
    </row>
    <row r="351" spans="1:65" ht="12.75">
      <c r="A351" s="53"/>
      <c r="B351" s="53"/>
      <c r="C351" s="53"/>
      <c r="D351" s="54"/>
      <c r="E351" s="54"/>
      <c r="F351" s="53"/>
      <c r="G351" s="53"/>
      <c r="H351" s="54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4"/>
    </row>
    <row r="352" spans="1:65" ht="12.75">
      <c r="A352" s="53"/>
      <c r="B352" s="53"/>
      <c r="C352" s="53"/>
      <c r="D352" s="54"/>
      <c r="E352" s="54"/>
      <c r="F352" s="53"/>
      <c r="G352" s="53"/>
      <c r="H352" s="54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4"/>
    </row>
    <row r="353" spans="1:65" ht="12.75">
      <c r="A353" s="53"/>
      <c r="B353" s="53"/>
      <c r="C353" s="53"/>
      <c r="D353" s="54"/>
      <c r="E353" s="54"/>
      <c r="F353" s="53"/>
      <c r="G353" s="53"/>
      <c r="H353" s="54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4"/>
    </row>
    <row r="354" spans="1:65" ht="12.75">
      <c r="A354" s="53"/>
      <c r="B354" s="53"/>
      <c r="C354" s="53"/>
      <c r="D354" s="54"/>
      <c r="E354" s="54"/>
      <c r="F354" s="53"/>
      <c r="G354" s="53"/>
      <c r="H354" s="54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4"/>
    </row>
    <row r="355" spans="1:65" ht="12.75">
      <c r="A355" s="53"/>
      <c r="B355" s="53"/>
      <c r="C355" s="53"/>
      <c r="D355" s="54"/>
      <c r="E355" s="54"/>
      <c r="F355" s="53"/>
      <c r="G355" s="53"/>
      <c r="H355" s="54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4"/>
    </row>
    <row r="356" spans="1:65" ht="12.75">
      <c r="A356" s="53"/>
      <c r="B356" s="53"/>
      <c r="C356" s="53"/>
      <c r="D356" s="54"/>
      <c r="E356" s="54"/>
      <c r="F356" s="53"/>
      <c r="G356" s="53"/>
      <c r="H356" s="54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4"/>
    </row>
    <row r="357" spans="1:65" ht="12.75">
      <c r="A357" s="53"/>
      <c r="B357" s="53"/>
      <c r="C357" s="53"/>
      <c r="D357" s="54"/>
      <c r="E357" s="54"/>
      <c r="F357" s="53"/>
      <c r="G357" s="53"/>
      <c r="H357" s="54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4"/>
    </row>
    <row r="358" spans="1:65" ht="12.75">
      <c r="A358" s="53"/>
      <c r="B358" s="53"/>
      <c r="C358" s="53"/>
      <c r="D358" s="54"/>
      <c r="E358" s="54"/>
      <c r="F358" s="53"/>
      <c r="G358" s="53"/>
      <c r="H358" s="54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4"/>
    </row>
    <row r="359" spans="1:65" ht="12.75">
      <c r="A359" s="53"/>
      <c r="B359" s="53"/>
      <c r="C359" s="53"/>
      <c r="D359" s="54"/>
      <c r="E359" s="54"/>
      <c r="F359" s="53"/>
      <c r="G359" s="53"/>
      <c r="H359" s="54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4"/>
    </row>
    <row r="360" spans="1:65" ht="12.75">
      <c r="A360" s="53"/>
      <c r="B360" s="53"/>
      <c r="C360" s="53"/>
      <c r="D360" s="54"/>
      <c r="E360" s="54"/>
      <c r="F360" s="53"/>
      <c r="G360" s="53"/>
      <c r="H360" s="54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4"/>
    </row>
    <row r="361" spans="1:65" ht="12.75">
      <c r="A361" s="53"/>
      <c r="B361" s="53"/>
      <c r="C361" s="53"/>
      <c r="D361" s="54"/>
      <c r="E361" s="54"/>
      <c r="F361" s="53"/>
      <c r="G361" s="53"/>
      <c r="H361" s="54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4"/>
    </row>
    <row r="362" spans="1:65" ht="12.75">
      <c r="A362" s="53"/>
      <c r="B362" s="53"/>
      <c r="C362" s="53"/>
      <c r="D362" s="54"/>
      <c r="E362" s="54"/>
      <c r="F362" s="53"/>
      <c r="G362" s="53"/>
      <c r="H362" s="54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4"/>
    </row>
    <row r="363" spans="1:65" ht="12.75">
      <c r="A363" s="53"/>
      <c r="B363" s="53"/>
      <c r="C363" s="53"/>
      <c r="D363" s="54"/>
      <c r="E363" s="54"/>
      <c r="F363" s="53"/>
      <c r="G363" s="53"/>
      <c r="H363" s="54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4"/>
    </row>
    <row r="364" spans="1:65" ht="12.75">
      <c r="A364" s="53"/>
      <c r="B364" s="53"/>
      <c r="C364" s="53"/>
      <c r="D364" s="54"/>
      <c r="E364" s="54"/>
      <c r="F364" s="53"/>
      <c r="G364" s="53"/>
      <c r="H364" s="54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4"/>
    </row>
    <row r="365" spans="1:65" ht="12.75">
      <c r="A365" s="53"/>
      <c r="B365" s="53"/>
      <c r="C365" s="53"/>
      <c r="D365" s="54"/>
      <c r="E365" s="54"/>
      <c r="F365" s="53"/>
      <c r="G365" s="53"/>
      <c r="H365" s="54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4"/>
    </row>
    <row r="366" spans="1:65" ht="12.75">
      <c r="A366" s="53"/>
      <c r="B366" s="53"/>
      <c r="C366" s="53"/>
      <c r="D366" s="54"/>
      <c r="E366" s="54"/>
      <c r="F366" s="53"/>
      <c r="G366" s="53"/>
      <c r="H366" s="54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4"/>
    </row>
    <row r="367" spans="1:65" ht="12.75">
      <c r="A367" s="53"/>
      <c r="B367" s="53"/>
      <c r="C367" s="53"/>
      <c r="D367" s="54"/>
      <c r="E367" s="54"/>
      <c r="F367" s="53"/>
      <c r="G367" s="53"/>
      <c r="H367" s="54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4"/>
    </row>
    <row r="368" spans="1:65" ht="12.75">
      <c r="A368" s="53"/>
      <c r="B368" s="53"/>
      <c r="C368" s="53"/>
      <c r="D368" s="54"/>
      <c r="E368" s="54"/>
      <c r="F368" s="53"/>
      <c r="G368" s="53"/>
      <c r="H368" s="54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4"/>
    </row>
    <row r="369" spans="1:65" ht="12.75">
      <c r="A369" s="53"/>
      <c r="B369" s="53"/>
      <c r="C369" s="53"/>
      <c r="D369" s="54"/>
      <c r="E369" s="54"/>
      <c r="F369" s="53"/>
      <c r="G369" s="53"/>
      <c r="H369" s="54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4"/>
    </row>
    <row r="370" spans="1:65" ht="12.75">
      <c r="A370" s="53"/>
      <c r="B370" s="53"/>
      <c r="C370" s="53"/>
      <c r="D370" s="54"/>
      <c r="E370" s="54"/>
      <c r="F370" s="53"/>
      <c r="G370" s="53"/>
      <c r="H370" s="54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4"/>
    </row>
    <row r="371" spans="1:65" ht="12.75">
      <c r="A371" s="53"/>
      <c r="B371" s="53"/>
      <c r="C371" s="53"/>
      <c r="D371" s="54"/>
      <c r="E371" s="54"/>
      <c r="F371" s="53"/>
      <c r="G371" s="53"/>
      <c r="H371" s="54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4"/>
    </row>
    <row r="372" spans="1:65" ht="12.75">
      <c r="A372" s="53"/>
      <c r="B372" s="53"/>
      <c r="C372" s="53"/>
      <c r="D372" s="54"/>
      <c r="E372" s="54"/>
      <c r="F372" s="53"/>
      <c r="G372" s="53"/>
      <c r="H372" s="54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4"/>
    </row>
    <row r="373" spans="1:65" ht="12.75">
      <c r="A373" s="53"/>
      <c r="B373" s="53"/>
      <c r="C373" s="53"/>
      <c r="D373" s="54"/>
      <c r="E373" s="54"/>
      <c r="F373" s="53"/>
      <c r="G373" s="53"/>
      <c r="H373" s="54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4"/>
    </row>
    <row r="374" spans="1:65" ht="12.75">
      <c r="A374" s="53"/>
      <c r="B374" s="53"/>
      <c r="C374" s="53"/>
      <c r="D374" s="54"/>
      <c r="E374" s="54"/>
      <c r="F374" s="53"/>
      <c r="G374" s="53"/>
      <c r="H374" s="54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4"/>
    </row>
    <row r="375" spans="1:65" ht="12.75">
      <c r="A375" s="53"/>
      <c r="B375" s="53"/>
      <c r="C375" s="53"/>
      <c r="D375" s="54"/>
      <c r="E375" s="54"/>
      <c r="F375" s="53"/>
      <c r="G375" s="53"/>
      <c r="H375" s="54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4"/>
    </row>
    <row r="376" spans="1:65" ht="12.75">
      <c r="A376" s="53"/>
      <c r="B376" s="53"/>
      <c r="C376" s="53"/>
      <c r="D376" s="54"/>
      <c r="E376" s="54"/>
      <c r="F376" s="53"/>
      <c r="G376" s="53"/>
      <c r="H376" s="54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4"/>
    </row>
    <row r="377" spans="1:65" ht="12.75">
      <c r="A377" s="53"/>
      <c r="B377" s="53"/>
      <c r="C377" s="53"/>
      <c r="D377" s="54"/>
      <c r="E377" s="54"/>
      <c r="F377" s="53"/>
      <c r="G377" s="53"/>
      <c r="H377" s="54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4"/>
    </row>
    <row r="378" spans="1:65" ht="12.75">
      <c r="A378" s="53"/>
      <c r="B378" s="53"/>
      <c r="C378" s="53"/>
      <c r="D378" s="54"/>
      <c r="E378" s="54"/>
      <c r="F378" s="53"/>
      <c r="G378" s="53"/>
      <c r="H378" s="54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4"/>
    </row>
    <row r="379" spans="1:65" ht="12.75">
      <c r="A379" s="53"/>
      <c r="B379" s="53"/>
      <c r="C379" s="53"/>
      <c r="D379" s="54"/>
      <c r="E379" s="54"/>
      <c r="F379" s="53"/>
      <c r="G379" s="53"/>
      <c r="H379" s="54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4"/>
    </row>
    <row r="380" spans="1:65" ht="12.75">
      <c r="A380" s="53"/>
      <c r="B380" s="53"/>
      <c r="C380" s="53"/>
      <c r="D380" s="54"/>
      <c r="E380" s="54"/>
      <c r="F380" s="53"/>
      <c r="G380" s="53"/>
      <c r="H380" s="54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4"/>
    </row>
    <row r="381" spans="1:65" ht="12.75">
      <c r="A381" s="53"/>
      <c r="B381" s="53"/>
      <c r="C381" s="53"/>
      <c r="D381" s="54"/>
      <c r="E381" s="54"/>
      <c r="F381" s="53"/>
      <c r="G381" s="53"/>
      <c r="H381" s="54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4"/>
    </row>
    <row r="382" spans="1:65" ht="12.75">
      <c r="A382" s="53"/>
      <c r="B382" s="53"/>
      <c r="C382" s="53"/>
      <c r="D382" s="54"/>
      <c r="E382" s="54"/>
      <c r="F382" s="53"/>
      <c r="G382" s="53"/>
      <c r="H382" s="54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4"/>
    </row>
    <row r="383" spans="1:65" ht="12.75">
      <c r="A383" s="53"/>
      <c r="B383" s="53"/>
      <c r="C383" s="53"/>
      <c r="D383" s="54"/>
      <c r="E383" s="54"/>
      <c r="F383" s="53"/>
      <c r="G383" s="53"/>
      <c r="H383" s="54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4"/>
    </row>
    <row r="384" spans="1:65" ht="12.75">
      <c r="A384" s="53"/>
      <c r="B384" s="53"/>
      <c r="C384" s="53"/>
      <c r="D384" s="54"/>
      <c r="E384" s="54"/>
      <c r="F384" s="53"/>
      <c r="G384" s="53"/>
      <c r="H384" s="54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4"/>
    </row>
    <row r="385" spans="1:65" ht="12.75">
      <c r="A385" s="53"/>
      <c r="B385" s="53"/>
      <c r="C385" s="53"/>
      <c r="D385" s="54"/>
      <c r="E385" s="54"/>
      <c r="F385" s="53"/>
      <c r="G385" s="53"/>
      <c r="H385" s="54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4"/>
    </row>
    <row r="386" spans="1:65" ht="12.75">
      <c r="A386" s="53"/>
      <c r="B386" s="53"/>
      <c r="C386" s="53"/>
      <c r="D386" s="54"/>
      <c r="E386" s="54"/>
      <c r="F386" s="53"/>
      <c r="G386" s="53"/>
      <c r="H386" s="54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4"/>
    </row>
    <row r="387" spans="1:65" ht="12.75">
      <c r="A387" s="53"/>
      <c r="B387" s="53"/>
      <c r="C387" s="53"/>
      <c r="D387" s="54"/>
      <c r="E387" s="54"/>
      <c r="F387" s="53"/>
      <c r="G387" s="53"/>
      <c r="H387" s="54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4"/>
    </row>
    <row r="388" spans="1:65" ht="12.75">
      <c r="A388" s="53"/>
      <c r="B388" s="53"/>
      <c r="C388" s="53"/>
      <c r="D388" s="54"/>
      <c r="E388" s="54"/>
      <c r="F388" s="53"/>
      <c r="G388" s="53"/>
      <c r="H388" s="54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4"/>
    </row>
    <row r="389" spans="1:65" ht="12.75">
      <c r="A389" s="53"/>
      <c r="B389" s="53"/>
      <c r="C389" s="53"/>
      <c r="D389" s="54"/>
      <c r="E389" s="54"/>
      <c r="F389" s="53"/>
      <c r="G389" s="53"/>
      <c r="H389" s="54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4"/>
    </row>
    <row r="390" spans="1:65" ht="12.75">
      <c r="A390" s="53"/>
      <c r="B390" s="53"/>
      <c r="C390" s="53"/>
      <c r="D390" s="54"/>
      <c r="E390" s="54"/>
      <c r="F390" s="53"/>
      <c r="G390" s="53"/>
      <c r="H390" s="54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4"/>
    </row>
    <row r="391" spans="1:65" ht="12.75">
      <c r="A391" s="53"/>
      <c r="B391" s="53"/>
      <c r="C391" s="53"/>
      <c r="D391" s="54"/>
      <c r="E391" s="54"/>
      <c r="F391" s="53"/>
      <c r="G391" s="53"/>
      <c r="H391" s="54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4"/>
    </row>
    <row r="392" spans="1:65" ht="12.75">
      <c r="A392" s="53"/>
      <c r="B392" s="53"/>
      <c r="C392" s="53"/>
      <c r="D392" s="54"/>
      <c r="E392" s="54"/>
      <c r="F392" s="53"/>
      <c r="G392" s="53"/>
      <c r="H392" s="54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4"/>
    </row>
    <row r="393" spans="1:65" ht="12.75">
      <c r="A393" s="53"/>
      <c r="B393" s="53"/>
      <c r="C393" s="53"/>
      <c r="D393" s="54"/>
      <c r="E393" s="54"/>
      <c r="F393" s="53"/>
      <c r="G393" s="53"/>
      <c r="H393" s="54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4"/>
    </row>
    <row r="394" spans="1:65" ht="12.75">
      <c r="A394" s="53"/>
      <c r="B394" s="53"/>
      <c r="C394" s="53"/>
      <c r="D394" s="54"/>
      <c r="E394" s="54"/>
      <c r="F394" s="53"/>
      <c r="G394" s="53"/>
      <c r="H394" s="54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4"/>
    </row>
    <row r="395" spans="1:65" ht="12.75">
      <c r="A395" s="53"/>
      <c r="B395" s="53"/>
      <c r="C395" s="53"/>
      <c r="D395" s="54"/>
      <c r="E395" s="54"/>
      <c r="F395" s="53"/>
      <c r="G395" s="53"/>
      <c r="H395" s="54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4"/>
    </row>
    <row r="396" spans="1:65" ht="12.75">
      <c r="A396" s="53"/>
      <c r="B396" s="53"/>
      <c r="C396" s="53"/>
      <c r="D396" s="54"/>
      <c r="E396" s="54"/>
      <c r="F396" s="53"/>
      <c r="G396" s="53"/>
      <c r="H396" s="54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4"/>
    </row>
    <row r="397" spans="1:65" ht="12.75">
      <c r="A397" s="53"/>
      <c r="B397" s="53"/>
      <c r="C397" s="53"/>
      <c r="D397" s="54"/>
      <c r="E397" s="54"/>
      <c r="F397" s="53"/>
      <c r="G397" s="53"/>
      <c r="H397" s="54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4"/>
    </row>
    <row r="398" spans="1:65" ht="12.75">
      <c r="A398" s="53"/>
      <c r="B398" s="53"/>
      <c r="C398" s="53"/>
      <c r="D398" s="54"/>
      <c r="E398" s="54"/>
      <c r="F398" s="53"/>
      <c r="G398" s="53"/>
      <c r="H398" s="54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4"/>
    </row>
    <row r="399" spans="1:65" ht="12.75">
      <c r="A399" s="53"/>
      <c r="B399" s="53"/>
      <c r="C399" s="53"/>
      <c r="D399" s="54"/>
      <c r="E399" s="54"/>
      <c r="F399" s="53"/>
      <c r="G399" s="53"/>
      <c r="H399" s="54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4"/>
    </row>
    <row r="400" spans="1:65" ht="12.75">
      <c r="A400" s="53"/>
      <c r="B400" s="53"/>
      <c r="C400" s="53"/>
      <c r="D400" s="54"/>
      <c r="E400" s="54"/>
      <c r="F400" s="53"/>
      <c r="G400" s="53"/>
      <c r="H400" s="54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4"/>
    </row>
    <row r="401" spans="1:65" ht="12.75">
      <c r="A401" s="53"/>
      <c r="B401" s="53"/>
      <c r="C401" s="53"/>
      <c r="D401" s="54"/>
      <c r="E401" s="54"/>
      <c r="F401" s="53"/>
      <c r="G401" s="53"/>
      <c r="H401" s="54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4"/>
    </row>
    <row r="402" spans="1:65" ht="12.75">
      <c r="A402" s="53"/>
      <c r="B402" s="53"/>
      <c r="C402" s="53"/>
      <c r="D402" s="54"/>
      <c r="E402" s="54"/>
      <c r="F402" s="53"/>
      <c r="G402" s="53"/>
      <c r="H402" s="54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4"/>
    </row>
    <row r="403" spans="1:65" ht="12.75">
      <c r="A403" s="53"/>
      <c r="B403" s="53"/>
      <c r="C403" s="53"/>
      <c r="D403" s="54"/>
      <c r="E403" s="54"/>
      <c r="F403" s="53"/>
      <c r="G403" s="53"/>
      <c r="H403" s="54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4"/>
    </row>
    <row r="404" spans="1:65" ht="12.75">
      <c r="A404" s="53"/>
      <c r="B404" s="53"/>
      <c r="C404" s="53"/>
      <c r="D404" s="54"/>
      <c r="E404" s="54"/>
      <c r="F404" s="53"/>
      <c r="G404" s="53"/>
      <c r="H404" s="54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4"/>
    </row>
    <row r="405" spans="1:65" ht="12.75">
      <c r="A405" s="53"/>
      <c r="B405" s="53"/>
      <c r="C405" s="53"/>
      <c r="D405" s="54"/>
      <c r="E405" s="54"/>
      <c r="F405" s="53"/>
      <c r="G405" s="53"/>
      <c r="H405" s="54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4"/>
    </row>
    <row r="406" spans="1:65" ht="12.75">
      <c r="A406" s="53"/>
      <c r="B406" s="53"/>
      <c r="C406" s="53"/>
      <c r="D406" s="54"/>
      <c r="E406" s="54"/>
      <c r="F406" s="53"/>
      <c r="G406" s="53"/>
      <c r="H406" s="54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4"/>
    </row>
    <row r="407" spans="1:65" ht="12.75">
      <c r="A407" s="53"/>
      <c r="B407" s="53"/>
      <c r="C407" s="53"/>
      <c r="D407" s="54"/>
      <c r="E407" s="54"/>
      <c r="F407" s="53"/>
      <c r="G407" s="53"/>
      <c r="H407" s="54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4"/>
    </row>
    <row r="408" spans="1:65" ht="12.75">
      <c r="A408" s="53"/>
      <c r="B408" s="53"/>
      <c r="C408" s="53"/>
      <c r="D408" s="54"/>
      <c r="E408" s="54"/>
      <c r="F408" s="53"/>
      <c r="G408" s="53"/>
      <c r="H408" s="54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4"/>
    </row>
    <row r="409" spans="1:65" ht="12.75">
      <c r="A409" s="53"/>
      <c r="B409" s="53"/>
      <c r="C409" s="53"/>
      <c r="D409" s="54"/>
      <c r="E409" s="54"/>
      <c r="F409" s="53"/>
      <c r="G409" s="53"/>
      <c r="H409" s="54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4"/>
    </row>
    <row r="410" spans="1:65" ht="12.75">
      <c r="A410" s="53"/>
      <c r="B410" s="53"/>
      <c r="C410" s="53"/>
      <c r="D410" s="54"/>
      <c r="E410" s="54"/>
      <c r="F410" s="53"/>
      <c r="G410" s="53"/>
      <c r="H410" s="54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4"/>
    </row>
    <row r="411" spans="1:65" ht="12.75">
      <c r="A411" s="53"/>
      <c r="B411" s="53"/>
      <c r="C411" s="53"/>
      <c r="D411" s="54"/>
      <c r="E411" s="54"/>
      <c r="F411" s="53"/>
      <c r="G411" s="53"/>
      <c r="H411" s="54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4"/>
    </row>
    <row r="412" spans="1:65" ht="12.75">
      <c r="A412" s="53"/>
      <c r="B412" s="53"/>
      <c r="C412" s="53"/>
      <c r="D412" s="54"/>
      <c r="E412" s="54"/>
      <c r="F412" s="53"/>
      <c r="G412" s="53"/>
      <c r="H412" s="54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4"/>
    </row>
    <row r="413" spans="1:65" ht="12.75">
      <c r="A413" s="53"/>
      <c r="B413" s="53"/>
      <c r="C413" s="53"/>
      <c r="D413" s="54"/>
      <c r="E413" s="54"/>
      <c r="F413" s="53"/>
      <c r="G413" s="53"/>
      <c r="H413" s="54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4"/>
    </row>
    <row r="414" spans="1:65" ht="12.75">
      <c r="A414" s="53"/>
      <c r="B414" s="53"/>
      <c r="C414" s="53"/>
      <c r="D414" s="54"/>
      <c r="E414" s="54"/>
      <c r="F414" s="53"/>
      <c r="G414" s="53"/>
      <c r="H414" s="54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4"/>
    </row>
    <row r="415" spans="1:65" ht="12.75">
      <c r="A415" s="53"/>
      <c r="B415" s="53"/>
      <c r="C415" s="53"/>
      <c r="D415" s="54"/>
      <c r="E415" s="54"/>
      <c r="F415" s="53"/>
      <c r="G415" s="53"/>
      <c r="H415" s="54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4"/>
    </row>
    <row r="416" spans="1:65" ht="12.75">
      <c r="A416" s="53"/>
      <c r="B416" s="53"/>
      <c r="C416" s="53"/>
      <c r="D416" s="54"/>
      <c r="E416" s="54"/>
      <c r="F416" s="53"/>
      <c r="G416" s="53"/>
      <c r="H416" s="54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4"/>
    </row>
    <row r="417" spans="1:65" ht="12.75">
      <c r="A417" s="53"/>
      <c r="B417" s="53"/>
      <c r="C417" s="53"/>
      <c r="D417" s="54"/>
      <c r="E417" s="54"/>
      <c r="F417" s="53"/>
      <c r="G417" s="53"/>
      <c r="H417" s="54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4"/>
    </row>
    <row r="418" spans="1:65" ht="12.75">
      <c r="A418" s="53"/>
      <c r="B418" s="53"/>
      <c r="C418" s="53"/>
      <c r="D418" s="54"/>
      <c r="E418" s="54"/>
      <c r="F418" s="53"/>
      <c r="G418" s="53"/>
      <c r="H418" s="54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4"/>
    </row>
    <row r="419" spans="1:65" ht="12.75">
      <c r="A419" s="53"/>
      <c r="B419" s="53"/>
      <c r="C419" s="53"/>
      <c r="D419" s="54"/>
      <c r="E419" s="54"/>
      <c r="F419" s="53"/>
      <c r="G419" s="53"/>
      <c r="H419" s="54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4"/>
    </row>
    <row r="420" spans="1:65" ht="12.75">
      <c r="A420" s="53"/>
      <c r="B420" s="53"/>
      <c r="C420" s="53"/>
      <c r="D420" s="54"/>
      <c r="E420" s="54"/>
      <c r="F420" s="53"/>
      <c r="G420" s="53"/>
      <c r="H420" s="54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4"/>
    </row>
    <row r="421" spans="1:65" ht="12.75">
      <c r="A421" s="53"/>
      <c r="B421" s="53"/>
      <c r="C421" s="53"/>
      <c r="D421" s="54"/>
      <c r="E421" s="54"/>
      <c r="F421" s="53"/>
      <c r="G421" s="53"/>
      <c r="H421" s="54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4"/>
    </row>
    <row r="422" spans="1:65" ht="12.75">
      <c r="A422" s="53"/>
      <c r="B422" s="53"/>
      <c r="C422" s="53"/>
      <c r="D422" s="54"/>
      <c r="E422" s="54"/>
      <c r="F422" s="53"/>
      <c r="G422" s="53"/>
      <c r="H422" s="54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4"/>
    </row>
    <row r="423" spans="1:65" ht="12.75">
      <c r="A423" s="53"/>
      <c r="B423" s="53"/>
      <c r="C423" s="53"/>
      <c r="D423" s="54"/>
      <c r="E423" s="54"/>
      <c r="F423" s="53"/>
      <c r="G423" s="53"/>
      <c r="H423" s="54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4"/>
    </row>
    <row r="424" spans="1:65" ht="12.75">
      <c r="A424" s="53"/>
      <c r="B424" s="53"/>
      <c r="C424" s="53"/>
      <c r="D424" s="54"/>
      <c r="E424" s="54"/>
      <c r="F424" s="53"/>
      <c r="G424" s="53"/>
      <c r="H424" s="54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4"/>
    </row>
    <row r="425" spans="1:65" ht="12.75">
      <c r="A425" s="53"/>
      <c r="B425" s="53"/>
      <c r="C425" s="53"/>
      <c r="D425" s="54"/>
      <c r="E425" s="54"/>
      <c r="F425" s="53"/>
      <c r="G425" s="53"/>
      <c r="H425" s="54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4"/>
    </row>
    <row r="426" spans="1:65" ht="12.75">
      <c r="A426" s="53"/>
      <c r="B426" s="53"/>
      <c r="C426" s="53"/>
      <c r="D426" s="54"/>
      <c r="E426" s="54"/>
      <c r="F426" s="53"/>
      <c r="G426" s="53"/>
      <c r="H426" s="54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4"/>
    </row>
    <row r="427" spans="1:65" ht="12.75">
      <c r="A427" s="53"/>
      <c r="B427" s="53"/>
      <c r="C427" s="53"/>
      <c r="D427" s="54"/>
      <c r="E427" s="54"/>
      <c r="F427" s="53"/>
      <c r="G427" s="53"/>
      <c r="H427" s="54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4"/>
    </row>
    <row r="428" spans="1:65" ht="12.75">
      <c r="A428" s="53"/>
      <c r="B428" s="53"/>
      <c r="C428" s="53"/>
      <c r="D428" s="54"/>
      <c r="E428" s="54"/>
      <c r="F428" s="53"/>
      <c r="G428" s="53"/>
      <c r="H428" s="54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4"/>
    </row>
    <row r="429" spans="1:65" ht="12.75">
      <c r="A429" s="53"/>
      <c r="B429" s="53"/>
      <c r="C429" s="53"/>
      <c r="D429" s="54"/>
      <c r="E429" s="54"/>
      <c r="F429" s="53"/>
      <c r="G429" s="53"/>
      <c r="H429" s="54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4"/>
    </row>
    <row r="430" spans="1:65" ht="12.75">
      <c r="A430" s="53"/>
      <c r="B430" s="53"/>
      <c r="C430" s="53"/>
      <c r="D430" s="54"/>
      <c r="E430" s="54"/>
      <c r="F430" s="53"/>
      <c r="G430" s="53"/>
      <c r="H430" s="54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4"/>
    </row>
    <row r="431" spans="1:65" ht="12.75">
      <c r="A431" s="53"/>
      <c r="B431" s="53"/>
      <c r="C431" s="53"/>
      <c r="D431" s="54"/>
      <c r="E431" s="54"/>
      <c r="F431" s="53"/>
      <c r="G431" s="53"/>
      <c r="H431" s="54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4"/>
    </row>
    <row r="432" spans="1:65" ht="12.75">
      <c r="A432" s="53"/>
      <c r="B432" s="53"/>
      <c r="C432" s="53"/>
      <c r="D432" s="54"/>
      <c r="E432" s="54"/>
      <c r="F432" s="53"/>
      <c r="G432" s="53"/>
      <c r="H432" s="54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4"/>
    </row>
    <row r="433" spans="1:65" ht="12.75">
      <c r="A433" s="53"/>
      <c r="B433" s="53"/>
      <c r="C433" s="53"/>
      <c r="D433" s="54"/>
      <c r="E433" s="54"/>
      <c r="F433" s="53"/>
      <c r="G433" s="53"/>
      <c r="H433" s="54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4"/>
    </row>
    <row r="434" spans="1:65" ht="12.75">
      <c r="A434" s="53"/>
      <c r="B434" s="53"/>
      <c r="C434" s="53"/>
      <c r="D434" s="54"/>
      <c r="E434" s="54"/>
      <c r="F434" s="53"/>
      <c r="G434" s="53"/>
      <c r="H434" s="54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4"/>
    </row>
    <row r="435" spans="1:65" ht="12.75">
      <c r="A435" s="53"/>
      <c r="B435" s="53"/>
      <c r="C435" s="53"/>
      <c r="D435" s="54"/>
      <c r="E435" s="54"/>
      <c r="F435" s="53"/>
      <c r="G435" s="53"/>
      <c r="H435" s="54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4"/>
    </row>
    <row r="436" spans="1:65" ht="12.75">
      <c r="A436" s="53"/>
      <c r="B436" s="53"/>
      <c r="C436" s="53"/>
      <c r="D436" s="54"/>
      <c r="E436" s="54"/>
      <c r="F436" s="53"/>
      <c r="G436" s="53"/>
      <c r="H436" s="54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4"/>
    </row>
    <row r="437" spans="1:65" ht="12.75">
      <c r="A437" s="53"/>
      <c r="B437" s="53"/>
      <c r="C437" s="53"/>
      <c r="D437" s="54"/>
      <c r="E437" s="54"/>
      <c r="F437" s="53"/>
      <c r="G437" s="53"/>
      <c r="H437" s="54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4"/>
    </row>
    <row r="438" spans="1:65" ht="12.75">
      <c r="A438" s="53"/>
      <c r="B438" s="53"/>
      <c r="C438" s="53"/>
      <c r="D438" s="54"/>
      <c r="E438" s="54"/>
      <c r="F438" s="53"/>
      <c r="G438" s="53"/>
      <c r="H438" s="54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4"/>
    </row>
    <row r="439" spans="1:65" ht="12.75">
      <c r="A439" s="53"/>
      <c r="B439" s="53"/>
      <c r="C439" s="53"/>
      <c r="D439" s="54"/>
      <c r="E439" s="54"/>
      <c r="F439" s="53"/>
      <c r="G439" s="53"/>
      <c r="H439" s="54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4"/>
    </row>
    <row r="440" spans="1:65" ht="12.75">
      <c r="A440" s="53"/>
      <c r="B440" s="53"/>
      <c r="C440" s="53"/>
      <c r="D440" s="54"/>
      <c r="E440" s="54"/>
      <c r="F440" s="53"/>
      <c r="G440" s="53"/>
      <c r="H440" s="54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4"/>
    </row>
    <row r="441" spans="1:65" ht="12.75">
      <c r="A441" s="53"/>
      <c r="B441" s="53"/>
      <c r="C441" s="53"/>
      <c r="D441" s="54"/>
      <c r="E441" s="54"/>
      <c r="F441" s="53"/>
      <c r="G441" s="53"/>
      <c r="H441" s="54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4"/>
    </row>
    <row r="442" spans="1:65" ht="12.75">
      <c r="A442" s="53"/>
      <c r="B442" s="53"/>
      <c r="C442" s="53"/>
      <c r="D442" s="54"/>
      <c r="E442" s="54"/>
      <c r="F442" s="53"/>
      <c r="G442" s="53"/>
      <c r="H442" s="54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4"/>
    </row>
    <row r="443" spans="1:65" ht="12.75">
      <c r="A443" s="53"/>
      <c r="B443" s="53"/>
      <c r="C443" s="53"/>
      <c r="D443" s="54"/>
      <c r="E443" s="54"/>
      <c r="F443" s="53"/>
      <c r="G443" s="53"/>
      <c r="H443" s="54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4"/>
    </row>
    <row r="444" spans="1:65" ht="12.75">
      <c r="A444" s="53"/>
      <c r="B444" s="53"/>
      <c r="C444" s="53"/>
      <c r="D444" s="54"/>
      <c r="E444" s="54"/>
      <c r="F444" s="53"/>
      <c r="G444" s="53"/>
      <c r="H444" s="54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4"/>
    </row>
    <row r="445" spans="1:65" ht="12.75">
      <c r="A445" s="53"/>
      <c r="B445" s="53"/>
      <c r="C445" s="53"/>
      <c r="D445" s="54"/>
      <c r="E445" s="54"/>
      <c r="F445" s="53"/>
      <c r="G445" s="53"/>
      <c r="H445" s="54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4"/>
    </row>
    <row r="446" spans="1:65" ht="12.75">
      <c r="A446" s="53"/>
      <c r="B446" s="53"/>
      <c r="C446" s="53"/>
      <c r="D446" s="54"/>
      <c r="E446" s="54"/>
      <c r="F446" s="53"/>
      <c r="G446" s="53"/>
      <c r="H446" s="54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4"/>
    </row>
    <row r="447" spans="1:65" ht="12.75">
      <c r="A447" s="53"/>
      <c r="B447" s="53"/>
      <c r="C447" s="53"/>
      <c r="D447" s="54"/>
      <c r="E447" s="54"/>
      <c r="F447" s="53"/>
      <c r="G447" s="53"/>
      <c r="H447" s="54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4"/>
    </row>
    <row r="448" spans="1:65" ht="12.75">
      <c r="A448" s="53"/>
      <c r="B448" s="53"/>
      <c r="C448" s="53"/>
      <c r="D448" s="54"/>
      <c r="E448" s="54"/>
      <c r="F448" s="53"/>
      <c r="G448" s="53"/>
      <c r="H448" s="54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4"/>
    </row>
    <row r="449" spans="1:65" ht="12.75">
      <c r="A449" s="53"/>
      <c r="B449" s="53"/>
      <c r="C449" s="53"/>
      <c r="D449" s="54"/>
      <c r="E449" s="54"/>
      <c r="F449" s="53"/>
      <c r="G449" s="53"/>
      <c r="H449" s="54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4"/>
    </row>
    <row r="450" spans="1:65" ht="12.75">
      <c r="A450" s="53"/>
      <c r="B450" s="53"/>
      <c r="C450" s="53"/>
      <c r="D450" s="54"/>
      <c r="E450" s="54"/>
      <c r="F450" s="53"/>
      <c r="G450" s="53"/>
      <c r="H450" s="54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4"/>
    </row>
    <row r="451" spans="1:65" ht="12.75">
      <c r="A451" s="53"/>
      <c r="B451" s="53"/>
      <c r="C451" s="53"/>
      <c r="D451" s="54"/>
      <c r="E451" s="54"/>
      <c r="F451" s="53"/>
      <c r="G451" s="53"/>
      <c r="H451" s="54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4"/>
    </row>
    <row r="452" spans="1:65" ht="12.75">
      <c r="A452" s="53"/>
      <c r="B452" s="53"/>
      <c r="C452" s="53"/>
      <c r="D452" s="54"/>
      <c r="E452" s="54"/>
      <c r="F452" s="53"/>
      <c r="G452" s="53"/>
      <c r="H452" s="54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4"/>
    </row>
    <row r="453" spans="1:65" ht="12.75">
      <c r="A453" s="53"/>
      <c r="B453" s="53"/>
      <c r="C453" s="53"/>
      <c r="D453" s="54"/>
      <c r="E453" s="54"/>
      <c r="F453" s="53"/>
      <c r="G453" s="53"/>
      <c r="H453" s="54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4"/>
    </row>
    <row r="454" spans="1:65" ht="12.75">
      <c r="A454" s="53"/>
      <c r="B454" s="53"/>
      <c r="C454" s="53"/>
      <c r="D454" s="54"/>
      <c r="E454" s="54"/>
      <c r="F454" s="53"/>
      <c r="G454" s="53"/>
      <c r="H454" s="54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4"/>
    </row>
    <row r="455" spans="1:65" ht="12.75">
      <c r="A455" s="53"/>
      <c r="B455" s="53"/>
      <c r="C455" s="53"/>
      <c r="D455" s="54"/>
      <c r="E455" s="54"/>
      <c r="F455" s="53"/>
      <c r="G455" s="53"/>
      <c r="H455" s="54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4"/>
    </row>
    <row r="456" spans="1:65" ht="12.75">
      <c r="A456" s="53"/>
      <c r="B456" s="53"/>
      <c r="C456" s="53"/>
      <c r="D456" s="54"/>
      <c r="E456" s="54"/>
      <c r="F456" s="53"/>
      <c r="G456" s="53"/>
      <c r="H456" s="54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4"/>
    </row>
    <row r="457" spans="1:65" ht="12.75">
      <c r="A457" s="53"/>
      <c r="B457" s="53"/>
      <c r="C457" s="53"/>
      <c r="D457" s="54"/>
      <c r="E457" s="54"/>
      <c r="F457" s="53"/>
      <c r="G457" s="53"/>
      <c r="H457" s="54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4"/>
    </row>
    <row r="458" spans="1:65" ht="12.75">
      <c r="A458" s="53"/>
      <c r="B458" s="53"/>
      <c r="C458" s="53"/>
      <c r="D458" s="54"/>
      <c r="E458" s="54"/>
      <c r="F458" s="53"/>
      <c r="G458" s="53"/>
      <c r="H458" s="54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4"/>
    </row>
    <row r="459" spans="1:65" ht="12.75">
      <c r="A459" s="53"/>
      <c r="B459" s="53"/>
      <c r="C459" s="53"/>
      <c r="D459" s="54"/>
      <c r="E459" s="54"/>
      <c r="F459" s="53"/>
      <c r="G459" s="53"/>
      <c r="H459" s="54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4"/>
    </row>
    <row r="460" spans="1:65" ht="12.75">
      <c r="A460" s="53"/>
      <c r="B460" s="53"/>
      <c r="C460" s="53"/>
      <c r="D460" s="54"/>
      <c r="E460" s="54"/>
      <c r="F460" s="53"/>
      <c r="G460" s="53"/>
      <c r="H460" s="54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4"/>
    </row>
    <row r="461" spans="1:65" ht="12.75">
      <c r="A461" s="53"/>
      <c r="B461" s="53"/>
      <c r="C461" s="53"/>
      <c r="D461" s="54"/>
      <c r="E461" s="54"/>
      <c r="F461" s="53"/>
      <c r="G461" s="53"/>
      <c r="H461" s="54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4"/>
    </row>
    <row r="462" spans="1:65" ht="12.75">
      <c r="A462" s="53"/>
      <c r="B462" s="53"/>
      <c r="C462" s="53"/>
      <c r="D462" s="54"/>
      <c r="E462" s="54"/>
      <c r="F462" s="53"/>
      <c r="G462" s="53"/>
      <c r="H462" s="54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4"/>
    </row>
    <row r="463" spans="1:65" ht="12.75">
      <c r="A463" s="53"/>
      <c r="B463" s="53"/>
      <c r="C463" s="53"/>
      <c r="D463" s="54"/>
      <c r="E463" s="54"/>
      <c r="F463" s="53"/>
      <c r="G463" s="53"/>
      <c r="H463" s="54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4"/>
    </row>
    <row r="464" spans="1:65" ht="12.75">
      <c r="A464" s="53"/>
      <c r="B464" s="53"/>
      <c r="C464" s="53"/>
      <c r="D464" s="54"/>
      <c r="E464" s="54"/>
      <c r="F464" s="53"/>
      <c r="G464" s="53"/>
      <c r="H464" s="54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4"/>
    </row>
    <row r="465" spans="1:65" ht="12.75">
      <c r="A465" s="53"/>
      <c r="B465" s="53"/>
      <c r="C465" s="53"/>
      <c r="D465" s="54"/>
      <c r="E465" s="54"/>
      <c r="F465" s="53"/>
      <c r="G465" s="53"/>
      <c r="H465" s="54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4"/>
    </row>
    <row r="466" spans="1:65" ht="12.75">
      <c r="A466" s="53"/>
      <c r="B466" s="53"/>
      <c r="C466" s="53"/>
      <c r="D466" s="54"/>
      <c r="E466" s="54"/>
      <c r="F466" s="53"/>
      <c r="G466" s="53"/>
      <c r="H466" s="54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4"/>
    </row>
    <row r="467" spans="1:65" ht="12.75">
      <c r="A467" s="53"/>
      <c r="B467" s="53"/>
      <c r="C467" s="53"/>
      <c r="D467" s="54"/>
      <c r="E467" s="54"/>
      <c r="F467" s="53"/>
      <c r="G467" s="53"/>
      <c r="H467" s="54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4"/>
    </row>
    <row r="468" spans="1:65" ht="12.75">
      <c r="A468" s="53"/>
      <c r="B468" s="53"/>
      <c r="C468" s="53"/>
      <c r="D468" s="54"/>
      <c r="E468" s="54"/>
      <c r="F468" s="53"/>
      <c r="G468" s="53"/>
      <c r="H468" s="54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4"/>
    </row>
    <row r="469" spans="1:65" ht="12.75">
      <c r="A469" s="53"/>
      <c r="B469" s="53"/>
      <c r="C469" s="53"/>
      <c r="D469" s="54"/>
      <c r="E469" s="54"/>
      <c r="F469" s="53"/>
      <c r="G469" s="53"/>
      <c r="H469" s="54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4"/>
    </row>
    <row r="470" spans="1:65" ht="12.75">
      <c r="A470" s="53"/>
      <c r="B470" s="53"/>
      <c r="C470" s="53"/>
      <c r="D470" s="54"/>
      <c r="E470" s="54"/>
      <c r="F470" s="53"/>
      <c r="G470" s="53"/>
      <c r="H470" s="54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4"/>
    </row>
    <row r="471" spans="1:65" ht="12.75">
      <c r="A471" s="53"/>
      <c r="B471" s="53"/>
      <c r="C471" s="53"/>
      <c r="D471" s="54"/>
      <c r="E471" s="54"/>
      <c r="F471" s="53"/>
      <c r="G471" s="53"/>
      <c r="H471" s="54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4"/>
    </row>
    <row r="472" spans="1:65" ht="12.75">
      <c r="A472" s="53"/>
      <c r="B472" s="53"/>
      <c r="C472" s="53"/>
      <c r="D472" s="54"/>
      <c r="E472" s="54"/>
      <c r="F472" s="53"/>
      <c r="G472" s="53"/>
      <c r="H472" s="54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4"/>
    </row>
    <row r="473" spans="1:65" ht="12.75">
      <c r="A473" s="53"/>
      <c r="B473" s="53"/>
      <c r="C473" s="53"/>
      <c r="D473" s="54"/>
      <c r="E473" s="54"/>
      <c r="F473" s="53"/>
      <c r="G473" s="53"/>
      <c r="H473" s="54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4"/>
    </row>
    <row r="474" spans="1:65" ht="12.75">
      <c r="A474" s="53"/>
      <c r="B474" s="53"/>
      <c r="C474" s="53"/>
      <c r="D474" s="54"/>
      <c r="E474" s="54"/>
      <c r="F474" s="53"/>
      <c r="G474" s="53"/>
      <c r="H474" s="54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4"/>
    </row>
    <row r="475" spans="1:65" ht="12.75">
      <c r="A475" s="53"/>
      <c r="B475" s="53"/>
      <c r="C475" s="53"/>
      <c r="D475" s="54"/>
      <c r="E475" s="54"/>
      <c r="F475" s="53"/>
      <c r="G475" s="53"/>
      <c r="H475" s="54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4"/>
    </row>
    <row r="476" spans="1:65" ht="12.75">
      <c r="A476" s="53"/>
      <c r="B476" s="53"/>
      <c r="C476" s="53"/>
      <c r="D476" s="54"/>
      <c r="E476" s="54"/>
      <c r="F476" s="53"/>
      <c r="G476" s="53"/>
      <c r="H476" s="54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4"/>
    </row>
    <row r="477" spans="1:65" ht="12.75">
      <c r="A477" s="53"/>
      <c r="B477" s="53"/>
      <c r="C477" s="53"/>
      <c r="D477" s="54"/>
      <c r="E477" s="54"/>
      <c r="F477" s="53"/>
      <c r="G477" s="53"/>
      <c r="H477" s="54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4"/>
    </row>
    <row r="478" spans="1:65" ht="12.75">
      <c r="A478" s="53"/>
      <c r="B478" s="53"/>
      <c r="C478" s="53"/>
      <c r="D478" s="54"/>
      <c r="E478" s="54"/>
      <c r="F478" s="53"/>
      <c r="G478" s="53"/>
      <c r="H478" s="54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4"/>
    </row>
    <row r="479" spans="1:65" ht="12.75">
      <c r="A479" s="53"/>
      <c r="B479" s="53"/>
      <c r="C479" s="53"/>
      <c r="D479" s="54"/>
      <c r="E479" s="54"/>
      <c r="F479" s="53"/>
      <c r="G479" s="53"/>
      <c r="H479" s="54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4"/>
    </row>
    <row r="480" spans="1:65" ht="12.75">
      <c r="A480" s="53"/>
      <c r="B480" s="53"/>
      <c r="C480" s="53"/>
      <c r="D480" s="54"/>
      <c r="E480" s="54"/>
      <c r="F480" s="53"/>
      <c r="G480" s="53"/>
      <c r="H480" s="54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4"/>
    </row>
    <row r="481" spans="1:65" ht="12.75">
      <c r="A481" s="53"/>
      <c r="B481" s="53"/>
      <c r="C481" s="53"/>
      <c r="D481" s="54"/>
      <c r="E481" s="54"/>
      <c r="F481" s="53"/>
      <c r="G481" s="53"/>
      <c r="H481" s="54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4"/>
    </row>
    <row r="482" spans="1:65" ht="12.75">
      <c r="A482" s="53"/>
      <c r="B482" s="53"/>
      <c r="C482" s="53"/>
      <c r="D482" s="54"/>
      <c r="E482" s="54"/>
      <c r="F482" s="53"/>
      <c r="G482" s="53"/>
      <c r="H482" s="54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4"/>
    </row>
    <row r="483" spans="1:65" ht="12.75">
      <c r="A483" s="53"/>
      <c r="B483" s="53"/>
      <c r="C483" s="53"/>
      <c r="D483" s="54"/>
      <c r="E483" s="54"/>
      <c r="F483" s="53"/>
      <c r="G483" s="53"/>
      <c r="H483" s="54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4"/>
    </row>
    <row r="484" spans="1:65" ht="12.75">
      <c r="A484" s="53"/>
      <c r="B484" s="53"/>
      <c r="C484" s="53"/>
      <c r="D484" s="54"/>
      <c r="E484" s="54"/>
      <c r="F484" s="53"/>
      <c r="G484" s="53"/>
      <c r="H484" s="54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4"/>
    </row>
    <row r="485" spans="1:65" ht="12.75">
      <c r="A485" s="53"/>
      <c r="B485" s="53"/>
      <c r="C485" s="53"/>
      <c r="D485" s="54"/>
      <c r="E485" s="54"/>
      <c r="F485" s="53"/>
      <c r="G485" s="53"/>
      <c r="H485" s="54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4"/>
    </row>
    <row r="486" spans="1:65" ht="12.75">
      <c r="A486" s="53"/>
      <c r="B486" s="53"/>
      <c r="C486" s="53"/>
      <c r="D486" s="54"/>
      <c r="E486" s="54"/>
      <c r="F486" s="53"/>
      <c r="G486" s="53"/>
      <c r="H486" s="54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4"/>
    </row>
    <row r="487" spans="1:65" ht="12.75">
      <c r="A487" s="53"/>
      <c r="B487" s="53"/>
      <c r="C487" s="53"/>
      <c r="D487" s="54"/>
      <c r="E487" s="54"/>
      <c r="F487" s="53"/>
      <c r="G487" s="53"/>
      <c r="H487" s="54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4"/>
    </row>
    <row r="488" spans="1:65" ht="12.75">
      <c r="A488" s="53"/>
      <c r="B488" s="53"/>
      <c r="C488" s="53"/>
      <c r="D488" s="54"/>
      <c r="E488" s="54"/>
      <c r="F488" s="53"/>
      <c r="G488" s="53"/>
      <c r="H488" s="54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4"/>
    </row>
    <row r="489" spans="1:65" ht="12.75">
      <c r="A489" s="53"/>
      <c r="B489" s="53"/>
      <c r="C489" s="53"/>
      <c r="D489" s="54"/>
      <c r="E489" s="54"/>
      <c r="F489" s="53"/>
      <c r="G489" s="53"/>
      <c r="H489" s="54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4"/>
    </row>
    <row r="490" spans="1:65" ht="12.75">
      <c r="A490" s="53"/>
      <c r="B490" s="53"/>
      <c r="C490" s="53"/>
      <c r="D490" s="54"/>
      <c r="E490" s="54"/>
      <c r="F490" s="53"/>
      <c r="G490" s="53"/>
      <c r="H490" s="54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4"/>
    </row>
    <row r="491" spans="1:65" ht="12.75">
      <c r="A491" s="53"/>
      <c r="B491" s="53"/>
      <c r="C491" s="53"/>
      <c r="D491" s="54"/>
      <c r="E491" s="54"/>
      <c r="F491" s="53"/>
      <c r="G491" s="53"/>
      <c r="H491" s="54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4"/>
    </row>
    <row r="492" spans="1:65" ht="12.75">
      <c r="A492" s="53"/>
      <c r="B492" s="53"/>
      <c r="C492" s="53"/>
      <c r="D492" s="54"/>
      <c r="E492" s="54"/>
      <c r="F492" s="53"/>
      <c r="G492" s="53"/>
      <c r="H492" s="54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4"/>
    </row>
    <row r="493" spans="1:65" ht="12.75">
      <c r="A493" s="53"/>
      <c r="B493" s="53"/>
      <c r="C493" s="53"/>
      <c r="D493" s="54"/>
      <c r="E493" s="54"/>
      <c r="F493" s="53"/>
      <c r="G493" s="53"/>
      <c r="H493" s="54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4"/>
    </row>
    <row r="494" spans="1:65" ht="12.75">
      <c r="A494" s="53"/>
      <c r="B494" s="53"/>
      <c r="C494" s="53"/>
      <c r="D494" s="54"/>
      <c r="E494" s="54"/>
      <c r="F494" s="53"/>
      <c r="G494" s="53"/>
      <c r="H494" s="54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4"/>
    </row>
    <row r="495" spans="1:65" ht="12.75">
      <c r="A495" s="53"/>
      <c r="B495" s="53"/>
      <c r="C495" s="53"/>
      <c r="D495" s="54"/>
      <c r="E495" s="54"/>
      <c r="F495" s="53"/>
      <c r="G495" s="53"/>
      <c r="H495" s="54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4"/>
    </row>
    <row r="496" spans="1:65" ht="12.75">
      <c r="A496" s="53"/>
      <c r="B496" s="53"/>
      <c r="C496" s="53"/>
      <c r="D496" s="54"/>
      <c r="E496" s="54"/>
      <c r="F496" s="53"/>
      <c r="G496" s="53"/>
      <c r="H496" s="54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4"/>
    </row>
    <row r="497" spans="1:65" ht="12.75">
      <c r="A497" s="53"/>
      <c r="B497" s="53"/>
      <c r="C497" s="53"/>
      <c r="D497" s="54"/>
      <c r="E497" s="54"/>
      <c r="F497" s="53"/>
      <c r="G497" s="53"/>
      <c r="H497" s="54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4"/>
    </row>
    <row r="498" spans="1:65" ht="12.75">
      <c r="A498" s="53"/>
      <c r="B498" s="53"/>
      <c r="C498" s="53"/>
      <c r="D498" s="54"/>
      <c r="E498" s="54"/>
      <c r="F498" s="53"/>
      <c r="G498" s="53"/>
      <c r="H498" s="54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4"/>
    </row>
    <row r="499" spans="1:65" ht="12.75">
      <c r="A499" s="53"/>
      <c r="B499" s="53"/>
      <c r="C499" s="53"/>
      <c r="D499" s="54"/>
      <c r="E499" s="54"/>
      <c r="F499" s="53"/>
      <c r="G499" s="53"/>
      <c r="H499" s="54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4"/>
    </row>
    <row r="500" spans="1:65" ht="12.75">
      <c r="A500" s="53"/>
      <c r="B500" s="53"/>
      <c r="C500" s="53"/>
      <c r="D500" s="54"/>
      <c r="E500" s="54"/>
      <c r="F500" s="53"/>
      <c r="G500" s="53"/>
      <c r="H500" s="54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4"/>
    </row>
    <row r="501" spans="1:65" ht="12.75">
      <c r="A501" s="53"/>
      <c r="B501" s="53"/>
      <c r="C501" s="53"/>
      <c r="D501" s="54"/>
      <c r="E501" s="54"/>
      <c r="F501" s="53"/>
      <c r="G501" s="53"/>
      <c r="H501" s="54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4"/>
    </row>
    <row r="502" spans="1:65" ht="12.75">
      <c r="A502" s="53"/>
      <c r="B502" s="53"/>
      <c r="C502" s="53"/>
      <c r="D502" s="54"/>
      <c r="E502" s="54"/>
      <c r="F502" s="53"/>
      <c r="G502" s="53"/>
      <c r="H502" s="54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4"/>
    </row>
    <row r="503" spans="1:65" ht="12.75">
      <c r="A503" s="53"/>
      <c r="B503" s="53"/>
      <c r="C503" s="53"/>
      <c r="D503" s="54"/>
      <c r="E503" s="54"/>
      <c r="F503" s="53"/>
      <c r="G503" s="53"/>
      <c r="H503" s="54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4"/>
    </row>
    <row r="504" spans="1:65" ht="12.75">
      <c r="A504" s="53"/>
      <c r="B504" s="53"/>
      <c r="C504" s="53"/>
      <c r="D504" s="54"/>
      <c r="E504" s="54"/>
      <c r="F504" s="53"/>
      <c r="G504" s="53"/>
      <c r="H504" s="54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4"/>
    </row>
    <row r="505" spans="1:65" ht="12.75">
      <c r="A505" s="53"/>
      <c r="B505" s="53"/>
      <c r="C505" s="53"/>
      <c r="D505" s="54"/>
      <c r="E505" s="54"/>
      <c r="F505" s="53"/>
      <c r="G505" s="53"/>
      <c r="H505" s="54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4"/>
    </row>
    <row r="506" spans="1:65" ht="12.75">
      <c r="A506" s="53"/>
      <c r="B506" s="53"/>
      <c r="C506" s="53"/>
      <c r="D506" s="54"/>
      <c r="E506" s="54"/>
      <c r="F506" s="53"/>
      <c r="G506" s="53"/>
      <c r="H506" s="54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4"/>
    </row>
    <row r="507" spans="1:65" ht="12.75">
      <c r="A507" s="53"/>
      <c r="B507" s="53"/>
      <c r="C507" s="53"/>
      <c r="D507" s="54"/>
      <c r="E507" s="54"/>
      <c r="F507" s="53"/>
      <c r="G507" s="53"/>
      <c r="H507" s="54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4"/>
    </row>
    <row r="508" spans="1:65" ht="12.75">
      <c r="A508" s="53"/>
      <c r="B508" s="53"/>
      <c r="C508" s="53"/>
      <c r="D508" s="54"/>
      <c r="E508" s="54"/>
      <c r="F508" s="53"/>
      <c r="G508" s="53"/>
      <c r="H508" s="54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4"/>
    </row>
    <row r="509" spans="1:65" ht="12.75">
      <c r="A509" s="53"/>
      <c r="B509" s="53"/>
      <c r="C509" s="53"/>
      <c r="D509" s="54"/>
      <c r="E509" s="54"/>
      <c r="F509" s="53"/>
      <c r="G509" s="53"/>
      <c r="H509" s="54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4"/>
    </row>
    <row r="510" spans="1:65" ht="12.75">
      <c r="A510" s="53"/>
      <c r="B510" s="53"/>
      <c r="C510" s="53"/>
      <c r="D510" s="54"/>
      <c r="E510" s="54"/>
      <c r="F510" s="53"/>
      <c r="G510" s="53"/>
      <c r="H510" s="54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4"/>
    </row>
    <row r="511" spans="1:65" ht="12.75">
      <c r="A511" s="53"/>
      <c r="B511" s="53"/>
      <c r="C511" s="53"/>
      <c r="D511" s="54"/>
      <c r="E511" s="54"/>
      <c r="F511" s="53"/>
      <c r="G511" s="53"/>
      <c r="H511" s="54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4"/>
    </row>
    <row r="512" spans="1:65" ht="12.75">
      <c r="A512" s="53"/>
      <c r="B512" s="53"/>
      <c r="C512" s="53"/>
      <c r="D512" s="54"/>
      <c r="E512" s="54"/>
      <c r="F512" s="53"/>
      <c r="G512" s="53"/>
      <c r="H512" s="54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4"/>
    </row>
    <row r="513" spans="1:65" ht="12.75">
      <c r="A513" s="53"/>
      <c r="B513" s="53"/>
      <c r="C513" s="53"/>
      <c r="D513" s="54"/>
      <c r="E513" s="54"/>
      <c r="F513" s="53"/>
      <c r="G513" s="53"/>
      <c r="H513" s="54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4"/>
    </row>
    <row r="514" spans="1:65" ht="12.75">
      <c r="A514" s="53"/>
      <c r="B514" s="53"/>
      <c r="C514" s="53"/>
      <c r="D514" s="54"/>
      <c r="E514" s="54"/>
      <c r="F514" s="53"/>
      <c r="G514" s="53"/>
      <c r="H514" s="54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4"/>
    </row>
    <row r="515" spans="1:65" ht="12.75">
      <c r="A515" s="53"/>
      <c r="B515" s="53"/>
      <c r="C515" s="53"/>
      <c r="D515" s="54"/>
      <c r="E515" s="54"/>
      <c r="F515" s="53"/>
      <c r="G515" s="53"/>
      <c r="H515" s="54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4"/>
    </row>
    <row r="516" spans="1:65" ht="12.75">
      <c r="A516" s="53"/>
      <c r="B516" s="53"/>
      <c r="C516" s="53"/>
      <c r="D516" s="54"/>
      <c r="E516" s="54"/>
      <c r="F516" s="53"/>
      <c r="G516" s="53"/>
      <c r="H516" s="54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4"/>
    </row>
    <row r="517" spans="1:65" ht="12.75">
      <c r="A517" s="53"/>
      <c r="B517" s="53"/>
      <c r="C517" s="53"/>
      <c r="D517" s="54"/>
      <c r="E517" s="54"/>
      <c r="F517" s="53"/>
      <c r="G517" s="53"/>
      <c r="H517" s="54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4"/>
    </row>
    <row r="518" spans="1:65" ht="12.75">
      <c r="A518" s="53"/>
      <c r="B518" s="53"/>
      <c r="C518" s="53"/>
      <c r="D518" s="54"/>
      <c r="E518" s="54"/>
      <c r="F518" s="53"/>
      <c r="G518" s="53"/>
      <c r="H518" s="54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4"/>
    </row>
    <row r="519" spans="1:65" ht="12.75">
      <c r="A519" s="53"/>
      <c r="B519" s="53"/>
      <c r="C519" s="53"/>
      <c r="D519" s="54"/>
      <c r="E519" s="54"/>
      <c r="F519" s="53"/>
      <c r="G519" s="53"/>
      <c r="H519" s="54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4"/>
    </row>
    <row r="520" spans="1:65" ht="12.75">
      <c r="A520" s="53"/>
      <c r="B520" s="53"/>
      <c r="C520" s="53"/>
      <c r="D520" s="54"/>
      <c r="E520" s="54"/>
      <c r="F520" s="53"/>
      <c r="G520" s="53"/>
      <c r="H520" s="54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4"/>
    </row>
    <row r="521" spans="1:65" ht="12.75">
      <c r="A521" s="53"/>
      <c r="B521" s="53"/>
      <c r="C521" s="53"/>
      <c r="D521" s="54"/>
      <c r="E521" s="54"/>
      <c r="F521" s="53"/>
      <c r="G521" s="53"/>
      <c r="H521" s="54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4"/>
    </row>
    <row r="522" spans="1:65" ht="12.75">
      <c r="A522" s="53"/>
      <c r="B522" s="53"/>
      <c r="C522" s="53"/>
      <c r="D522" s="54"/>
      <c r="E522" s="54"/>
      <c r="F522" s="53"/>
      <c r="G522" s="53"/>
      <c r="H522" s="54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4"/>
    </row>
    <row r="523" spans="1:65" ht="12.75">
      <c r="A523" s="53"/>
      <c r="B523" s="53"/>
      <c r="C523" s="53"/>
      <c r="D523" s="54"/>
      <c r="E523" s="54"/>
      <c r="F523" s="53"/>
      <c r="G523" s="53"/>
      <c r="H523" s="54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4"/>
    </row>
    <row r="524" spans="1:65" ht="12.75">
      <c r="A524" s="53"/>
      <c r="B524" s="53"/>
      <c r="C524" s="53"/>
      <c r="D524" s="54"/>
      <c r="E524" s="54"/>
      <c r="F524" s="53"/>
      <c r="G524" s="53"/>
      <c r="H524" s="54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4"/>
    </row>
    <row r="525" spans="1:65" ht="12.75">
      <c r="A525" s="53"/>
      <c r="B525" s="53"/>
      <c r="C525" s="53"/>
      <c r="D525" s="54"/>
      <c r="E525" s="54"/>
      <c r="F525" s="53"/>
      <c r="G525" s="53"/>
      <c r="H525" s="54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4"/>
    </row>
    <row r="526" spans="1:65" ht="12.75">
      <c r="A526" s="53"/>
      <c r="B526" s="53"/>
      <c r="C526" s="53"/>
      <c r="D526" s="54"/>
      <c r="E526" s="54"/>
      <c r="F526" s="53"/>
      <c r="G526" s="53"/>
      <c r="H526" s="54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4"/>
    </row>
    <row r="527" spans="1:65" ht="12.75">
      <c r="A527" s="53"/>
      <c r="B527" s="53"/>
      <c r="C527" s="53"/>
      <c r="D527" s="54"/>
      <c r="E527" s="54"/>
      <c r="F527" s="53"/>
      <c r="G527" s="53"/>
      <c r="H527" s="54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4"/>
    </row>
    <row r="528" spans="1:65" ht="12.75">
      <c r="A528" s="53"/>
      <c r="B528" s="53"/>
      <c r="C528" s="53"/>
      <c r="D528" s="54"/>
      <c r="E528" s="54"/>
      <c r="F528" s="53"/>
      <c r="G528" s="53"/>
      <c r="H528" s="54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4"/>
    </row>
    <row r="529" spans="1:65" ht="12.75">
      <c r="A529" s="53"/>
      <c r="B529" s="53"/>
      <c r="C529" s="53"/>
      <c r="D529" s="54"/>
      <c r="E529" s="54"/>
      <c r="F529" s="53"/>
      <c r="G529" s="53"/>
      <c r="H529" s="54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4"/>
    </row>
    <row r="530" spans="1:65" ht="12.75">
      <c r="A530" s="53"/>
      <c r="B530" s="53"/>
      <c r="C530" s="53"/>
      <c r="D530" s="54"/>
      <c r="E530" s="54"/>
      <c r="F530" s="53"/>
      <c r="G530" s="53"/>
      <c r="H530" s="54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4"/>
    </row>
    <row r="531" spans="1:65" ht="12.75">
      <c r="A531" s="53"/>
      <c r="B531" s="53"/>
      <c r="C531" s="53"/>
      <c r="D531" s="54"/>
      <c r="E531" s="54"/>
      <c r="F531" s="53"/>
      <c r="G531" s="53"/>
      <c r="H531" s="54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4"/>
    </row>
    <row r="532" spans="1:65" ht="12.75">
      <c r="A532" s="53"/>
      <c r="B532" s="53"/>
      <c r="C532" s="53"/>
      <c r="D532" s="54"/>
      <c r="E532" s="54"/>
      <c r="F532" s="53"/>
      <c r="G532" s="53"/>
      <c r="H532" s="54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4"/>
    </row>
    <row r="533" spans="1:65" ht="12.75">
      <c r="A533" s="53"/>
      <c r="B533" s="53"/>
      <c r="C533" s="53"/>
      <c r="D533" s="54"/>
      <c r="E533" s="54"/>
      <c r="F533" s="53"/>
      <c r="G533" s="53"/>
      <c r="H533" s="54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4"/>
    </row>
    <row r="534" spans="1:65" ht="12.75">
      <c r="A534" s="53"/>
      <c r="B534" s="53"/>
      <c r="C534" s="53"/>
      <c r="D534" s="54"/>
      <c r="E534" s="54"/>
      <c r="F534" s="53"/>
      <c r="G534" s="53"/>
      <c r="H534" s="54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4"/>
    </row>
    <row r="535" spans="1:65" ht="12.75">
      <c r="A535" s="53"/>
      <c r="B535" s="53"/>
      <c r="C535" s="53"/>
      <c r="D535" s="54"/>
      <c r="E535" s="54"/>
      <c r="F535" s="53"/>
      <c r="G535" s="53"/>
      <c r="H535" s="54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4"/>
    </row>
    <row r="536" spans="1:65" ht="12.75">
      <c r="A536" s="53"/>
      <c r="B536" s="53"/>
      <c r="C536" s="53"/>
      <c r="D536" s="54"/>
      <c r="E536" s="54"/>
      <c r="F536" s="53"/>
      <c r="G536" s="53"/>
      <c r="H536" s="54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4"/>
    </row>
    <row r="537" spans="1:65" ht="12.75">
      <c r="A537" s="53"/>
      <c r="B537" s="53"/>
      <c r="C537" s="53"/>
      <c r="D537" s="54"/>
      <c r="E537" s="54"/>
      <c r="F537" s="53"/>
      <c r="G537" s="53"/>
      <c r="H537" s="54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4"/>
    </row>
    <row r="538" spans="1:65" ht="12.75">
      <c r="A538" s="53"/>
      <c r="B538" s="53"/>
      <c r="C538" s="53"/>
      <c r="D538" s="54"/>
      <c r="E538" s="54"/>
      <c r="F538" s="53"/>
      <c r="G538" s="53"/>
      <c r="H538" s="54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4"/>
    </row>
    <row r="539" spans="1:65" ht="12.75">
      <c r="A539" s="53"/>
      <c r="B539" s="53"/>
      <c r="C539" s="53"/>
      <c r="D539" s="54"/>
      <c r="E539" s="54"/>
      <c r="F539" s="53"/>
      <c r="G539" s="53"/>
      <c r="H539" s="54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4"/>
    </row>
    <row r="540" spans="1:65" ht="12.75">
      <c r="A540" s="53"/>
      <c r="B540" s="53"/>
      <c r="C540" s="53"/>
      <c r="D540" s="54"/>
      <c r="E540" s="54"/>
      <c r="F540" s="53"/>
      <c r="G540" s="53"/>
      <c r="H540" s="54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4"/>
    </row>
    <row r="541" spans="1:65" ht="12.75">
      <c r="A541" s="53"/>
      <c r="B541" s="53"/>
      <c r="C541" s="53"/>
      <c r="D541" s="54"/>
      <c r="E541" s="54"/>
      <c r="F541" s="53"/>
      <c r="G541" s="53"/>
      <c r="H541" s="54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4"/>
    </row>
    <row r="542" spans="1:65" ht="12.75">
      <c r="A542" s="53"/>
      <c r="B542" s="53"/>
      <c r="C542" s="53"/>
      <c r="D542" s="54"/>
      <c r="E542" s="54"/>
      <c r="F542" s="53"/>
      <c r="G542" s="53"/>
      <c r="H542" s="54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4"/>
    </row>
    <row r="543" spans="1:65" ht="12.75">
      <c r="A543" s="53"/>
      <c r="B543" s="53"/>
      <c r="C543" s="53"/>
      <c r="D543" s="54"/>
      <c r="E543" s="54"/>
      <c r="F543" s="53"/>
      <c r="G543" s="53"/>
      <c r="H543" s="54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4"/>
    </row>
    <row r="544" spans="1:65" ht="12.75">
      <c r="A544" s="53"/>
      <c r="B544" s="53"/>
      <c r="C544" s="53"/>
      <c r="D544" s="54"/>
      <c r="E544" s="54"/>
      <c r="F544" s="53"/>
      <c r="G544" s="53"/>
      <c r="H544" s="54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4"/>
    </row>
    <row r="545" spans="1:65" ht="12.75">
      <c r="A545" s="53"/>
      <c r="B545" s="53"/>
      <c r="C545" s="53"/>
      <c r="D545" s="54"/>
      <c r="E545" s="54"/>
      <c r="F545" s="53"/>
      <c r="G545" s="53"/>
      <c r="H545" s="54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4"/>
    </row>
    <row r="546" spans="1:65" ht="12.75">
      <c r="A546" s="53"/>
      <c r="B546" s="53"/>
      <c r="C546" s="53"/>
      <c r="D546" s="54"/>
      <c r="E546" s="54"/>
      <c r="F546" s="53"/>
      <c r="G546" s="53"/>
      <c r="H546" s="54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4"/>
    </row>
    <row r="547" spans="1:65" ht="12.75">
      <c r="A547" s="53"/>
      <c r="B547" s="53"/>
      <c r="C547" s="53"/>
      <c r="D547" s="54"/>
      <c r="E547" s="54"/>
      <c r="F547" s="53"/>
      <c r="G547" s="53"/>
      <c r="H547" s="54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4"/>
    </row>
    <row r="548" spans="1:65" ht="12.75">
      <c r="A548" s="53"/>
      <c r="B548" s="53"/>
      <c r="C548" s="53"/>
      <c r="D548" s="54"/>
      <c r="E548" s="54"/>
      <c r="F548" s="53"/>
      <c r="G548" s="53"/>
      <c r="H548" s="54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4"/>
    </row>
    <row r="549" spans="1:65" ht="12.75">
      <c r="A549" s="53"/>
      <c r="B549" s="53"/>
      <c r="C549" s="53"/>
      <c r="D549" s="54"/>
      <c r="E549" s="54"/>
      <c r="F549" s="53"/>
      <c r="G549" s="53"/>
      <c r="H549" s="54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4"/>
    </row>
    <row r="550" spans="1:65" ht="12.75">
      <c r="A550" s="53"/>
      <c r="B550" s="53"/>
      <c r="C550" s="53"/>
      <c r="D550" s="54"/>
      <c r="E550" s="54"/>
      <c r="F550" s="53"/>
      <c r="G550" s="53"/>
      <c r="H550" s="54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4"/>
    </row>
    <row r="551" spans="1:65" ht="12.75">
      <c r="A551" s="53"/>
      <c r="B551" s="53"/>
      <c r="C551" s="53"/>
      <c r="D551" s="54"/>
      <c r="E551" s="54"/>
      <c r="F551" s="53"/>
      <c r="G551" s="53"/>
      <c r="H551" s="54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4"/>
    </row>
    <row r="552" spans="1:65" ht="12.75">
      <c r="A552" s="53"/>
      <c r="B552" s="53"/>
      <c r="C552" s="53"/>
      <c r="D552" s="54"/>
      <c r="E552" s="54"/>
      <c r="F552" s="53"/>
      <c r="G552" s="53"/>
      <c r="H552" s="54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4"/>
    </row>
    <row r="553" spans="1:65" ht="12.75">
      <c r="A553" s="53"/>
      <c r="B553" s="53"/>
      <c r="C553" s="53"/>
      <c r="D553" s="54"/>
      <c r="E553" s="54"/>
      <c r="F553" s="53"/>
      <c r="G553" s="53"/>
      <c r="H553" s="54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4"/>
    </row>
    <row r="554" spans="1:65" ht="12.75">
      <c r="A554" s="53"/>
      <c r="B554" s="53"/>
      <c r="C554" s="53"/>
      <c r="D554" s="54"/>
      <c r="E554" s="54"/>
      <c r="F554" s="53"/>
      <c r="G554" s="53"/>
      <c r="H554" s="54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4"/>
    </row>
    <row r="555" spans="1:65" ht="12.75">
      <c r="A555" s="53"/>
      <c r="B555" s="53"/>
      <c r="C555" s="53"/>
      <c r="D555" s="54"/>
      <c r="E555" s="54"/>
      <c r="F555" s="53"/>
      <c r="G555" s="53"/>
      <c r="H555" s="54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4"/>
    </row>
    <row r="556" spans="1:65" ht="12.75">
      <c r="A556" s="53"/>
      <c r="B556" s="53"/>
      <c r="C556" s="53"/>
      <c r="D556" s="54"/>
      <c r="E556" s="54"/>
      <c r="F556" s="53"/>
      <c r="G556" s="53"/>
      <c r="H556" s="54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4"/>
    </row>
    <row r="557" spans="1:65" ht="12.75">
      <c r="A557" s="53"/>
      <c r="B557" s="53"/>
      <c r="C557" s="53"/>
      <c r="D557" s="54"/>
      <c r="E557" s="54"/>
      <c r="F557" s="53"/>
      <c r="G557" s="53"/>
      <c r="H557" s="54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4"/>
    </row>
    <row r="558" spans="1:65" ht="12.75">
      <c r="A558" s="53"/>
      <c r="B558" s="53"/>
      <c r="C558" s="53"/>
      <c r="D558" s="54"/>
      <c r="E558" s="54"/>
      <c r="F558" s="53"/>
      <c r="G558" s="53"/>
      <c r="H558" s="54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4"/>
    </row>
    <row r="559" spans="1:65" ht="12.75">
      <c r="A559" s="53"/>
      <c r="B559" s="53"/>
      <c r="C559" s="53"/>
      <c r="D559" s="54"/>
      <c r="E559" s="54"/>
      <c r="F559" s="53"/>
      <c r="G559" s="53"/>
      <c r="H559" s="54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4"/>
    </row>
    <row r="560" spans="1:65" ht="12.75">
      <c r="A560" s="53"/>
      <c r="B560" s="53"/>
      <c r="C560" s="53"/>
      <c r="D560" s="54"/>
      <c r="E560" s="54"/>
      <c r="F560" s="53"/>
      <c r="G560" s="53"/>
      <c r="H560" s="54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4"/>
    </row>
    <row r="561" spans="1:65" ht="12.75">
      <c r="A561" s="53"/>
      <c r="B561" s="53"/>
      <c r="C561" s="53"/>
      <c r="D561" s="54"/>
      <c r="E561" s="54"/>
      <c r="F561" s="53"/>
      <c r="G561" s="53"/>
      <c r="H561" s="54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4"/>
    </row>
    <row r="562" spans="1:65" ht="12.75">
      <c r="A562" s="53"/>
      <c r="B562" s="53"/>
      <c r="C562" s="53"/>
      <c r="D562" s="54"/>
      <c r="E562" s="54"/>
      <c r="F562" s="53"/>
      <c r="G562" s="53"/>
      <c r="H562" s="54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4"/>
    </row>
    <row r="563" spans="1:65" ht="12.75">
      <c r="A563" s="53"/>
      <c r="B563" s="53"/>
      <c r="C563" s="53"/>
      <c r="D563" s="54"/>
      <c r="E563" s="54"/>
      <c r="F563" s="53"/>
      <c r="G563" s="53"/>
      <c r="H563" s="54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4"/>
    </row>
    <row r="564" spans="1:65" ht="12.75">
      <c r="A564" s="53"/>
      <c r="B564" s="53"/>
      <c r="C564" s="53"/>
      <c r="D564" s="54"/>
      <c r="E564" s="54"/>
      <c r="F564" s="53"/>
      <c r="G564" s="53"/>
      <c r="H564" s="54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4"/>
    </row>
    <row r="565" spans="1:65" ht="12.75">
      <c r="A565" s="53"/>
      <c r="B565" s="53"/>
      <c r="C565" s="53"/>
      <c r="D565" s="54"/>
      <c r="E565" s="54"/>
      <c r="F565" s="53"/>
      <c r="G565" s="53"/>
      <c r="H565" s="54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4"/>
    </row>
    <row r="566" spans="1:65" ht="12.75">
      <c r="A566" s="53"/>
      <c r="B566" s="53"/>
      <c r="C566" s="53"/>
      <c r="D566" s="54"/>
      <c r="E566" s="54"/>
      <c r="F566" s="53"/>
      <c r="G566" s="53"/>
      <c r="H566" s="54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4"/>
    </row>
    <row r="567" spans="1:65" ht="12.75">
      <c r="A567" s="53"/>
      <c r="B567" s="53"/>
      <c r="C567" s="53"/>
      <c r="D567" s="54"/>
      <c r="E567" s="54"/>
      <c r="F567" s="53"/>
      <c r="G567" s="53"/>
      <c r="H567" s="54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4"/>
    </row>
    <row r="568" spans="1:65" ht="12.75">
      <c r="A568" s="53"/>
      <c r="B568" s="53"/>
      <c r="C568" s="53"/>
      <c r="D568" s="54"/>
      <c r="E568" s="54"/>
      <c r="F568" s="53"/>
      <c r="G568" s="53"/>
      <c r="H568" s="54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4"/>
    </row>
    <row r="569" spans="1:65" ht="12.75">
      <c r="A569" s="53"/>
      <c r="B569" s="53"/>
      <c r="C569" s="53"/>
      <c r="D569" s="54"/>
      <c r="E569" s="54"/>
      <c r="F569" s="53"/>
      <c r="G569" s="53"/>
      <c r="H569" s="54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4"/>
    </row>
    <row r="570" spans="1:65" ht="12.75">
      <c r="A570" s="53"/>
      <c r="B570" s="53"/>
      <c r="C570" s="53"/>
      <c r="D570" s="54"/>
      <c r="E570" s="54"/>
      <c r="F570" s="53"/>
      <c r="G570" s="53"/>
      <c r="H570" s="54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4"/>
    </row>
    <row r="571" spans="1:65" ht="12.75">
      <c r="A571" s="53"/>
      <c r="B571" s="53"/>
      <c r="C571" s="53"/>
      <c r="D571" s="54"/>
      <c r="E571" s="54"/>
      <c r="F571" s="53"/>
      <c r="G571" s="53"/>
      <c r="H571" s="54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4"/>
    </row>
    <row r="572" spans="1:65" ht="12.75">
      <c r="A572" s="53"/>
      <c r="B572" s="53"/>
      <c r="C572" s="53"/>
      <c r="D572" s="54"/>
      <c r="E572" s="54"/>
      <c r="F572" s="53"/>
      <c r="G572" s="53"/>
      <c r="H572" s="54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4"/>
    </row>
    <row r="573" spans="1:65" ht="12.75">
      <c r="A573" s="53"/>
      <c r="B573" s="53"/>
      <c r="C573" s="53"/>
      <c r="D573" s="54"/>
      <c r="E573" s="54"/>
      <c r="F573" s="53"/>
      <c r="G573" s="53"/>
      <c r="H573" s="54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4"/>
    </row>
    <row r="574" spans="1:65" ht="12.75">
      <c r="A574" s="53"/>
      <c r="B574" s="53"/>
      <c r="C574" s="53"/>
      <c r="D574" s="54"/>
      <c r="E574" s="54"/>
      <c r="F574" s="53"/>
      <c r="G574" s="53"/>
      <c r="H574" s="54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4"/>
    </row>
    <row r="575" spans="1:65" ht="12.75">
      <c r="A575" s="53"/>
      <c r="B575" s="53"/>
      <c r="C575" s="53"/>
      <c r="D575" s="54"/>
      <c r="E575" s="54"/>
      <c r="F575" s="53"/>
      <c r="G575" s="53"/>
      <c r="H575" s="54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4"/>
    </row>
    <row r="576" spans="1:65" ht="12.75">
      <c r="A576" s="53"/>
      <c r="B576" s="53"/>
      <c r="C576" s="53"/>
      <c r="D576" s="54"/>
      <c r="E576" s="54"/>
      <c r="F576" s="53"/>
      <c r="G576" s="53"/>
      <c r="H576" s="54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4"/>
    </row>
    <row r="577" spans="1:65" ht="12.75">
      <c r="A577" s="53"/>
      <c r="B577" s="53"/>
      <c r="C577" s="53"/>
      <c r="D577" s="54"/>
      <c r="E577" s="54"/>
      <c r="F577" s="53"/>
      <c r="G577" s="53"/>
      <c r="H577" s="54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4"/>
    </row>
    <row r="578" spans="1:65" ht="12.75">
      <c r="A578" s="53"/>
      <c r="B578" s="53"/>
      <c r="C578" s="53"/>
      <c r="D578" s="54"/>
      <c r="E578" s="54"/>
      <c r="F578" s="53"/>
      <c r="G578" s="53"/>
      <c r="H578" s="54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4"/>
    </row>
    <row r="579" spans="1:65" ht="12.75">
      <c r="A579" s="53"/>
      <c r="B579" s="53"/>
      <c r="C579" s="53"/>
      <c r="D579" s="54"/>
      <c r="E579" s="54"/>
      <c r="F579" s="53"/>
      <c r="G579" s="53"/>
      <c r="H579" s="54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4"/>
    </row>
    <row r="580" spans="1:65" ht="12.75">
      <c r="A580" s="53"/>
      <c r="B580" s="53"/>
      <c r="C580" s="53"/>
      <c r="D580" s="54"/>
      <c r="E580" s="54"/>
      <c r="F580" s="53"/>
      <c r="G580" s="53"/>
      <c r="H580" s="54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4"/>
    </row>
    <row r="581" spans="1:65" ht="12.75">
      <c r="A581" s="53"/>
      <c r="B581" s="53"/>
      <c r="C581" s="53"/>
      <c r="D581" s="54"/>
      <c r="E581" s="54"/>
      <c r="F581" s="53"/>
      <c r="G581" s="53"/>
      <c r="H581" s="54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4"/>
    </row>
    <row r="582" spans="1:65" ht="12.75">
      <c r="A582" s="53"/>
      <c r="B582" s="53"/>
      <c r="C582" s="53"/>
      <c r="D582" s="54"/>
      <c r="E582" s="54"/>
      <c r="F582" s="53"/>
      <c r="G582" s="53"/>
      <c r="H582" s="54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4"/>
    </row>
    <row r="583" spans="1:65" ht="12.75">
      <c r="A583" s="53"/>
      <c r="B583" s="53"/>
      <c r="C583" s="53"/>
      <c r="D583" s="54"/>
      <c r="E583" s="54"/>
      <c r="F583" s="53"/>
      <c r="G583" s="53"/>
      <c r="H583" s="54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4"/>
    </row>
    <row r="584" spans="1:65" ht="12.75">
      <c r="A584" s="53"/>
      <c r="B584" s="53"/>
      <c r="C584" s="53"/>
      <c r="D584" s="54"/>
      <c r="E584" s="54"/>
      <c r="F584" s="53"/>
      <c r="G584" s="53"/>
      <c r="H584" s="54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4"/>
    </row>
    <row r="585" spans="1:65" ht="12.75">
      <c r="A585" s="53"/>
      <c r="B585" s="53"/>
      <c r="C585" s="53"/>
      <c r="D585" s="54"/>
      <c r="E585" s="54"/>
      <c r="F585" s="53"/>
      <c r="G585" s="53"/>
      <c r="H585" s="54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4"/>
    </row>
    <row r="586" spans="1:65" ht="12.75">
      <c r="A586" s="53"/>
      <c r="B586" s="53"/>
      <c r="C586" s="53"/>
      <c r="D586" s="54"/>
      <c r="E586" s="54"/>
      <c r="F586" s="53"/>
      <c r="G586" s="53"/>
      <c r="H586" s="54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4"/>
    </row>
    <row r="587" spans="1:65" ht="12.75">
      <c r="A587" s="53"/>
      <c r="B587" s="53"/>
      <c r="C587" s="53"/>
      <c r="D587" s="54"/>
      <c r="E587" s="54"/>
      <c r="F587" s="53"/>
      <c r="G587" s="53"/>
      <c r="H587" s="54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4"/>
    </row>
    <row r="588" spans="1:65" ht="12.75">
      <c r="A588" s="53"/>
      <c r="B588" s="53"/>
      <c r="C588" s="53"/>
      <c r="D588" s="54"/>
      <c r="E588" s="54"/>
      <c r="F588" s="53"/>
      <c r="G588" s="53"/>
      <c r="H588" s="54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4"/>
    </row>
    <row r="589" spans="1:65" ht="12.75">
      <c r="A589" s="53"/>
      <c r="B589" s="53"/>
      <c r="C589" s="53"/>
      <c r="D589" s="54"/>
      <c r="E589" s="54"/>
      <c r="F589" s="53"/>
      <c r="G589" s="53"/>
      <c r="H589" s="54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4"/>
    </row>
    <row r="590" spans="1:65" ht="12.75">
      <c r="A590" s="53"/>
      <c r="B590" s="53"/>
      <c r="C590" s="53"/>
      <c r="D590" s="54"/>
      <c r="E590" s="54"/>
      <c r="F590" s="53"/>
      <c r="G590" s="53"/>
      <c r="H590" s="54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4"/>
    </row>
    <row r="591" spans="1:65" ht="12.75">
      <c r="A591" s="53"/>
      <c r="B591" s="53"/>
      <c r="C591" s="53"/>
      <c r="D591" s="54"/>
      <c r="E591" s="54"/>
      <c r="F591" s="53"/>
      <c r="G591" s="53"/>
      <c r="H591" s="54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4"/>
    </row>
    <row r="592" spans="1:65" ht="12.75">
      <c r="A592" s="53"/>
      <c r="B592" s="53"/>
      <c r="C592" s="53"/>
      <c r="D592" s="54"/>
      <c r="E592" s="54"/>
      <c r="F592" s="53"/>
      <c r="G592" s="53"/>
      <c r="H592" s="54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4"/>
    </row>
    <row r="593" spans="1:65" ht="12.75">
      <c r="A593" s="53"/>
      <c r="B593" s="53"/>
      <c r="C593" s="53"/>
      <c r="D593" s="54"/>
      <c r="E593" s="54"/>
      <c r="F593" s="53"/>
      <c r="G593" s="53"/>
      <c r="H593" s="54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4"/>
    </row>
    <row r="594" spans="1:65" ht="12.75">
      <c r="A594" s="53"/>
      <c r="B594" s="53"/>
      <c r="C594" s="53"/>
      <c r="D594" s="54"/>
      <c r="E594" s="54"/>
      <c r="F594" s="53"/>
      <c r="G594" s="53"/>
      <c r="H594" s="54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4"/>
    </row>
    <row r="595" spans="1:65" ht="12.75">
      <c r="A595" s="53"/>
      <c r="B595" s="53"/>
      <c r="C595" s="53"/>
      <c r="D595" s="54"/>
      <c r="E595" s="54"/>
      <c r="F595" s="53"/>
      <c r="G595" s="53"/>
      <c r="H595" s="54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4"/>
    </row>
    <row r="596" spans="1:65" ht="12.75">
      <c r="A596" s="53"/>
      <c r="B596" s="53"/>
      <c r="C596" s="53"/>
      <c r="D596" s="54"/>
      <c r="E596" s="54"/>
      <c r="F596" s="53"/>
      <c r="G596" s="53"/>
      <c r="H596" s="54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4"/>
    </row>
    <row r="597" spans="1:65" ht="12.75">
      <c r="A597" s="53"/>
      <c r="B597" s="53"/>
      <c r="C597" s="53"/>
      <c r="D597" s="54"/>
      <c r="E597" s="54"/>
      <c r="F597" s="53"/>
      <c r="G597" s="53"/>
      <c r="H597" s="54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4"/>
    </row>
    <row r="598" spans="1:65" ht="12.75">
      <c r="A598" s="53"/>
      <c r="B598" s="53"/>
      <c r="C598" s="53"/>
      <c r="D598" s="54"/>
      <c r="E598" s="54"/>
      <c r="F598" s="53"/>
      <c r="G598" s="53"/>
      <c r="H598" s="54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4"/>
    </row>
    <row r="599" spans="1:65" ht="12.75">
      <c r="A599" s="53"/>
      <c r="B599" s="53"/>
      <c r="C599" s="53"/>
      <c r="D599" s="54"/>
      <c r="E599" s="54"/>
      <c r="F599" s="53"/>
      <c r="G599" s="53"/>
      <c r="H599" s="54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4"/>
    </row>
    <row r="600" spans="1:65" ht="12.75">
      <c r="A600" s="53"/>
      <c r="B600" s="53"/>
      <c r="C600" s="53"/>
      <c r="D600" s="54"/>
      <c r="E600" s="54"/>
      <c r="F600" s="53"/>
      <c r="G600" s="53"/>
      <c r="H600" s="54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4"/>
    </row>
    <row r="601" spans="1:65" ht="12.75">
      <c r="A601" s="53"/>
      <c r="B601" s="53"/>
      <c r="C601" s="53"/>
      <c r="D601" s="54"/>
      <c r="E601" s="54"/>
      <c r="F601" s="53"/>
      <c r="G601" s="53"/>
      <c r="H601" s="54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4"/>
    </row>
    <row r="602" spans="1:65" ht="12.75">
      <c r="A602" s="53"/>
      <c r="B602" s="53"/>
      <c r="C602" s="53"/>
      <c r="D602" s="54"/>
      <c r="E602" s="54"/>
      <c r="F602" s="53"/>
      <c r="G602" s="53"/>
      <c r="H602" s="54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4"/>
    </row>
    <row r="603" spans="1:65" ht="12.75">
      <c r="A603" s="53"/>
      <c r="B603" s="53"/>
      <c r="C603" s="53"/>
      <c r="D603" s="54"/>
      <c r="E603" s="54"/>
      <c r="F603" s="53"/>
      <c r="G603" s="53"/>
      <c r="H603" s="54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4"/>
    </row>
    <row r="604" spans="1:65" ht="12.75">
      <c r="A604" s="53"/>
      <c r="B604" s="53"/>
      <c r="C604" s="53"/>
      <c r="D604" s="54"/>
      <c r="E604" s="54"/>
      <c r="F604" s="53"/>
      <c r="G604" s="53"/>
      <c r="H604" s="54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4"/>
    </row>
    <row r="605" spans="1:65" ht="12.75">
      <c r="A605" s="53"/>
      <c r="B605" s="53"/>
      <c r="C605" s="53"/>
      <c r="D605" s="54"/>
      <c r="E605" s="54"/>
      <c r="F605" s="53"/>
      <c r="G605" s="53"/>
      <c r="H605" s="54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4"/>
    </row>
    <row r="606" spans="1:65" ht="12.75">
      <c r="A606" s="53"/>
      <c r="B606" s="53"/>
      <c r="C606" s="53"/>
      <c r="D606" s="54"/>
      <c r="E606" s="54"/>
      <c r="F606" s="53"/>
      <c r="G606" s="53"/>
      <c r="H606" s="54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4"/>
    </row>
    <row r="607" spans="1:65" ht="12.75">
      <c r="A607" s="53"/>
      <c r="B607" s="53"/>
      <c r="C607" s="53"/>
      <c r="D607" s="54"/>
      <c r="E607" s="54"/>
      <c r="F607" s="53"/>
      <c r="G607" s="53"/>
      <c r="H607" s="54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4"/>
    </row>
    <row r="608" spans="1:65" ht="12.75">
      <c r="A608" s="53"/>
      <c r="B608" s="53"/>
      <c r="C608" s="53"/>
      <c r="D608" s="54"/>
      <c r="E608" s="54"/>
      <c r="F608" s="53"/>
      <c r="G608" s="53"/>
      <c r="H608" s="54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4"/>
    </row>
    <row r="609" spans="1:65" ht="12.75">
      <c r="A609" s="53"/>
      <c r="B609" s="53"/>
      <c r="C609" s="53"/>
      <c r="D609" s="54"/>
      <c r="E609" s="54"/>
      <c r="F609" s="53"/>
      <c r="G609" s="53"/>
      <c r="H609" s="54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4"/>
    </row>
    <row r="610" spans="1:65" ht="12.75">
      <c r="A610" s="53"/>
      <c r="B610" s="53"/>
      <c r="C610" s="53"/>
      <c r="D610" s="54"/>
      <c r="E610" s="54"/>
      <c r="F610" s="53"/>
      <c r="G610" s="53"/>
      <c r="H610" s="54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4"/>
    </row>
    <row r="611" spans="1:65" ht="12.75">
      <c r="A611" s="53"/>
      <c r="B611" s="53"/>
      <c r="C611" s="53"/>
      <c r="D611" s="54"/>
      <c r="E611" s="54"/>
      <c r="F611" s="53"/>
      <c r="G611" s="53"/>
      <c r="H611" s="54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4"/>
    </row>
    <row r="612" spans="1:65" ht="12.75">
      <c r="A612" s="53"/>
      <c r="B612" s="53"/>
      <c r="C612" s="53"/>
      <c r="D612" s="54"/>
      <c r="E612" s="54"/>
      <c r="F612" s="53"/>
      <c r="G612" s="53"/>
      <c r="H612" s="54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4"/>
    </row>
    <row r="613" spans="1:65" ht="12.75">
      <c r="A613" s="53"/>
      <c r="B613" s="53"/>
      <c r="C613" s="53"/>
      <c r="D613" s="54"/>
      <c r="E613" s="54"/>
      <c r="F613" s="53"/>
      <c r="G613" s="53"/>
      <c r="H613" s="54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4"/>
    </row>
    <row r="614" spans="1:65" ht="12.75">
      <c r="A614" s="53"/>
      <c r="B614" s="53"/>
      <c r="C614" s="53"/>
      <c r="D614" s="54"/>
      <c r="E614" s="54"/>
      <c r="F614" s="53"/>
      <c r="G614" s="53"/>
      <c r="H614" s="54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4"/>
    </row>
    <row r="615" spans="1:65" ht="12.75">
      <c r="A615" s="53"/>
      <c r="B615" s="53"/>
      <c r="C615" s="53"/>
      <c r="D615" s="54"/>
      <c r="E615" s="54"/>
      <c r="F615" s="53"/>
      <c r="G615" s="53"/>
      <c r="H615" s="54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4"/>
    </row>
    <row r="616" spans="1:65" ht="12.75">
      <c r="A616" s="53"/>
      <c r="B616" s="53"/>
      <c r="C616" s="53"/>
      <c r="D616" s="54"/>
      <c r="E616" s="54"/>
      <c r="F616" s="53"/>
      <c r="G616" s="53"/>
      <c r="H616" s="54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4"/>
    </row>
    <row r="617" spans="1:65" ht="12.75">
      <c r="A617" s="53"/>
      <c r="B617" s="53"/>
      <c r="C617" s="53"/>
      <c r="D617" s="54"/>
      <c r="E617" s="54"/>
      <c r="F617" s="53"/>
      <c r="G617" s="53"/>
      <c r="H617" s="54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4"/>
    </row>
    <row r="618" spans="1:65" ht="12.75">
      <c r="A618" s="53"/>
      <c r="B618" s="53"/>
      <c r="C618" s="53"/>
      <c r="D618" s="54"/>
      <c r="E618" s="54"/>
      <c r="F618" s="53"/>
      <c r="G618" s="53"/>
      <c r="H618" s="54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4"/>
    </row>
    <row r="619" spans="1:65" ht="12.75">
      <c r="A619" s="53"/>
      <c r="B619" s="53"/>
      <c r="C619" s="53"/>
      <c r="D619" s="54"/>
      <c r="E619" s="54"/>
      <c r="F619" s="53"/>
      <c r="G619" s="53"/>
      <c r="H619" s="54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4"/>
    </row>
    <row r="620" spans="1:65" ht="12.75">
      <c r="A620" s="53"/>
      <c r="B620" s="53"/>
      <c r="C620" s="53"/>
      <c r="D620" s="54"/>
      <c r="E620" s="54"/>
      <c r="F620" s="53"/>
      <c r="G620" s="53"/>
      <c r="H620" s="54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4"/>
    </row>
    <row r="621" spans="1:65" ht="12.75">
      <c r="A621" s="53"/>
      <c r="B621" s="53"/>
      <c r="C621" s="53"/>
      <c r="D621" s="54"/>
      <c r="E621" s="54"/>
      <c r="F621" s="53"/>
      <c r="G621" s="53"/>
      <c r="H621" s="54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4"/>
    </row>
    <row r="622" spans="1:65" ht="12.75">
      <c r="A622" s="53"/>
      <c r="B622" s="53"/>
      <c r="C622" s="53"/>
      <c r="D622" s="54"/>
      <c r="E622" s="54"/>
      <c r="F622" s="53"/>
      <c r="G622" s="53"/>
      <c r="H622" s="54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4"/>
    </row>
    <row r="623" spans="1:65" ht="12.75">
      <c r="A623" s="53"/>
      <c r="B623" s="53"/>
      <c r="C623" s="53"/>
      <c r="D623" s="54"/>
      <c r="E623" s="54"/>
      <c r="F623" s="53"/>
      <c r="G623" s="53"/>
      <c r="H623" s="54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4"/>
    </row>
    <row r="624" spans="1:65" ht="12.75">
      <c r="A624" s="53"/>
      <c r="B624" s="53"/>
      <c r="C624" s="53"/>
      <c r="D624" s="54"/>
      <c r="E624" s="54"/>
      <c r="F624" s="53"/>
      <c r="G624" s="53"/>
      <c r="H624" s="54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4"/>
    </row>
    <row r="625" spans="1:65" ht="12.75">
      <c r="A625" s="53"/>
      <c r="B625" s="53"/>
      <c r="C625" s="53"/>
      <c r="D625" s="54"/>
      <c r="E625" s="54"/>
      <c r="F625" s="53"/>
      <c r="G625" s="53"/>
      <c r="H625" s="54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4"/>
    </row>
    <row r="626" spans="1:65" ht="12.75">
      <c r="A626" s="53"/>
      <c r="B626" s="53"/>
      <c r="C626" s="53"/>
      <c r="D626" s="54"/>
      <c r="E626" s="54"/>
      <c r="F626" s="53"/>
      <c r="G626" s="53"/>
      <c r="H626" s="54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4"/>
    </row>
    <row r="627" spans="1:65" ht="12.75">
      <c r="A627" s="53"/>
      <c r="B627" s="53"/>
      <c r="C627" s="53"/>
      <c r="D627" s="54"/>
      <c r="E627" s="54"/>
      <c r="F627" s="53"/>
      <c r="G627" s="53"/>
      <c r="H627" s="54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4"/>
    </row>
    <row r="628" spans="1:65" ht="12.75">
      <c r="A628" s="53"/>
      <c r="B628" s="53"/>
      <c r="C628" s="53"/>
      <c r="D628" s="54"/>
      <c r="E628" s="54"/>
      <c r="F628" s="53"/>
      <c r="G628" s="53"/>
      <c r="H628" s="54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4"/>
    </row>
    <row r="629" spans="1:65" ht="12.75">
      <c r="A629" s="53"/>
      <c r="B629" s="53"/>
      <c r="C629" s="53"/>
      <c r="D629" s="54"/>
      <c r="E629" s="54"/>
      <c r="F629" s="53"/>
      <c r="G629" s="53"/>
      <c r="H629" s="54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4"/>
    </row>
    <row r="630" spans="1:65" ht="12.75">
      <c r="A630" s="53"/>
      <c r="B630" s="53"/>
      <c r="C630" s="53"/>
      <c r="D630" s="54"/>
      <c r="E630" s="54"/>
      <c r="F630" s="53"/>
      <c r="G630" s="53"/>
      <c r="H630" s="54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4"/>
    </row>
    <row r="631" spans="1:65" ht="12.75">
      <c r="A631" s="53"/>
      <c r="B631" s="53"/>
      <c r="C631" s="53"/>
      <c r="D631" s="54"/>
      <c r="E631" s="54"/>
      <c r="F631" s="53"/>
      <c r="G631" s="53"/>
      <c r="H631" s="54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4"/>
    </row>
    <row r="632" spans="1:65" ht="12.75">
      <c r="A632" s="53"/>
      <c r="B632" s="53"/>
      <c r="C632" s="53"/>
      <c r="D632" s="54"/>
      <c r="E632" s="54"/>
      <c r="F632" s="53"/>
      <c r="G632" s="53"/>
      <c r="H632" s="54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4"/>
    </row>
    <row r="633" spans="1:65" ht="12.75">
      <c r="A633" s="53"/>
      <c r="B633" s="53"/>
      <c r="C633" s="53"/>
      <c r="D633" s="54"/>
      <c r="E633" s="54"/>
      <c r="F633" s="53"/>
      <c r="G633" s="53"/>
      <c r="H633" s="54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4"/>
    </row>
    <row r="634" spans="1:65" ht="12.75">
      <c r="A634" s="53"/>
      <c r="B634" s="53"/>
      <c r="C634" s="53"/>
      <c r="D634" s="54"/>
      <c r="E634" s="54"/>
      <c r="F634" s="53"/>
      <c r="G634" s="53"/>
      <c r="H634" s="54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4"/>
    </row>
    <row r="635" spans="1:65" ht="12.75">
      <c r="A635" s="53"/>
      <c r="B635" s="53"/>
      <c r="C635" s="53"/>
      <c r="D635" s="54"/>
      <c r="E635" s="54"/>
      <c r="F635" s="53"/>
      <c r="G635" s="53"/>
      <c r="H635" s="54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4"/>
    </row>
    <row r="636" spans="1:65" ht="12.75">
      <c r="A636" s="53"/>
      <c r="B636" s="53"/>
      <c r="C636" s="53"/>
      <c r="D636" s="54"/>
      <c r="E636" s="54"/>
      <c r="F636" s="53"/>
      <c r="G636" s="53"/>
      <c r="H636" s="54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4"/>
    </row>
    <row r="637" spans="1:65" ht="12.75">
      <c r="A637" s="53"/>
      <c r="B637" s="53"/>
      <c r="C637" s="53"/>
      <c r="D637" s="54"/>
      <c r="E637" s="54"/>
      <c r="F637" s="53"/>
      <c r="G637" s="53"/>
      <c r="H637" s="54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4"/>
    </row>
    <row r="638" spans="1:65" ht="12.75">
      <c r="A638" s="53"/>
      <c r="B638" s="53"/>
      <c r="C638" s="53"/>
      <c r="D638" s="54"/>
      <c r="E638" s="54"/>
      <c r="F638" s="53"/>
      <c r="G638" s="53"/>
      <c r="H638" s="54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4"/>
    </row>
    <row r="639" spans="1:65" ht="12.75">
      <c r="A639" s="53"/>
      <c r="B639" s="53"/>
      <c r="C639" s="53"/>
      <c r="D639" s="54"/>
      <c r="E639" s="54"/>
      <c r="F639" s="53"/>
      <c r="G639" s="53"/>
      <c r="H639" s="54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4"/>
    </row>
    <row r="640" spans="1:65" ht="12.75">
      <c r="A640" s="53"/>
      <c r="B640" s="53"/>
      <c r="C640" s="53"/>
      <c r="D640" s="54"/>
      <c r="E640" s="54"/>
      <c r="F640" s="53"/>
      <c r="G640" s="53"/>
      <c r="H640" s="54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4"/>
    </row>
    <row r="641" spans="1:65" ht="12.75">
      <c r="A641" s="53"/>
      <c r="B641" s="53"/>
      <c r="C641" s="53"/>
      <c r="D641" s="54"/>
      <c r="E641" s="54"/>
      <c r="F641" s="53"/>
      <c r="G641" s="53"/>
      <c r="H641" s="54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4"/>
    </row>
    <row r="642" spans="1:65" ht="12.75">
      <c r="A642" s="53"/>
      <c r="B642" s="53"/>
      <c r="C642" s="53"/>
      <c r="D642" s="54"/>
      <c r="E642" s="54"/>
      <c r="F642" s="53"/>
      <c r="G642" s="53"/>
      <c r="H642" s="54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4"/>
    </row>
    <row r="643" spans="1:65" ht="12.75">
      <c r="A643" s="53"/>
      <c r="B643" s="53"/>
      <c r="C643" s="53"/>
      <c r="D643" s="54"/>
      <c r="E643" s="54"/>
      <c r="F643" s="53"/>
      <c r="G643" s="53"/>
      <c r="H643" s="54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4"/>
    </row>
    <row r="644" spans="1:65" ht="12.75">
      <c r="A644" s="53"/>
      <c r="B644" s="53"/>
      <c r="C644" s="53"/>
      <c r="D644" s="54"/>
      <c r="E644" s="54"/>
      <c r="F644" s="53"/>
      <c r="G644" s="53"/>
      <c r="H644" s="54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4"/>
    </row>
    <row r="645" spans="1:65" ht="12.75">
      <c r="A645" s="53"/>
      <c r="B645" s="53"/>
      <c r="C645" s="53"/>
      <c r="D645" s="54"/>
      <c r="E645" s="54"/>
      <c r="F645" s="53"/>
      <c r="G645" s="53"/>
      <c r="H645" s="54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4"/>
    </row>
    <row r="646" spans="1:65" ht="12.75">
      <c r="A646" s="53"/>
      <c r="B646" s="53"/>
      <c r="C646" s="53"/>
      <c r="D646" s="54"/>
      <c r="E646" s="54"/>
      <c r="F646" s="53"/>
      <c r="G646" s="53"/>
      <c r="H646" s="54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4"/>
    </row>
    <row r="647" spans="1:65" ht="12.75">
      <c r="A647" s="53"/>
      <c r="B647" s="53"/>
      <c r="C647" s="53"/>
      <c r="D647" s="54"/>
      <c r="E647" s="54"/>
      <c r="F647" s="53"/>
      <c r="G647" s="53"/>
      <c r="H647" s="54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4"/>
    </row>
    <row r="648" spans="1:65" ht="12.75">
      <c r="A648" s="53"/>
      <c r="B648" s="53"/>
      <c r="C648" s="53"/>
      <c r="D648" s="54"/>
      <c r="E648" s="54"/>
      <c r="F648" s="53"/>
      <c r="G648" s="53"/>
      <c r="H648" s="54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4"/>
    </row>
    <row r="649" spans="1:65" ht="12.75">
      <c r="A649" s="53"/>
      <c r="B649" s="53"/>
      <c r="C649" s="53"/>
      <c r="D649" s="54"/>
      <c r="E649" s="54"/>
      <c r="F649" s="53"/>
      <c r="G649" s="53"/>
      <c r="H649" s="54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4"/>
    </row>
    <row r="650" spans="1:65" ht="12.75">
      <c r="A650" s="53"/>
      <c r="B650" s="53"/>
      <c r="C650" s="53"/>
      <c r="D650" s="54"/>
      <c r="E650" s="54"/>
      <c r="F650" s="53"/>
      <c r="G650" s="53"/>
      <c r="H650" s="54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4"/>
    </row>
    <row r="651" spans="1:65" ht="12.75">
      <c r="A651" s="53"/>
      <c r="B651" s="53"/>
      <c r="C651" s="53"/>
      <c r="D651" s="54"/>
      <c r="E651" s="54"/>
      <c r="F651" s="53"/>
      <c r="G651" s="53"/>
      <c r="H651" s="54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4"/>
    </row>
    <row r="652" spans="1:65" ht="12.75">
      <c r="A652" s="53"/>
      <c r="B652" s="53"/>
      <c r="C652" s="53"/>
      <c r="D652" s="54"/>
      <c r="E652" s="54"/>
      <c r="F652" s="53"/>
      <c r="G652" s="53"/>
      <c r="H652" s="54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4"/>
    </row>
    <row r="653" spans="1:65" ht="12.75">
      <c r="A653" s="53"/>
      <c r="B653" s="53"/>
      <c r="C653" s="53"/>
      <c r="D653" s="54"/>
      <c r="E653" s="54"/>
      <c r="F653" s="53"/>
      <c r="G653" s="53"/>
      <c r="H653" s="54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4"/>
    </row>
    <row r="654" spans="1:65" ht="12.75">
      <c r="A654" s="53"/>
      <c r="B654" s="53"/>
      <c r="C654" s="53"/>
      <c r="D654" s="54"/>
      <c r="E654" s="54"/>
      <c r="F654" s="53"/>
      <c r="G654" s="53"/>
      <c r="H654" s="54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4"/>
    </row>
    <row r="655" spans="1:65" ht="12.75">
      <c r="A655" s="53"/>
      <c r="B655" s="53"/>
      <c r="C655" s="53"/>
      <c r="D655" s="54"/>
      <c r="E655" s="54"/>
      <c r="F655" s="53"/>
      <c r="G655" s="53"/>
      <c r="H655" s="54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4"/>
    </row>
    <row r="656" spans="1:65" ht="12.75">
      <c r="A656" s="53"/>
      <c r="B656" s="53"/>
      <c r="C656" s="53"/>
      <c r="D656" s="54"/>
      <c r="E656" s="54"/>
      <c r="F656" s="53"/>
      <c r="G656" s="53"/>
      <c r="H656" s="54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4"/>
    </row>
    <row r="657" spans="1:65" ht="12.75">
      <c r="A657" s="53"/>
      <c r="B657" s="53"/>
      <c r="C657" s="53"/>
      <c r="D657" s="54"/>
      <c r="E657" s="54"/>
      <c r="F657" s="53"/>
      <c r="G657" s="53"/>
      <c r="H657" s="54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4"/>
    </row>
    <row r="658" spans="1:65" ht="12.75">
      <c r="A658" s="53"/>
      <c r="B658" s="53"/>
      <c r="C658" s="53"/>
      <c r="D658" s="54"/>
      <c r="E658" s="54"/>
      <c r="F658" s="53"/>
      <c r="G658" s="53"/>
      <c r="H658" s="54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4"/>
    </row>
    <row r="659" spans="1:65" ht="12.75">
      <c r="A659" s="53"/>
      <c r="B659" s="53"/>
      <c r="C659" s="53"/>
      <c r="D659" s="54"/>
      <c r="E659" s="54"/>
      <c r="F659" s="53"/>
      <c r="G659" s="53"/>
      <c r="H659" s="54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4"/>
    </row>
    <row r="660" spans="1:65" ht="12.75">
      <c r="A660" s="53"/>
      <c r="B660" s="53"/>
      <c r="C660" s="53"/>
      <c r="D660" s="54"/>
      <c r="E660" s="54"/>
      <c r="F660" s="53"/>
      <c r="G660" s="53"/>
      <c r="H660" s="54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4"/>
    </row>
    <row r="661" spans="1:65" ht="12.75">
      <c r="A661" s="53"/>
      <c r="B661" s="53"/>
      <c r="C661" s="53"/>
      <c r="D661" s="54"/>
      <c r="E661" s="54"/>
      <c r="F661" s="53"/>
      <c r="G661" s="53"/>
      <c r="H661" s="54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4"/>
    </row>
    <row r="662" spans="1:65" ht="12.75">
      <c r="A662" s="53"/>
      <c r="B662" s="53"/>
      <c r="C662" s="53"/>
      <c r="D662" s="54"/>
      <c r="E662" s="54"/>
      <c r="F662" s="53"/>
      <c r="G662" s="53"/>
      <c r="H662" s="54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4"/>
    </row>
    <row r="663" spans="1:65" ht="12.75">
      <c r="A663" s="53"/>
      <c r="B663" s="53"/>
      <c r="C663" s="53"/>
      <c r="D663" s="54"/>
      <c r="E663" s="54"/>
      <c r="F663" s="53"/>
      <c r="G663" s="53"/>
      <c r="H663" s="54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4"/>
    </row>
    <row r="664" spans="1:65" ht="12.75">
      <c r="A664" s="53"/>
      <c r="B664" s="53"/>
      <c r="C664" s="53"/>
      <c r="D664" s="54"/>
      <c r="E664" s="54"/>
      <c r="F664" s="53"/>
      <c r="G664" s="53"/>
      <c r="H664" s="54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4"/>
    </row>
    <row r="665" spans="1:65" ht="12.75">
      <c r="A665" s="53"/>
      <c r="B665" s="53"/>
      <c r="C665" s="53"/>
      <c r="D665" s="54"/>
      <c r="E665" s="54"/>
      <c r="F665" s="53"/>
      <c r="G665" s="53"/>
      <c r="H665" s="54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4"/>
    </row>
    <row r="666" spans="1:65" ht="12.75">
      <c r="A666" s="53"/>
      <c r="B666" s="53"/>
      <c r="C666" s="53"/>
      <c r="D666" s="54"/>
      <c r="E666" s="54"/>
      <c r="F666" s="53"/>
      <c r="G666" s="53"/>
      <c r="H666" s="54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4"/>
    </row>
    <row r="667" spans="1:65" ht="12.75">
      <c r="A667" s="53"/>
      <c r="B667" s="53"/>
      <c r="C667" s="53"/>
      <c r="D667" s="54"/>
      <c r="E667" s="54"/>
      <c r="F667" s="53"/>
      <c r="G667" s="53"/>
      <c r="H667" s="54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4"/>
    </row>
    <row r="668" spans="1:65" ht="12.75">
      <c r="A668" s="53"/>
      <c r="B668" s="53"/>
      <c r="C668" s="53"/>
      <c r="D668" s="54"/>
      <c r="E668" s="54"/>
      <c r="F668" s="53"/>
      <c r="G668" s="53"/>
      <c r="H668" s="54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4"/>
    </row>
    <row r="669" spans="1:65" ht="12.75">
      <c r="A669" s="53"/>
      <c r="B669" s="53"/>
      <c r="C669" s="53"/>
      <c r="D669" s="54"/>
      <c r="E669" s="54"/>
      <c r="F669" s="53"/>
      <c r="G669" s="53"/>
      <c r="H669" s="54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4"/>
    </row>
    <row r="670" spans="1:65" ht="12.75">
      <c r="A670" s="53"/>
      <c r="B670" s="53"/>
      <c r="C670" s="53"/>
      <c r="D670" s="54"/>
      <c r="E670" s="54"/>
      <c r="F670" s="53"/>
      <c r="G670" s="53"/>
      <c r="H670" s="54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4"/>
    </row>
    <row r="671" spans="1:65" ht="12.75">
      <c r="A671" s="53"/>
      <c r="B671" s="53"/>
      <c r="C671" s="53"/>
      <c r="D671" s="54"/>
      <c r="E671" s="54"/>
      <c r="F671" s="53"/>
      <c r="G671" s="53"/>
      <c r="H671" s="54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4"/>
    </row>
    <row r="672" spans="1:65" ht="12.75">
      <c r="A672" s="53"/>
      <c r="B672" s="53"/>
      <c r="C672" s="53"/>
      <c r="D672" s="54"/>
      <c r="E672" s="54"/>
      <c r="F672" s="53"/>
      <c r="G672" s="53"/>
      <c r="H672" s="54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4"/>
    </row>
    <row r="673" spans="1:65" ht="12.75">
      <c r="A673" s="53"/>
      <c r="B673" s="53"/>
      <c r="C673" s="53"/>
      <c r="D673" s="54"/>
      <c r="E673" s="54"/>
      <c r="F673" s="53"/>
      <c r="G673" s="53"/>
      <c r="H673" s="54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4"/>
    </row>
    <row r="674" spans="1:65" ht="12.75">
      <c r="A674" s="53"/>
      <c r="B674" s="53"/>
      <c r="C674" s="53"/>
      <c r="D674" s="54"/>
      <c r="E674" s="54"/>
      <c r="F674" s="53"/>
      <c r="G674" s="53"/>
      <c r="H674" s="54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4"/>
    </row>
    <row r="675" spans="1:65" ht="12.75">
      <c r="A675" s="53"/>
      <c r="B675" s="53"/>
      <c r="C675" s="53"/>
      <c r="D675" s="54"/>
      <c r="E675" s="54"/>
      <c r="F675" s="53"/>
      <c r="G675" s="53"/>
      <c r="H675" s="54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4"/>
    </row>
    <row r="676" spans="1:65" ht="12.75">
      <c r="A676" s="53"/>
      <c r="B676" s="53"/>
      <c r="C676" s="53"/>
      <c r="D676" s="54"/>
      <c r="E676" s="54"/>
      <c r="F676" s="53"/>
      <c r="G676" s="53"/>
      <c r="H676" s="54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4"/>
    </row>
    <row r="677" spans="1:65" ht="12.75">
      <c r="A677" s="53"/>
      <c r="B677" s="53"/>
      <c r="C677" s="53"/>
      <c r="D677" s="54"/>
      <c r="E677" s="54"/>
      <c r="F677" s="53"/>
      <c r="G677" s="53"/>
      <c r="H677" s="54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4"/>
    </row>
    <row r="678" spans="1:65" ht="12.75">
      <c r="A678" s="53"/>
      <c r="B678" s="53"/>
      <c r="C678" s="53"/>
      <c r="D678" s="54"/>
      <c r="E678" s="54"/>
      <c r="F678" s="53"/>
      <c r="G678" s="53"/>
      <c r="H678" s="54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4"/>
    </row>
    <row r="679" spans="1:65" ht="12.75">
      <c r="A679" s="53"/>
      <c r="B679" s="53"/>
      <c r="C679" s="53"/>
      <c r="D679" s="54"/>
      <c r="E679" s="54"/>
      <c r="F679" s="53"/>
      <c r="G679" s="53"/>
      <c r="H679" s="54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4"/>
    </row>
    <row r="680" spans="1:65" ht="12.75">
      <c r="A680" s="53"/>
      <c r="B680" s="53"/>
      <c r="C680" s="53"/>
      <c r="D680" s="54"/>
      <c r="E680" s="54"/>
      <c r="F680" s="53"/>
      <c r="G680" s="53"/>
      <c r="H680" s="54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4"/>
    </row>
    <row r="681" spans="1:65" ht="12.75">
      <c r="A681" s="53"/>
      <c r="B681" s="53"/>
      <c r="C681" s="53"/>
      <c r="D681" s="54"/>
      <c r="E681" s="54"/>
      <c r="F681" s="53"/>
      <c r="G681" s="53"/>
      <c r="H681" s="54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4"/>
    </row>
    <row r="682" spans="1:65" ht="12.75">
      <c r="A682" s="53"/>
      <c r="B682" s="53"/>
      <c r="C682" s="53"/>
      <c r="D682" s="54"/>
      <c r="E682" s="54"/>
      <c r="F682" s="53"/>
      <c r="G682" s="53"/>
      <c r="H682" s="54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4"/>
    </row>
    <row r="683" spans="1:65" ht="12.75">
      <c r="A683" s="53"/>
      <c r="B683" s="53"/>
      <c r="C683" s="53"/>
      <c r="D683" s="54"/>
      <c r="E683" s="54"/>
      <c r="F683" s="53"/>
      <c r="G683" s="53"/>
      <c r="H683" s="54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4"/>
    </row>
    <row r="684" spans="1:65" ht="12.75">
      <c r="A684" s="53"/>
      <c r="B684" s="53"/>
      <c r="C684" s="53"/>
      <c r="D684" s="54"/>
      <c r="E684" s="54"/>
      <c r="F684" s="53"/>
      <c r="G684" s="53"/>
      <c r="H684" s="54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4"/>
    </row>
    <row r="685" spans="1:65" ht="12.75">
      <c r="A685" s="53"/>
      <c r="B685" s="53"/>
      <c r="C685" s="53"/>
      <c r="D685" s="54"/>
      <c r="E685" s="54"/>
      <c r="F685" s="53"/>
      <c r="G685" s="53"/>
      <c r="H685" s="54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4"/>
    </row>
    <row r="686" spans="1:65" ht="12.75">
      <c r="A686" s="53"/>
      <c r="B686" s="53"/>
      <c r="C686" s="53"/>
      <c r="D686" s="54"/>
      <c r="E686" s="54"/>
      <c r="F686" s="53"/>
      <c r="G686" s="53"/>
      <c r="H686" s="54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4"/>
    </row>
    <row r="687" spans="1:65" ht="12.75">
      <c r="A687" s="53"/>
      <c r="B687" s="53"/>
      <c r="C687" s="53"/>
      <c r="D687" s="54"/>
      <c r="E687" s="54"/>
      <c r="F687" s="53"/>
      <c r="G687" s="53"/>
      <c r="H687" s="54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4"/>
    </row>
    <row r="688" spans="1:65" ht="12.75">
      <c r="A688" s="53"/>
      <c r="B688" s="53"/>
      <c r="C688" s="53"/>
      <c r="D688" s="54"/>
      <c r="E688" s="54"/>
      <c r="F688" s="53"/>
      <c r="G688" s="53"/>
      <c r="H688" s="54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4"/>
    </row>
    <row r="689" spans="1:65" ht="12.75">
      <c r="A689" s="53"/>
      <c r="B689" s="53"/>
      <c r="C689" s="53"/>
      <c r="D689" s="54"/>
      <c r="E689" s="54"/>
      <c r="F689" s="53"/>
      <c r="G689" s="53"/>
      <c r="H689" s="54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4"/>
    </row>
    <row r="690" spans="1:65" ht="12.75">
      <c r="A690" s="53"/>
      <c r="B690" s="53"/>
      <c r="C690" s="53"/>
      <c r="D690" s="54"/>
      <c r="E690" s="54"/>
      <c r="F690" s="53"/>
      <c r="G690" s="53"/>
      <c r="H690" s="54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4"/>
    </row>
    <row r="691" spans="1:65" ht="12.75">
      <c r="A691" s="53"/>
      <c r="B691" s="53"/>
      <c r="C691" s="53"/>
      <c r="D691" s="54"/>
      <c r="E691" s="54"/>
      <c r="F691" s="53"/>
      <c r="G691" s="53"/>
      <c r="H691" s="54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4"/>
    </row>
    <row r="692" spans="1:65" ht="12.75">
      <c r="A692" s="53"/>
      <c r="B692" s="53"/>
      <c r="C692" s="53"/>
      <c r="D692" s="54"/>
      <c r="E692" s="54"/>
      <c r="F692" s="53"/>
      <c r="G692" s="53"/>
      <c r="H692" s="54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4"/>
    </row>
    <row r="693" spans="1:65" ht="12.75">
      <c r="A693" s="53"/>
      <c r="B693" s="53"/>
      <c r="C693" s="53"/>
      <c r="D693" s="54"/>
      <c r="E693" s="54"/>
      <c r="F693" s="53"/>
      <c r="G693" s="53"/>
      <c r="H693" s="54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4"/>
    </row>
    <row r="694" spans="1:65" ht="12.75">
      <c r="A694" s="53"/>
      <c r="B694" s="53"/>
      <c r="C694" s="53"/>
      <c r="D694" s="54"/>
      <c r="E694" s="54"/>
      <c r="F694" s="53"/>
      <c r="G694" s="53"/>
      <c r="H694" s="54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4"/>
    </row>
    <row r="695" spans="1:65" ht="12.75">
      <c r="A695" s="53"/>
      <c r="B695" s="53"/>
      <c r="C695" s="53"/>
      <c r="D695" s="54"/>
      <c r="E695" s="54"/>
      <c r="F695" s="53"/>
      <c r="G695" s="53"/>
      <c r="H695" s="54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4"/>
    </row>
    <row r="696" spans="1:65" ht="12.75">
      <c r="A696" s="53"/>
      <c r="B696" s="53"/>
      <c r="C696" s="53"/>
      <c r="D696" s="54"/>
      <c r="E696" s="54"/>
      <c r="F696" s="53"/>
      <c r="G696" s="53"/>
      <c r="H696" s="54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4"/>
    </row>
    <row r="697" spans="1:65" ht="12.75">
      <c r="A697" s="53"/>
      <c r="B697" s="53"/>
      <c r="C697" s="53"/>
      <c r="D697" s="54"/>
      <c r="E697" s="54"/>
      <c r="F697" s="53"/>
      <c r="G697" s="53"/>
      <c r="H697" s="54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4"/>
    </row>
    <row r="698" spans="1:65" ht="12.75">
      <c r="A698" s="53"/>
      <c r="B698" s="53"/>
      <c r="C698" s="53"/>
      <c r="D698" s="54"/>
      <c r="E698" s="54"/>
      <c r="F698" s="53"/>
      <c r="G698" s="53"/>
      <c r="H698" s="54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4"/>
    </row>
    <row r="699" spans="1:65" ht="12.75">
      <c r="A699" s="53"/>
      <c r="B699" s="53"/>
      <c r="C699" s="53"/>
      <c r="D699" s="54"/>
      <c r="E699" s="54"/>
      <c r="F699" s="53"/>
      <c r="G699" s="53"/>
      <c r="H699" s="54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4"/>
    </row>
    <row r="700" spans="1:65" ht="12.75">
      <c r="A700" s="53"/>
      <c r="B700" s="53"/>
      <c r="C700" s="53"/>
      <c r="D700" s="54"/>
      <c r="E700" s="54"/>
      <c r="F700" s="53"/>
      <c r="G700" s="53"/>
      <c r="H700" s="54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4"/>
    </row>
    <row r="701" spans="1:65" ht="12.75">
      <c r="A701" s="53"/>
      <c r="B701" s="53"/>
      <c r="C701" s="53"/>
      <c r="D701" s="54"/>
      <c r="E701" s="54"/>
      <c r="F701" s="53"/>
      <c r="G701" s="53"/>
      <c r="H701" s="54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4"/>
    </row>
    <row r="702" spans="1:65" ht="12.75">
      <c r="A702" s="53"/>
      <c r="B702" s="53"/>
      <c r="C702" s="53"/>
      <c r="D702" s="54"/>
      <c r="E702" s="54"/>
      <c r="F702" s="53"/>
      <c r="G702" s="53"/>
      <c r="H702" s="54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4"/>
    </row>
    <row r="703" spans="1:65" ht="12.75">
      <c r="A703" s="53"/>
      <c r="B703" s="53"/>
      <c r="C703" s="53"/>
      <c r="D703" s="54"/>
      <c r="E703" s="54"/>
      <c r="F703" s="53"/>
      <c r="G703" s="53"/>
      <c r="H703" s="54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4"/>
    </row>
    <row r="704" spans="1:65" ht="12.75">
      <c r="A704" s="53"/>
      <c r="B704" s="53"/>
      <c r="C704" s="53"/>
      <c r="D704" s="54"/>
      <c r="E704" s="54"/>
      <c r="F704" s="53"/>
      <c r="G704" s="53"/>
      <c r="H704" s="54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4"/>
    </row>
    <row r="705" spans="1:65" ht="12.75">
      <c r="A705" s="53"/>
      <c r="B705" s="53"/>
      <c r="C705" s="53"/>
      <c r="D705" s="54"/>
      <c r="E705" s="54"/>
      <c r="F705" s="53"/>
      <c r="G705" s="53"/>
      <c r="H705" s="54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4"/>
    </row>
    <row r="706" spans="1:65" ht="12.75">
      <c r="A706" s="53"/>
      <c r="B706" s="53"/>
      <c r="C706" s="53"/>
      <c r="D706" s="54"/>
      <c r="E706" s="54"/>
      <c r="F706" s="53"/>
      <c r="G706" s="53"/>
      <c r="H706" s="54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4"/>
    </row>
    <row r="707" spans="1:65" ht="12.75">
      <c r="A707" s="53"/>
      <c r="B707" s="53"/>
      <c r="C707" s="53"/>
      <c r="D707" s="54"/>
      <c r="E707" s="54"/>
      <c r="F707" s="53"/>
      <c r="G707" s="53"/>
      <c r="H707" s="54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4"/>
    </row>
    <row r="708" spans="1:65" ht="12.75">
      <c r="A708" s="53"/>
      <c r="B708" s="53"/>
      <c r="C708" s="53"/>
      <c r="D708" s="54"/>
      <c r="E708" s="54"/>
      <c r="F708" s="53"/>
      <c r="G708" s="53"/>
      <c r="H708" s="54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4"/>
    </row>
    <row r="709" spans="1:65" ht="12.75">
      <c r="A709" s="53"/>
      <c r="B709" s="53"/>
      <c r="C709" s="53"/>
      <c r="D709" s="54"/>
      <c r="E709" s="54"/>
      <c r="F709" s="53"/>
      <c r="G709" s="53"/>
      <c r="H709" s="54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4"/>
    </row>
    <row r="710" spans="1:65" ht="12.75">
      <c r="A710" s="53"/>
      <c r="B710" s="53"/>
      <c r="C710" s="53"/>
      <c r="D710" s="54"/>
      <c r="E710" s="54"/>
      <c r="F710" s="53"/>
      <c r="G710" s="53"/>
      <c r="H710" s="54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4"/>
    </row>
    <row r="711" spans="1:65" ht="12.75">
      <c r="A711" s="53"/>
      <c r="B711" s="53"/>
      <c r="C711" s="53"/>
      <c r="D711" s="54"/>
      <c r="E711" s="54"/>
      <c r="F711" s="53"/>
      <c r="G711" s="53"/>
      <c r="H711" s="54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4"/>
    </row>
    <row r="712" spans="1:65" ht="12.75">
      <c r="A712" s="53"/>
      <c r="B712" s="53"/>
      <c r="C712" s="53"/>
      <c r="D712" s="54"/>
      <c r="E712" s="54"/>
      <c r="F712" s="53"/>
      <c r="G712" s="53"/>
      <c r="H712" s="54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4"/>
    </row>
    <row r="713" spans="1:65" ht="12.75">
      <c r="A713" s="53"/>
      <c r="B713" s="53"/>
      <c r="C713" s="53"/>
      <c r="D713" s="54"/>
      <c r="E713" s="54"/>
      <c r="F713" s="53"/>
      <c r="G713" s="53"/>
      <c r="H713" s="54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4"/>
    </row>
    <row r="714" spans="1:65" ht="12.75">
      <c r="A714" s="53"/>
      <c r="B714" s="53"/>
      <c r="C714" s="53"/>
      <c r="D714" s="54"/>
      <c r="E714" s="54"/>
      <c r="F714" s="53"/>
      <c r="G714" s="53"/>
      <c r="H714" s="54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4"/>
    </row>
    <row r="715" spans="1:65" ht="12.75">
      <c r="A715" s="53"/>
      <c r="B715" s="53"/>
      <c r="C715" s="53"/>
      <c r="D715" s="54"/>
      <c r="E715" s="54"/>
      <c r="F715" s="53"/>
      <c r="G715" s="53"/>
      <c r="H715" s="54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4"/>
    </row>
    <row r="716" spans="1:65" ht="12.75">
      <c r="A716" s="53"/>
      <c r="B716" s="53"/>
      <c r="C716" s="53"/>
      <c r="D716" s="54"/>
      <c r="E716" s="54"/>
      <c r="F716" s="53"/>
      <c r="G716" s="53"/>
      <c r="H716" s="54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4"/>
    </row>
    <row r="717" spans="1:65" ht="12.75">
      <c r="A717" s="53"/>
      <c r="B717" s="53"/>
      <c r="C717" s="53"/>
      <c r="D717" s="54"/>
      <c r="E717" s="54"/>
      <c r="F717" s="53"/>
      <c r="G717" s="53"/>
      <c r="H717" s="54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4"/>
    </row>
    <row r="718" spans="1:65" ht="12.75">
      <c r="A718" s="53"/>
      <c r="B718" s="53"/>
      <c r="C718" s="53"/>
      <c r="D718" s="54"/>
      <c r="E718" s="54"/>
      <c r="F718" s="53"/>
      <c r="G718" s="53"/>
      <c r="H718" s="54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4"/>
    </row>
    <row r="719" spans="1:65" ht="12.75">
      <c r="A719" s="53"/>
      <c r="B719" s="53"/>
      <c r="C719" s="53"/>
      <c r="D719" s="54"/>
      <c r="E719" s="54"/>
      <c r="F719" s="53"/>
      <c r="G719" s="53"/>
      <c r="H719" s="54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4"/>
    </row>
    <row r="720" spans="1:65" ht="12.75">
      <c r="A720" s="53"/>
      <c r="B720" s="53"/>
      <c r="C720" s="53"/>
      <c r="D720" s="54"/>
      <c r="E720" s="54"/>
      <c r="F720" s="53"/>
      <c r="G720" s="53"/>
      <c r="H720" s="54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4"/>
    </row>
    <row r="721" spans="1:65" ht="12.75">
      <c r="A721" s="53"/>
      <c r="B721" s="53"/>
      <c r="C721" s="53"/>
      <c r="D721" s="54"/>
      <c r="E721" s="54"/>
      <c r="F721" s="53"/>
      <c r="G721" s="53"/>
      <c r="H721" s="54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4"/>
    </row>
    <row r="722" spans="1:65" ht="12.75">
      <c r="A722" s="53"/>
      <c r="B722" s="53"/>
      <c r="C722" s="53"/>
      <c r="D722" s="54"/>
      <c r="E722" s="54"/>
      <c r="F722" s="53"/>
      <c r="G722" s="53"/>
      <c r="H722" s="54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4"/>
    </row>
    <row r="723" spans="1:65" ht="12.75">
      <c r="A723" s="53"/>
      <c r="B723" s="53"/>
      <c r="C723" s="53"/>
      <c r="D723" s="54"/>
      <c r="E723" s="54"/>
      <c r="F723" s="53"/>
      <c r="G723" s="53"/>
      <c r="H723" s="54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4"/>
    </row>
    <row r="724" spans="1:65" ht="12.75">
      <c r="A724" s="53"/>
      <c r="B724" s="53"/>
      <c r="C724" s="53"/>
      <c r="D724" s="54"/>
      <c r="E724" s="54"/>
      <c r="F724" s="53"/>
      <c r="G724" s="53"/>
      <c r="H724" s="54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4"/>
    </row>
    <row r="725" spans="1:65" ht="12.75">
      <c r="A725" s="53"/>
      <c r="B725" s="53"/>
      <c r="C725" s="53"/>
      <c r="D725" s="54"/>
      <c r="E725" s="54"/>
      <c r="F725" s="53"/>
      <c r="G725" s="53"/>
      <c r="H725" s="54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4"/>
    </row>
    <row r="726" spans="1:65" ht="12.75">
      <c r="A726" s="53"/>
      <c r="B726" s="53"/>
      <c r="C726" s="53"/>
      <c r="D726" s="54"/>
      <c r="E726" s="54"/>
      <c r="F726" s="53"/>
      <c r="G726" s="53"/>
      <c r="H726" s="54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4"/>
    </row>
    <row r="727" spans="1:65" ht="12.75">
      <c r="A727" s="53"/>
      <c r="B727" s="53"/>
      <c r="C727" s="53"/>
      <c r="D727" s="54"/>
      <c r="E727" s="54"/>
      <c r="F727" s="53"/>
      <c r="G727" s="53"/>
      <c r="H727" s="54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4"/>
    </row>
    <row r="728" spans="1:65" ht="12.75">
      <c r="A728" s="53"/>
      <c r="B728" s="53"/>
      <c r="C728" s="53"/>
      <c r="D728" s="54"/>
      <c r="E728" s="54"/>
      <c r="F728" s="53"/>
      <c r="G728" s="53"/>
      <c r="H728" s="54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4"/>
    </row>
    <row r="729" spans="1:65" ht="12.75">
      <c r="A729" s="53"/>
      <c r="B729" s="53"/>
      <c r="C729" s="53"/>
      <c r="D729" s="54"/>
      <c r="E729" s="54"/>
      <c r="F729" s="53"/>
      <c r="G729" s="53"/>
      <c r="H729" s="54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4"/>
    </row>
    <row r="730" spans="1:65" ht="12.75">
      <c r="A730" s="53"/>
      <c r="B730" s="53"/>
      <c r="C730" s="53"/>
      <c r="D730" s="54"/>
      <c r="E730" s="54"/>
      <c r="F730" s="53"/>
      <c r="G730" s="53"/>
      <c r="H730" s="54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4"/>
    </row>
    <row r="731" spans="1:65" ht="12.75">
      <c r="A731" s="53"/>
      <c r="B731" s="53"/>
      <c r="C731" s="53"/>
      <c r="D731" s="54"/>
      <c r="E731" s="54"/>
      <c r="F731" s="53"/>
      <c r="G731" s="53"/>
      <c r="H731" s="54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4"/>
    </row>
    <row r="732" spans="1:65" ht="12.75">
      <c r="A732" s="53"/>
      <c r="B732" s="53"/>
      <c r="C732" s="53"/>
      <c r="D732" s="54"/>
      <c r="E732" s="54"/>
      <c r="F732" s="53"/>
      <c r="G732" s="53"/>
      <c r="H732" s="54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4"/>
    </row>
    <row r="733" spans="1:65" ht="12.75">
      <c r="A733" s="53"/>
      <c r="B733" s="53"/>
      <c r="C733" s="53"/>
      <c r="D733" s="54"/>
      <c r="E733" s="54"/>
      <c r="F733" s="53"/>
      <c r="G733" s="53"/>
      <c r="H733" s="54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4"/>
    </row>
    <row r="734" spans="1:65" ht="12.75">
      <c r="A734" s="53"/>
      <c r="B734" s="53"/>
      <c r="C734" s="53"/>
      <c r="D734" s="54"/>
      <c r="E734" s="54"/>
      <c r="F734" s="53"/>
      <c r="G734" s="53"/>
      <c r="H734" s="54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4"/>
    </row>
    <row r="735" spans="1:65" ht="12.75">
      <c r="A735" s="53"/>
      <c r="B735" s="53"/>
      <c r="C735" s="53"/>
      <c r="D735" s="54"/>
      <c r="E735" s="54"/>
      <c r="F735" s="53"/>
      <c r="G735" s="53"/>
      <c r="H735" s="54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4"/>
    </row>
    <row r="736" spans="1:65" ht="12.75">
      <c r="A736" s="53"/>
      <c r="B736" s="53"/>
      <c r="C736" s="53"/>
      <c r="D736" s="54"/>
      <c r="E736" s="54"/>
      <c r="F736" s="53"/>
      <c r="G736" s="53"/>
      <c r="H736" s="54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4"/>
    </row>
    <row r="737" spans="1:65" ht="12.75">
      <c r="A737" s="53"/>
      <c r="B737" s="53"/>
      <c r="C737" s="53"/>
      <c r="D737" s="54"/>
      <c r="E737" s="54"/>
      <c r="F737" s="53"/>
      <c r="G737" s="53"/>
      <c r="H737" s="54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4"/>
    </row>
    <row r="738" spans="1:65" ht="12.75">
      <c r="A738" s="53"/>
      <c r="B738" s="53"/>
      <c r="C738" s="53"/>
      <c r="D738" s="54"/>
      <c r="E738" s="54"/>
      <c r="F738" s="53"/>
      <c r="G738" s="53"/>
      <c r="H738" s="54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4"/>
    </row>
    <row r="739" spans="1:65" ht="12.75">
      <c r="A739" s="53"/>
      <c r="B739" s="53"/>
      <c r="C739" s="53"/>
      <c r="D739" s="54"/>
      <c r="E739" s="54"/>
      <c r="F739" s="53"/>
      <c r="G739" s="53"/>
      <c r="H739" s="54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4"/>
    </row>
    <row r="740" spans="1:65" ht="12.75">
      <c r="A740" s="53"/>
      <c r="B740" s="53"/>
      <c r="C740" s="53"/>
      <c r="D740" s="54"/>
      <c r="E740" s="54"/>
      <c r="F740" s="53"/>
      <c r="G740" s="53"/>
      <c r="H740" s="54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4"/>
    </row>
    <row r="741" spans="1:65" ht="12.75">
      <c r="A741" s="53"/>
      <c r="B741" s="53"/>
      <c r="C741" s="53"/>
      <c r="D741" s="54"/>
      <c r="E741" s="54"/>
      <c r="F741" s="53"/>
      <c r="G741" s="53"/>
      <c r="H741" s="54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4"/>
    </row>
    <row r="742" spans="1:65" ht="12.75">
      <c r="A742" s="53"/>
      <c r="B742" s="53"/>
      <c r="C742" s="53"/>
      <c r="D742" s="54"/>
      <c r="E742" s="54"/>
      <c r="F742" s="53"/>
      <c r="G742" s="53"/>
      <c r="H742" s="54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4"/>
    </row>
    <row r="743" spans="1:65" ht="12.75">
      <c r="A743" s="53"/>
      <c r="B743" s="53"/>
      <c r="C743" s="53"/>
      <c r="D743" s="54"/>
      <c r="E743" s="54"/>
      <c r="F743" s="53"/>
      <c r="G743" s="53"/>
      <c r="H743" s="54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4"/>
    </row>
    <row r="744" spans="1:65" ht="12.75">
      <c r="A744" s="53"/>
      <c r="B744" s="53"/>
      <c r="C744" s="53"/>
      <c r="D744" s="54"/>
      <c r="E744" s="54"/>
      <c r="F744" s="53"/>
      <c r="G744" s="53"/>
      <c r="H744" s="54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4"/>
    </row>
    <row r="745" spans="1:65" ht="12.75">
      <c r="A745" s="53"/>
      <c r="B745" s="53"/>
      <c r="C745" s="53"/>
      <c r="D745" s="54"/>
      <c r="E745" s="54"/>
      <c r="F745" s="53"/>
      <c r="G745" s="53"/>
      <c r="H745" s="54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4"/>
    </row>
    <row r="746" spans="1:65" ht="12.75">
      <c r="A746" s="53"/>
      <c r="B746" s="53"/>
      <c r="C746" s="53"/>
      <c r="D746" s="54"/>
      <c r="E746" s="54"/>
      <c r="F746" s="53"/>
      <c r="G746" s="53"/>
      <c r="H746" s="54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4"/>
    </row>
    <row r="747" spans="1:65" ht="12.75">
      <c r="A747" s="53"/>
      <c r="B747" s="53"/>
      <c r="C747" s="53"/>
      <c r="D747" s="54"/>
      <c r="E747" s="54"/>
      <c r="F747" s="53"/>
      <c r="G747" s="53"/>
      <c r="H747" s="54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4"/>
    </row>
    <row r="748" spans="1:65" ht="12.75">
      <c r="A748" s="53"/>
      <c r="B748" s="53"/>
      <c r="C748" s="53"/>
      <c r="D748" s="54"/>
      <c r="E748" s="54"/>
      <c r="F748" s="53"/>
      <c r="G748" s="53"/>
      <c r="H748" s="54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4"/>
    </row>
    <row r="749" spans="1:65" ht="12.75">
      <c r="A749" s="53"/>
      <c r="B749" s="53"/>
      <c r="C749" s="53"/>
      <c r="D749" s="54"/>
      <c r="E749" s="54"/>
      <c r="F749" s="53"/>
      <c r="G749" s="53"/>
      <c r="H749" s="54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4"/>
    </row>
    <row r="750" spans="1:65" ht="12.75">
      <c r="A750" s="53"/>
      <c r="B750" s="53"/>
      <c r="C750" s="53"/>
      <c r="D750" s="54"/>
      <c r="E750" s="54"/>
      <c r="F750" s="53"/>
      <c r="G750" s="53"/>
      <c r="H750" s="54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4"/>
    </row>
    <row r="751" spans="1:65" ht="12.75">
      <c r="A751" s="53"/>
      <c r="B751" s="53"/>
      <c r="C751" s="53"/>
      <c r="D751" s="54"/>
      <c r="E751" s="54"/>
      <c r="F751" s="53"/>
      <c r="G751" s="53"/>
      <c r="H751" s="54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4"/>
    </row>
    <row r="752" spans="1:65" ht="12.75">
      <c r="A752" s="53"/>
      <c r="B752" s="53"/>
      <c r="C752" s="53"/>
      <c r="D752" s="54"/>
      <c r="E752" s="54"/>
      <c r="F752" s="53"/>
      <c r="G752" s="53"/>
      <c r="H752" s="54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4"/>
    </row>
    <row r="753" spans="1:65" ht="12.75">
      <c r="A753" s="53"/>
      <c r="B753" s="53"/>
      <c r="C753" s="53"/>
      <c r="D753" s="54"/>
      <c r="E753" s="54"/>
      <c r="F753" s="53"/>
      <c r="G753" s="53"/>
      <c r="H753" s="54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4"/>
    </row>
    <row r="754" spans="1:65" ht="12.75">
      <c r="A754" s="53"/>
      <c r="B754" s="53"/>
      <c r="C754" s="53"/>
      <c r="D754" s="54"/>
      <c r="E754" s="54"/>
      <c r="F754" s="53"/>
      <c r="G754" s="53"/>
      <c r="H754" s="54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4"/>
    </row>
    <row r="755" spans="1:65" ht="12.75">
      <c r="A755" s="53"/>
      <c r="B755" s="53"/>
      <c r="C755" s="53"/>
      <c r="D755" s="54"/>
      <c r="E755" s="54"/>
      <c r="F755" s="53"/>
      <c r="G755" s="53"/>
      <c r="H755" s="54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4"/>
    </row>
    <row r="756" spans="1:65" ht="12.75">
      <c r="A756" s="53"/>
      <c r="B756" s="53"/>
      <c r="C756" s="53"/>
      <c r="D756" s="54"/>
      <c r="E756" s="54"/>
      <c r="F756" s="53"/>
      <c r="G756" s="53"/>
      <c r="H756" s="54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4"/>
    </row>
    <row r="757" spans="1:65" ht="12.75">
      <c r="A757" s="53"/>
      <c r="B757" s="53"/>
      <c r="C757" s="53"/>
      <c r="D757" s="54"/>
      <c r="E757" s="54"/>
      <c r="F757" s="53"/>
      <c r="G757" s="53"/>
      <c r="H757" s="54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4"/>
    </row>
    <row r="758" spans="1:65" ht="12.75">
      <c r="A758" s="53"/>
      <c r="B758" s="53"/>
      <c r="C758" s="53"/>
      <c r="D758" s="54"/>
      <c r="E758" s="54"/>
      <c r="F758" s="53"/>
      <c r="G758" s="53"/>
      <c r="H758" s="54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4"/>
    </row>
    <row r="759" spans="1:65" ht="12.75">
      <c r="A759" s="53"/>
      <c r="B759" s="53"/>
      <c r="C759" s="53"/>
      <c r="D759" s="54"/>
      <c r="E759" s="54"/>
      <c r="F759" s="53"/>
      <c r="G759" s="53"/>
      <c r="H759" s="54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4"/>
    </row>
    <row r="760" spans="1:65" ht="12.75">
      <c r="A760" s="53"/>
      <c r="B760" s="53"/>
      <c r="C760" s="53"/>
      <c r="D760" s="54"/>
      <c r="E760" s="54"/>
      <c r="F760" s="53"/>
      <c r="G760" s="53"/>
      <c r="H760" s="54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4"/>
    </row>
    <row r="761" spans="1:65" ht="12.75">
      <c r="A761" s="53"/>
      <c r="B761" s="53"/>
      <c r="C761" s="53"/>
      <c r="D761" s="54"/>
      <c r="E761" s="54"/>
      <c r="F761" s="53"/>
      <c r="G761" s="53"/>
      <c r="H761" s="54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4"/>
    </row>
    <row r="762" spans="1:65" ht="12.75">
      <c r="A762" s="53"/>
      <c r="B762" s="53"/>
      <c r="C762" s="53"/>
      <c r="D762" s="54"/>
      <c r="E762" s="54"/>
      <c r="F762" s="53"/>
      <c r="G762" s="53"/>
      <c r="H762" s="54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4"/>
    </row>
    <row r="763" spans="1:65" ht="12.75">
      <c r="A763" s="53"/>
      <c r="B763" s="53"/>
      <c r="C763" s="53"/>
      <c r="D763" s="54"/>
      <c r="E763" s="54"/>
      <c r="F763" s="53"/>
      <c r="G763" s="53"/>
      <c r="H763" s="54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4"/>
    </row>
    <row r="764" spans="1:65" ht="12.75">
      <c r="A764" s="53"/>
      <c r="B764" s="53"/>
      <c r="C764" s="53"/>
      <c r="D764" s="54"/>
      <c r="E764" s="54"/>
      <c r="F764" s="53"/>
      <c r="G764" s="53"/>
      <c r="H764" s="54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4"/>
    </row>
    <row r="765" spans="1:65" ht="12.75">
      <c r="A765" s="53"/>
      <c r="B765" s="53"/>
      <c r="C765" s="53"/>
      <c r="D765" s="54"/>
      <c r="E765" s="54"/>
      <c r="F765" s="53"/>
      <c r="G765" s="53"/>
      <c r="H765" s="54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4"/>
    </row>
    <row r="766" spans="1:65" ht="12.75">
      <c r="A766" s="53"/>
      <c r="B766" s="53"/>
      <c r="C766" s="53"/>
      <c r="D766" s="54"/>
      <c r="E766" s="54"/>
      <c r="F766" s="53"/>
      <c r="G766" s="53"/>
      <c r="H766" s="54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4"/>
    </row>
    <row r="767" spans="1:65" ht="12.75">
      <c r="A767" s="53"/>
      <c r="B767" s="53"/>
      <c r="C767" s="53"/>
      <c r="D767" s="54"/>
      <c r="E767" s="54"/>
      <c r="F767" s="53"/>
      <c r="G767" s="53"/>
      <c r="H767" s="54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4"/>
    </row>
    <row r="768" spans="1:65" ht="12.75">
      <c r="A768" s="53"/>
      <c r="B768" s="53"/>
      <c r="C768" s="53"/>
      <c r="D768" s="54"/>
      <c r="E768" s="54"/>
      <c r="F768" s="53"/>
      <c r="G768" s="53"/>
      <c r="H768" s="54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4"/>
    </row>
    <row r="769" spans="1:65" ht="12.75">
      <c r="A769" s="53"/>
      <c r="B769" s="53"/>
      <c r="C769" s="53"/>
      <c r="D769" s="54"/>
      <c r="E769" s="54"/>
      <c r="F769" s="53"/>
      <c r="G769" s="53"/>
      <c r="H769" s="54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4"/>
    </row>
    <row r="770" spans="1:65" ht="12.75">
      <c r="A770" s="53"/>
      <c r="B770" s="53"/>
      <c r="C770" s="53"/>
      <c r="D770" s="54"/>
      <c r="E770" s="54"/>
      <c r="F770" s="53"/>
      <c r="G770" s="53"/>
      <c r="H770" s="54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4"/>
    </row>
    <row r="771" spans="1:65" ht="12.75">
      <c r="A771" s="53"/>
      <c r="B771" s="53"/>
      <c r="C771" s="53"/>
      <c r="D771" s="54"/>
      <c r="E771" s="54"/>
      <c r="F771" s="53"/>
      <c r="G771" s="53"/>
      <c r="H771" s="54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4"/>
    </row>
    <row r="772" spans="1:65" ht="12.75">
      <c r="A772" s="53"/>
      <c r="B772" s="53"/>
      <c r="C772" s="53"/>
      <c r="D772" s="54"/>
      <c r="E772" s="54"/>
      <c r="F772" s="53"/>
      <c r="G772" s="53"/>
      <c r="H772" s="54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4"/>
    </row>
    <row r="773" spans="1:65" ht="12.75">
      <c r="A773" s="53"/>
      <c r="B773" s="53"/>
      <c r="C773" s="53"/>
      <c r="D773" s="54"/>
      <c r="E773" s="54"/>
      <c r="F773" s="53"/>
      <c r="G773" s="53"/>
      <c r="H773" s="54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4"/>
    </row>
    <row r="774" spans="1:65" ht="12.75">
      <c r="A774" s="53"/>
      <c r="B774" s="53"/>
      <c r="C774" s="53"/>
      <c r="D774" s="54"/>
      <c r="E774" s="54"/>
      <c r="F774" s="53"/>
      <c r="G774" s="53"/>
      <c r="H774" s="54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4"/>
    </row>
    <row r="775" spans="1:65" ht="12.75">
      <c r="A775" s="53"/>
      <c r="B775" s="53"/>
      <c r="C775" s="53"/>
      <c r="D775" s="54"/>
      <c r="E775" s="54"/>
      <c r="F775" s="53"/>
      <c r="G775" s="53"/>
      <c r="H775" s="54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4"/>
    </row>
    <row r="776" spans="1:65" ht="12.75">
      <c r="A776" s="53"/>
      <c r="B776" s="53"/>
      <c r="C776" s="53"/>
      <c r="D776" s="54"/>
      <c r="E776" s="54"/>
      <c r="F776" s="53"/>
      <c r="G776" s="53"/>
      <c r="H776" s="54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4"/>
    </row>
    <row r="777" spans="1:65" ht="12.75">
      <c r="A777" s="53"/>
      <c r="B777" s="53"/>
      <c r="C777" s="53"/>
      <c r="D777" s="54"/>
      <c r="E777" s="54"/>
      <c r="F777" s="53"/>
      <c r="G777" s="53"/>
      <c r="H777" s="54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4"/>
    </row>
    <row r="778" spans="1:65" ht="12.75">
      <c r="A778" s="53"/>
      <c r="B778" s="53"/>
      <c r="C778" s="53"/>
      <c r="D778" s="54"/>
      <c r="E778" s="54"/>
      <c r="F778" s="53"/>
      <c r="G778" s="53"/>
      <c r="H778" s="54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4"/>
    </row>
    <row r="779" spans="1:65" ht="12.75">
      <c r="A779" s="53"/>
      <c r="B779" s="53"/>
      <c r="C779" s="53"/>
      <c r="D779" s="54"/>
      <c r="E779" s="54"/>
      <c r="F779" s="53"/>
      <c r="G779" s="53"/>
      <c r="H779" s="54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4"/>
    </row>
    <row r="780" spans="1:65" ht="12.75">
      <c r="A780" s="53"/>
      <c r="B780" s="53"/>
      <c r="C780" s="53"/>
      <c r="D780" s="54"/>
      <c r="E780" s="54"/>
      <c r="F780" s="53"/>
      <c r="G780" s="53"/>
      <c r="H780" s="54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4"/>
    </row>
    <row r="781" spans="1:65" ht="12.75">
      <c r="A781" s="53"/>
      <c r="B781" s="53"/>
      <c r="C781" s="53"/>
      <c r="D781" s="54"/>
      <c r="E781" s="54"/>
      <c r="F781" s="53"/>
      <c r="G781" s="53"/>
      <c r="H781" s="54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4"/>
    </row>
    <row r="782" spans="1:65" ht="12.75">
      <c r="A782" s="53"/>
      <c r="B782" s="53"/>
      <c r="C782" s="53"/>
      <c r="D782" s="54"/>
      <c r="E782" s="54"/>
      <c r="F782" s="53"/>
      <c r="G782" s="53"/>
      <c r="H782" s="54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4"/>
    </row>
    <row r="783" spans="1:65" ht="12.75">
      <c r="A783" s="53"/>
      <c r="B783" s="53"/>
      <c r="C783" s="53"/>
      <c r="D783" s="54"/>
      <c r="E783" s="54"/>
      <c r="F783" s="53"/>
      <c r="G783" s="53"/>
      <c r="H783" s="54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4"/>
    </row>
    <row r="784" spans="1:65" ht="12.75">
      <c r="A784" s="53"/>
      <c r="B784" s="53"/>
      <c r="C784" s="53"/>
      <c r="D784" s="54"/>
      <c r="E784" s="54"/>
      <c r="F784" s="53"/>
      <c r="G784" s="53"/>
      <c r="H784" s="54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4"/>
    </row>
    <row r="785" spans="1:65" ht="12.75">
      <c r="A785" s="53"/>
      <c r="B785" s="53"/>
      <c r="C785" s="53"/>
      <c r="D785" s="54"/>
      <c r="E785" s="54"/>
      <c r="F785" s="53"/>
      <c r="G785" s="53"/>
      <c r="H785" s="54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4"/>
    </row>
    <row r="786" spans="1:65" ht="12.75">
      <c r="A786" s="53"/>
      <c r="B786" s="53"/>
      <c r="C786" s="53"/>
      <c r="D786" s="54"/>
      <c r="E786" s="54"/>
      <c r="F786" s="53"/>
      <c r="G786" s="53"/>
      <c r="H786" s="54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4"/>
    </row>
    <row r="787" spans="1:65" ht="12.75">
      <c r="A787" s="53"/>
      <c r="B787" s="53"/>
      <c r="C787" s="53"/>
      <c r="D787" s="54"/>
      <c r="E787" s="54"/>
      <c r="F787" s="53"/>
      <c r="G787" s="53"/>
      <c r="H787" s="54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4"/>
    </row>
    <row r="788" spans="1:65" ht="12.75">
      <c r="A788" s="53"/>
      <c r="B788" s="53"/>
      <c r="C788" s="53"/>
      <c r="D788" s="54"/>
      <c r="E788" s="54"/>
      <c r="F788" s="53"/>
      <c r="G788" s="53"/>
      <c r="H788" s="54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4"/>
    </row>
    <row r="789" spans="1:65" ht="12.75">
      <c r="A789" s="53"/>
      <c r="B789" s="53"/>
      <c r="C789" s="53"/>
      <c r="D789" s="54"/>
      <c r="E789" s="54"/>
      <c r="F789" s="53"/>
      <c r="G789" s="53"/>
      <c r="H789" s="54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4"/>
    </row>
    <row r="790" spans="1:65" ht="12.75">
      <c r="A790" s="53"/>
      <c r="B790" s="53"/>
      <c r="C790" s="53"/>
      <c r="D790" s="54"/>
      <c r="E790" s="54"/>
      <c r="F790" s="53"/>
      <c r="G790" s="53"/>
      <c r="H790" s="54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4"/>
    </row>
    <row r="791" spans="1:65" ht="12.75">
      <c r="A791" s="53"/>
      <c r="B791" s="53"/>
      <c r="C791" s="53"/>
      <c r="D791" s="54"/>
      <c r="E791" s="54"/>
      <c r="F791" s="53"/>
      <c r="G791" s="53"/>
      <c r="H791" s="54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4"/>
    </row>
    <row r="792" spans="1:65" ht="12.75">
      <c r="A792" s="53"/>
      <c r="B792" s="53"/>
      <c r="C792" s="53"/>
      <c r="D792" s="54"/>
      <c r="E792" s="54"/>
      <c r="F792" s="53"/>
      <c r="G792" s="53"/>
      <c r="H792" s="54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4"/>
    </row>
    <row r="793" spans="1:65" ht="12.75">
      <c r="A793" s="53"/>
      <c r="B793" s="53"/>
      <c r="C793" s="53"/>
      <c r="D793" s="54"/>
      <c r="E793" s="54"/>
      <c r="F793" s="53"/>
      <c r="G793" s="53"/>
      <c r="H793" s="54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4"/>
    </row>
    <row r="794" spans="1:65" ht="12.75">
      <c r="A794" s="53"/>
      <c r="B794" s="53"/>
      <c r="C794" s="53"/>
      <c r="D794" s="54"/>
      <c r="E794" s="54"/>
      <c r="F794" s="53"/>
      <c r="G794" s="53"/>
      <c r="H794" s="54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4"/>
    </row>
    <row r="795" spans="1:65" ht="12.75">
      <c r="A795" s="53"/>
      <c r="B795" s="53"/>
      <c r="C795" s="53"/>
      <c r="D795" s="54"/>
      <c r="E795" s="54"/>
      <c r="F795" s="53"/>
      <c r="G795" s="53"/>
      <c r="H795" s="54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4"/>
    </row>
    <row r="796" spans="1:65" ht="12.75">
      <c r="A796" s="53"/>
      <c r="B796" s="53"/>
      <c r="C796" s="53"/>
      <c r="D796" s="54"/>
      <c r="E796" s="54"/>
      <c r="F796" s="53"/>
      <c r="G796" s="53"/>
      <c r="H796" s="54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4"/>
    </row>
    <row r="797" spans="1:65" ht="12.75">
      <c r="A797" s="53"/>
      <c r="B797" s="53"/>
      <c r="C797" s="53"/>
      <c r="D797" s="54"/>
      <c r="E797" s="54"/>
      <c r="F797" s="53"/>
      <c r="G797" s="53"/>
      <c r="H797" s="54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4"/>
    </row>
    <row r="798" spans="1:65" ht="12.75">
      <c r="A798" s="53"/>
      <c r="B798" s="53"/>
      <c r="C798" s="53"/>
      <c r="D798" s="54"/>
      <c r="E798" s="54"/>
      <c r="F798" s="53"/>
      <c r="G798" s="53"/>
      <c r="H798" s="54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4"/>
    </row>
    <row r="799" spans="1:65" ht="12.75">
      <c r="A799" s="53"/>
      <c r="B799" s="53"/>
      <c r="C799" s="53"/>
      <c r="D799" s="54"/>
      <c r="E799" s="54"/>
      <c r="F799" s="53"/>
      <c r="G799" s="53"/>
      <c r="H799" s="54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4"/>
    </row>
    <row r="800" spans="1:65" ht="12.75">
      <c r="A800" s="53"/>
      <c r="B800" s="53"/>
      <c r="C800" s="53"/>
      <c r="D800" s="54"/>
      <c r="E800" s="54"/>
      <c r="F800" s="53"/>
      <c r="G800" s="53"/>
      <c r="H800" s="54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4"/>
    </row>
    <row r="801" spans="1:65" ht="12.75">
      <c r="A801" s="53"/>
      <c r="B801" s="53"/>
      <c r="C801" s="53"/>
      <c r="D801" s="54"/>
      <c r="E801" s="54"/>
      <c r="F801" s="53"/>
      <c r="G801" s="53"/>
      <c r="H801" s="54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4"/>
    </row>
    <row r="802" spans="1:65" ht="12.75">
      <c r="A802" s="53"/>
      <c r="B802" s="53"/>
      <c r="C802" s="53"/>
      <c r="D802" s="54"/>
      <c r="E802" s="54"/>
      <c r="F802" s="53"/>
      <c r="G802" s="53"/>
      <c r="H802" s="54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4"/>
    </row>
    <row r="803" spans="1:65" ht="12.75">
      <c r="A803" s="53"/>
      <c r="B803" s="53"/>
      <c r="C803" s="53"/>
      <c r="D803" s="54"/>
      <c r="E803" s="54"/>
      <c r="F803" s="53"/>
      <c r="G803" s="53"/>
      <c r="H803" s="54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4"/>
    </row>
    <row r="804" spans="1:65" ht="12.75">
      <c r="A804" s="53"/>
      <c r="B804" s="53"/>
      <c r="C804" s="53"/>
      <c r="D804" s="54"/>
      <c r="E804" s="54"/>
      <c r="F804" s="53"/>
      <c r="G804" s="53"/>
      <c r="H804" s="54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4"/>
    </row>
    <row r="805" spans="1:65" ht="12.75">
      <c r="A805" s="53"/>
      <c r="B805" s="53"/>
      <c r="C805" s="53"/>
      <c r="D805" s="54"/>
      <c r="E805" s="54"/>
      <c r="F805" s="53"/>
      <c r="G805" s="53"/>
      <c r="H805" s="54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4"/>
    </row>
    <row r="806" spans="1:65" ht="12.75">
      <c r="A806" s="53"/>
      <c r="B806" s="53"/>
      <c r="C806" s="53"/>
      <c r="D806" s="54"/>
      <c r="E806" s="54"/>
      <c r="F806" s="53"/>
      <c r="G806" s="53"/>
      <c r="H806" s="54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4"/>
    </row>
    <row r="807" spans="1:65" ht="12.75">
      <c r="A807" s="53"/>
      <c r="B807" s="53"/>
      <c r="C807" s="53"/>
      <c r="D807" s="54"/>
      <c r="E807" s="54"/>
      <c r="F807" s="53"/>
      <c r="G807" s="53"/>
      <c r="H807" s="54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4"/>
    </row>
    <row r="808" spans="1:65" ht="12.75">
      <c r="A808" s="53"/>
      <c r="B808" s="53"/>
      <c r="C808" s="53"/>
      <c r="D808" s="54"/>
      <c r="E808" s="54"/>
      <c r="F808" s="53"/>
      <c r="G808" s="53"/>
      <c r="H808" s="54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4"/>
    </row>
    <row r="809" spans="1:65" ht="12.75">
      <c r="A809" s="53"/>
      <c r="B809" s="53"/>
      <c r="C809" s="53"/>
      <c r="D809" s="54"/>
      <c r="E809" s="54"/>
      <c r="F809" s="53"/>
      <c r="G809" s="53"/>
      <c r="H809" s="54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4"/>
    </row>
    <row r="810" spans="1:65" ht="12.75">
      <c r="A810" s="53"/>
      <c r="B810" s="53"/>
      <c r="C810" s="53"/>
      <c r="D810" s="54"/>
      <c r="E810" s="54"/>
      <c r="F810" s="53"/>
      <c r="G810" s="53"/>
      <c r="H810" s="54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4"/>
    </row>
    <row r="811" spans="1:65" ht="12.75">
      <c r="A811" s="53"/>
      <c r="B811" s="53"/>
      <c r="C811" s="53"/>
      <c r="D811" s="54"/>
      <c r="E811" s="54"/>
      <c r="F811" s="53"/>
      <c r="G811" s="53"/>
      <c r="H811" s="54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4"/>
    </row>
    <row r="812" spans="1:65" ht="12.75">
      <c r="A812" s="53"/>
      <c r="B812" s="53"/>
      <c r="C812" s="53"/>
      <c r="D812" s="54"/>
      <c r="E812" s="54"/>
      <c r="F812" s="53"/>
      <c r="G812" s="53"/>
      <c r="H812" s="54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4"/>
    </row>
    <row r="813" spans="1:65" ht="12.75">
      <c r="A813" s="53"/>
      <c r="B813" s="53"/>
      <c r="C813" s="53"/>
      <c r="D813" s="54"/>
      <c r="E813" s="54"/>
      <c r="F813" s="53"/>
      <c r="G813" s="53"/>
      <c r="H813" s="54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4"/>
    </row>
    <row r="814" spans="1:65" ht="12.75">
      <c r="A814" s="53"/>
      <c r="B814" s="53"/>
      <c r="C814" s="53"/>
      <c r="D814" s="54"/>
      <c r="E814" s="54"/>
      <c r="F814" s="53"/>
      <c r="G814" s="53"/>
      <c r="H814" s="54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4"/>
    </row>
    <row r="815" spans="1:65" ht="12.75">
      <c r="A815" s="53"/>
      <c r="B815" s="53"/>
      <c r="C815" s="53"/>
      <c r="D815" s="54"/>
      <c r="E815" s="54"/>
      <c r="F815" s="53"/>
      <c r="G815" s="53"/>
      <c r="H815" s="54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4"/>
    </row>
    <row r="816" spans="1:65" ht="12.75">
      <c r="A816" s="53"/>
      <c r="B816" s="53"/>
      <c r="C816" s="53"/>
      <c r="D816" s="54"/>
      <c r="E816" s="54"/>
      <c r="F816" s="53"/>
      <c r="G816" s="53"/>
      <c r="H816" s="54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4"/>
    </row>
    <row r="817" spans="1:65" ht="12.75">
      <c r="A817" s="53"/>
      <c r="B817" s="53"/>
      <c r="C817" s="53"/>
      <c r="D817" s="54"/>
      <c r="E817" s="54"/>
      <c r="F817" s="53"/>
      <c r="G817" s="53"/>
      <c r="H817" s="54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4"/>
    </row>
    <row r="818" spans="1:65" ht="12.75">
      <c r="A818" s="53"/>
      <c r="B818" s="53"/>
      <c r="C818" s="53"/>
      <c r="D818" s="54"/>
      <c r="E818" s="54"/>
      <c r="F818" s="53"/>
      <c r="G818" s="53"/>
      <c r="H818" s="54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4"/>
    </row>
    <row r="819" spans="1:65" ht="12.75">
      <c r="A819" s="53"/>
      <c r="B819" s="53"/>
      <c r="C819" s="53"/>
      <c r="D819" s="54"/>
      <c r="E819" s="54"/>
      <c r="F819" s="53"/>
      <c r="G819" s="53"/>
      <c r="H819" s="54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4"/>
    </row>
    <row r="820" spans="1:65" ht="12.75">
      <c r="A820" s="53"/>
      <c r="B820" s="53"/>
      <c r="C820" s="53"/>
      <c r="D820" s="54"/>
      <c r="E820" s="54"/>
      <c r="F820" s="53"/>
      <c r="G820" s="53"/>
      <c r="H820" s="54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4"/>
    </row>
    <row r="821" spans="1:65" ht="12.75">
      <c r="A821" s="53"/>
      <c r="B821" s="53"/>
      <c r="C821" s="53"/>
      <c r="D821" s="54"/>
      <c r="E821" s="54"/>
      <c r="F821" s="53"/>
      <c r="G821" s="53"/>
      <c r="H821" s="54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4"/>
    </row>
    <row r="822" spans="1:65" ht="12.75">
      <c r="A822" s="53"/>
      <c r="B822" s="53"/>
      <c r="C822" s="53"/>
      <c r="D822" s="54"/>
      <c r="E822" s="54"/>
      <c r="F822" s="53"/>
      <c r="G822" s="53"/>
      <c r="H822" s="54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4"/>
    </row>
    <row r="823" spans="1:65" ht="12.75">
      <c r="A823" s="53"/>
      <c r="B823" s="53"/>
      <c r="C823" s="53"/>
      <c r="D823" s="54"/>
      <c r="E823" s="54"/>
      <c r="F823" s="53"/>
      <c r="G823" s="53"/>
      <c r="H823" s="54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4"/>
    </row>
    <row r="824" spans="1:65" ht="12.75">
      <c r="A824" s="53"/>
      <c r="B824" s="53"/>
      <c r="C824" s="53"/>
      <c r="D824" s="54"/>
      <c r="E824" s="54"/>
      <c r="F824" s="53"/>
      <c r="G824" s="53"/>
      <c r="H824" s="54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4"/>
    </row>
    <row r="825" spans="1:65" ht="12.75">
      <c r="A825" s="53"/>
      <c r="B825" s="53"/>
      <c r="C825" s="53"/>
      <c r="D825" s="54"/>
      <c r="E825" s="54"/>
      <c r="F825" s="53"/>
      <c r="G825" s="53"/>
      <c r="H825" s="54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4"/>
    </row>
    <row r="826" spans="1:65" ht="12.75">
      <c r="A826" s="53"/>
      <c r="B826" s="53"/>
      <c r="C826" s="53"/>
      <c r="D826" s="54"/>
      <c r="E826" s="54"/>
      <c r="F826" s="53"/>
      <c r="G826" s="53"/>
      <c r="H826" s="54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4"/>
    </row>
    <row r="827" spans="1:65" ht="12.75">
      <c r="A827" s="53"/>
      <c r="B827" s="53"/>
      <c r="C827" s="53"/>
      <c r="D827" s="54"/>
      <c r="E827" s="54"/>
      <c r="F827" s="53"/>
      <c r="G827" s="53"/>
      <c r="H827" s="54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4"/>
    </row>
    <row r="828" spans="1:65" ht="12.75">
      <c r="A828" s="53"/>
      <c r="B828" s="53"/>
      <c r="C828" s="53"/>
      <c r="D828" s="54"/>
      <c r="E828" s="54"/>
      <c r="F828" s="53"/>
      <c r="G828" s="53"/>
      <c r="H828" s="54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4"/>
    </row>
    <row r="829" spans="1:65" ht="12.75">
      <c r="A829" s="53"/>
      <c r="B829" s="53"/>
      <c r="C829" s="53"/>
      <c r="D829" s="54"/>
      <c r="E829" s="54"/>
      <c r="F829" s="53"/>
      <c r="G829" s="53"/>
      <c r="H829" s="54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4"/>
    </row>
    <row r="830" spans="1:65" ht="12.75">
      <c r="A830" s="53"/>
      <c r="B830" s="53"/>
      <c r="C830" s="53"/>
      <c r="D830" s="54"/>
      <c r="E830" s="54"/>
      <c r="F830" s="53"/>
      <c r="G830" s="53"/>
      <c r="H830" s="54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4"/>
    </row>
    <row r="831" spans="1:65" ht="12.75">
      <c r="A831" s="53"/>
      <c r="B831" s="53"/>
      <c r="C831" s="53"/>
      <c r="D831" s="54"/>
      <c r="E831" s="54"/>
      <c r="F831" s="53"/>
      <c r="G831" s="53"/>
      <c r="H831" s="54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4"/>
    </row>
    <row r="832" spans="1:65" ht="12.75">
      <c r="A832" s="53"/>
      <c r="B832" s="53"/>
      <c r="C832" s="53"/>
      <c r="D832" s="54"/>
      <c r="E832" s="54"/>
      <c r="F832" s="53"/>
      <c r="G832" s="53"/>
      <c r="H832" s="54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4"/>
    </row>
    <row r="833" spans="1:65" ht="12.75">
      <c r="A833" s="53"/>
      <c r="B833" s="53"/>
      <c r="C833" s="53"/>
      <c r="D833" s="54"/>
      <c r="E833" s="54"/>
      <c r="F833" s="53"/>
      <c r="G833" s="53"/>
      <c r="H833" s="54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4"/>
    </row>
    <row r="834" spans="1:65" ht="12.75">
      <c r="A834" s="53"/>
      <c r="B834" s="53"/>
      <c r="C834" s="53"/>
      <c r="D834" s="54"/>
      <c r="E834" s="54"/>
      <c r="F834" s="53"/>
      <c r="G834" s="53"/>
      <c r="H834" s="54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4"/>
    </row>
    <row r="835" spans="1:65" ht="12.75">
      <c r="A835" s="53"/>
      <c r="B835" s="53"/>
      <c r="C835" s="53"/>
      <c r="D835" s="54"/>
      <c r="E835" s="54"/>
      <c r="F835" s="53"/>
      <c r="G835" s="53"/>
      <c r="H835" s="54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4"/>
    </row>
    <row r="836" spans="1:65" ht="12.75">
      <c r="A836" s="53"/>
      <c r="B836" s="53"/>
      <c r="C836" s="53"/>
      <c r="D836" s="54"/>
      <c r="E836" s="54"/>
      <c r="F836" s="53"/>
      <c r="G836" s="53"/>
      <c r="H836" s="54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4"/>
    </row>
    <row r="837" spans="1:65" ht="12.75">
      <c r="A837" s="53"/>
      <c r="B837" s="53"/>
      <c r="C837" s="53"/>
      <c r="D837" s="54"/>
      <c r="E837" s="54"/>
      <c r="F837" s="53"/>
      <c r="G837" s="53"/>
      <c r="H837" s="54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4"/>
    </row>
    <row r="838" spans="1:65" ht="12.75">
      <c r="A838" s="53"/>
      <c r="B838" s="53"/>
      <c r="C838" s="53"/>
      <c r="D838" s="54"/>
      <c r="E838" s="54"/>
      <c r="F838" s="53"/>
      <c r="G838" s="53"/>
      <c r="H838" s="54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4"/>
    </row>
    <row r="839" spans="1:65" ht="12.75">
      <c r="A839" s="53"/>
      <c r="B839" s="53"/>
      <c r="C839" s="53"/>
      <c r="D839" s="54"/>
      <c r="E839" s="54"/>
      <c r="F839" s="53"/>
      <c r="G839" s="53"/>
      <c r="H839" s="54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4"/>
    </row>
    <row r="840" spans="1:65" ht="12.75">
      <c r="A840" s="53"/>
      <c r="B840" s="53"/>
      <c r="C840" s="53"/>
      <c r="D840" s="54"/>
      <c r="E840" s="54"/>
      <c r="F840" s="53"/>
      <c r="G840" s="53"/>
      <c r="H840" s="54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4"/>
    </row>
    <row r="841" spans="1:65" ht="12.75">
      <c r="A841" s="53"/>
      <c r="B841" s="53"/>
      <c r="C841" s="53"/>
      <c r="D841" s="54"/>
      <c r="E841" s="54"/>
      <c r="F841" s="53"/>
      <c r="G841" s="53"/>
      <c r="H841" s="54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4"/>
    </row>
    <row r="842" spans="1:65" ht="12.75">
      <c r="A842" s="53"/>
      <c r="B842" s="53"/>
      <c r="C842" s="53"/>
      <c r="D842" s="54"/>
      <c r="E842" s="54"/>
      <c r="F842" s="53"/>
      <c r="G842" s="53"/>
      <c r="H842" s="54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4"/>
    </row>
    <row r="843" spans="1:65" ht="12.75">
      <c r="A843" s="53"/>
      <c r="B843" s="53"/>
      <c r="C843" s="53"/>
      <c r="D843" s="54"/>
      <c r="E843" s="54"/>
      <c r="F843" s="53"/>
      <c r="G843" s="53"/>
      <c r="H843" s="54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4"/>
    </row>
    <row r="844" spans="1:65" ht="12.75">
      <c r="A844" s="53"/>
      <c r="B844" s="53"/>
      <c r="C844" s="53"/>
      <c r="D844" s="54"/>
      <c r="E844" s="54"/>
      <c r="F844" s="53"/>
      <c r="G844" s="53"/>
      <c r="H844" s="54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4"/>
    </row>
    <row r="845" spans="1:65" ht="12.75">
      <c r="A845" s="53"/>
      <c r="B845" s="53"/>
      <c r="C845" s="53"/>
      <c r="D845" s="54"/>
      <c r="E845" s="54"/>
      <c r="F845" s="53"/>
      <c r="G845" s="53"/>
      <c r="H845" s="54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4"/>
    </row>
    <row r="846" spans="1:65" ht="12.75">
      <c r="A846" s="53"/>
      <c r="B846" s="53"/>
      <c r="C846" s="53"/>
      <c r="D846" s="54"/>
      <c r="E846" s="54"/>
      <c r="F846" s="53"/>
      <c r="G846" s="53"/>
      <c r="H846" s="54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4"/>
    </row>
    <row r="847" spans="1:65" ht="12.75">
      <c r="A847" s="53"/>
      <c r="B847" s="53"/>
      <c r="C847" s="53"/>
      <c r="D847" s="54"/>
      <c r="E847" s="54"/>
      <c r="F847" s="53"/>
      <c r="G847" s="53"/>
      <c r="H847" s="54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4"/>
    </row>
    <row r="848" spans="1:65" ht="12.75">
      <c r="A848" s="53"/>
      <c r="B848" s="53"/>
      <c r="C848" s="53"/>
      <c r="D848" s="54"/>
      <c r="E848" s="54"/>
      <c r="F848" s="53"/>
      <c r="G848" s="53"/>
      <c r="H848" s="54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4"/>
    </row>
    <row r="849" spans="1:65" ht="12.75">
      <c r="A849" s="53"/>
      <c r="B849" s="53"/>
      <c r="C849" s="53"/>
      <c r="D849" s="54"/>
      <c r="E849" s="54"/>
      <c r="F849" s="53"/>
      <c r="G849" s="53"/>
      <c r="H849" s="54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4"/>
    </row>
    <row r="850" spans="1:65" ht="12.75">
      <c r="A850" s="53"/>
      <c r="B850" s="53"/>
      <c r="C850" s="53"/>
      <c r="D850" s="54"/>
      <c r="E850" s="54"/>
      <c r="F850" s="53"/>
      <c r="G850" s="53"/>
      <c r="H850" s="54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4"/>
    </row>
    <row r="851" spans="1:65" ht="12.75">
      <c r="A851" s="53"/>
      <c r="B851" s="53"/>
      <c r="C851" s="53"/>
      <c r="D851" s="54"/>
      <c r="E851" s="54"/>
      <c r="F851" s="53"/>
      <c r="G851" s="53"/>
      <c r="H851" s="54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4"/>
    </row>
    <row r="852" spans="1:65" ht="12.75">
      <c r="A852" s="53"/>
      <c r="B852" s="53"/>
      <c r="C852" s="53"/>
      <c r="D852" s="54"/>
      <c r="E852" s="54"/>
      <c r="F852" s="53"/>
      <c r="G852" s="53"/>
      <c r="H852" s="54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4"/>
    </row>
    <row r="853" spans="1:65" ht="12.75">
      <c r="A853" s="53"/>
      <c r="B853" s="53"/>
      <c r="C853" s="53"/>
      <c r="D853" s="54"/>
      <c r="E853" s="54"/>
      <c r="F853" s="53"/>
      <c r="G853" s="53"/>
      <c r="H853" s="54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4"/>
    </row>
    <row r="854" spans="1:65" ht="12.75">
      <c r="A854" s="53"/>
      <c r="B854" s="53"/>
      <c r="C854" s="53"/>
      <c r="D854" s="54"/>
      <c r="E854" s="54"/>
      <c r="F854" s="53"/>
      <c r="G854" s="53"/>
      <c r="H854" s="54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4"/>
    </row>
    <row r="855" spans="1:65" ht="12.75">
      <c r="A855" s="53"/>
      <c r="B855" s="53"/>
      <c r="C855" s="53"/>
      <c r="D855" s="54"/>
      <c r="E855" s="54"/>
      <c r="F855" s="53"/>
      <c r="G855" s="53"/>
      <c r="H855" s="54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4"/>
    </row>
    <row r="856" spans="1:65" ht="12.75">
      <c r="A856" s="53"/>
      <c r="B856" s="53"/>
      <c r="C856" s="53"/>
      <c r="D856" s="54"/>
      <c r="E856" s="54"/>
      <c r="F856" s="53"/>
      <c r="G856" s="53"/>
      <c r="H856" s="54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4"/>
    </row>
    <row r="857" spans="1:65" ht="12.75">
      <c r="A857" s="53"/>
      <c r="B857" s="53"/>
      <c r="C857" s="53"/>
      <c r="D857" s="54"/>
      <c r="E857" s="54"/>
      <c r="F857" s="53"/>
      <c r="G857" s="53"/>
      <c r="H857" s="54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4"/>
    </row>
    <row r="858" spans="1:65" ht="12.75">
      <c r="A858" s="53"/>
      <c r="B858" s="53"/>
      <c r="C858" s="53"/>
      <c r="D858" s="54"/>
      <c r="E858" s="54"/>
      <c r="F858" s="53"/>
      <c r="G858" s="53"/>
      <c r="H858" s="54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4"/>
    </row>
    <row r="859" spans="1:65" ht="12.75">
      <c r="A859" s="53"/>
      <c r="B859" s="53"/>
      <c r="C859" s="53"/>
      <c r="D859" s="54"/>
      <c r="E859" s="54"/>
      <c r="F859" s="53"/>
      <c r="G859" s="53"/>
      <c r="H859" s="54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4"/>
    </row>
    <row r="860" spans="1:65" ht="12.75">
      <c r="A860" s="53"/>
      <c r="B860" s="53"/>
      <c r="C860" s="53"/>
      <c r="D860" s="54"/>
      <c r="E860" s="54"/>
      <c r="F860" s="53"/>
      <c r="G860" s="53"/>
      <c r="H860" s="54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4"/>
    </row>
    <row r="861" spans="1:65" ht="12.75">
      <c r="A861" s="53"/>
      <c r="B861" s="53"/>
      <c r="C861" s="53"/>
      <c r="D861" s="54"/>
      <c r="E861" s="54"/>
      <c r="F861" s="53"/>
      <c r="G861" s="53"/>
      <c r="H861" s="54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4"/>
    </row>
    <row r="862" spans="1:65" ht="12.75">
      <c r="A862" s="53"/>
      <c r="B862" s="53"/>
      <c r="C862" s="53"/>
      <c r="D862" s="54"/>
      <c r="E862" s="54"/>
      <c r="F862" s="53"/>
      <c r="G862" s="53"/>
      <c r="H862" s="54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4"/>
    </row>
    <row r="863" spans="1:65" ht="12.75">
      <c r="A863" s="53"/>
      <c r="B863" s="53"/>
      <c r="C863" s="53"/>
      <c r="D863" s="54"/>
      <c r="E863" s="54"/>
      <c r="F863" s="53"/>
      <c r="G863" s="53"/>
      <c r="H863" s="54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4"/>
    </row>
    <row r="864" spans="1:65" ht="12.75">
      <c r="A864" s="53"/>
      <c r="B864" s="53"/>
      <c r="C864" s="53"/>
      <c r="D864" s="54"/>
      <c r="E864" s="54"/>
      <c r="F864" s="53"/>
      <c r="G864" s="53"/>
      <c r="H864" s="54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4"/>
    </row>
    <row r="865" spans="1:65" ht="12.75">
      <c r="A865" s="53"/>
      <c r="B865" s="53"/>
      <c r="C865" s="53"/>
      <c r="D865" s="54"/>
      <c r="E865" s="54"/>
      <c r="F865" s="53"/>
      <c r="G865" s="53"/>
      <c r="H865" s="54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4"/>
    </row>
    <row r="866" spans="1:65" ht="12.75">
      <c r="A866" s="53"/>
      <c r="B866" s="53"/>
      <c r="C866" s="53"/>
      <c r="D866" s="54"/>
      <c r="E866" s="54"/>
      <c r="F866" s="53"/>
      <c r="G866" s="53"/>
      <c r="H866" s="54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4"/>
    </row>
    <row r="867" spans="1:65" ht="12.75">
      <c r="A867" s="53"/>
      <c r="B867" s="53"/>
      <c r="C867" s="53"/>
      <c r="D867" s="54"/>
      <c r="E867" s="54"/>
      <c r="F867" s="53"/>
      <c r="G867" s="53"/>
      <c r="H867" s="54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4"/>
    </row>
    <row r="868" spans="1:65" ht="12.75">
      <c r="A868" s="53"/>
      <c r="B868" s="53"/>
      <c r="C868" s="53"/>
      <c r="D868" s="54"/>
      <c r="E868" s="54"/>
      <c r="F868" s="53"/>
      <c r="G868" s="53"/>
      <c r="H868" s="54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4"/>
    </row>
    <row r="869" spans="1:65" ht="12.75">
      <c r="A869" s="53"/>
      <c r="B869" s="53"/>
      <c r="C869" s="53"/>
      <c r="D869" s="54"/>
      <c r="E869" s="54"/>
      <c r="F869" s="53"/>
      <c r="G869" s="53"/>
      <c r="H869" s="54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4"/>
    </row>
    <row r="870" spans="1:65" ht="12.75">
      <c r="A870" s="53"/>
      <c r="B870" s="53"/>
      <c r="C870" s="53"/>
      <c r="D870" s="54"/>
      <c r="E870" s="54"/>
      <c r="F870" s="53"/>
      <c r="G870" s="53"/>
      <c r="H870" s="54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4"/>
    </row>
    <row r="871" spans="1:65" ht="12.75">
      <c r="A871" s="53"/>
      <c r="B871" s="53"/>
      <c r="C871" s="53"/>
      <c r="D871" s="54"/>
      <c r="E871" s="54"/>
      <c r="F871" s="53"/>
      <c r="G871" s="53"/>
      <c r="H871" s="54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4"/>
    </row>
    <row r="872" spans="1:65" ht="12.75">
      <c r="A872" s="53"/>
      <c r="B872" s="53"/>
      <c r="C872" s="53"/>
      <c r="D872" s="54"/>
      <c r="E872" s="54"/>
      <c r="F872" s="53"/>
      <c r="G872" s="53"/>
      <c r="H872" s="54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4"/>
    </row>
    <row r="873" spans="1:65" ht="12.75">
      <c r="A873" s="53"/>
      <c r="B873" s="53"/>
      <c r="C873" s="53"/>
      <c r="D873" s="54"/>
      <c r="E873" s="54"/>
      <c r="F873" s="53"/>
      <c r="G873" s="53"/>
      <c r="H873" s="54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4"/>
    </row>
    <row r="874" spans="1:65" ht="12.75">
      <c r="A874" s="53"/>
      <c r="B874" s="53"/>
      <c r="C874" s="53"/>
      <c r="D874" s="54"/>
      <c r="E874" s="54"/>
      <c r="F874" s="53"/>
      <c r="G874" s="53"/>
      <c r="H874" s="54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4"/>
    </row>
    <row r="875" spans="1:65" ht="12.75">
      <c r="A875" s="53"/>
      <c r="B875" s="53"/>
      <c r="C875" s="53"/>
      <c r="D875" s="54"/>
      <c r="E875" s="54"/>
      <c r="F875" s="53"/>
      <c r="G875" s="53"/>
      <c r="H875" s="54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4"/>
    </row>
    <row r="876" spans="1:65" ht="12.75">
      <c r="A876" s="53"/>
      <c r="B876" s="53"/>
      <c r="C876" s="53"/>
      <c r="D876" s="54"/>
      <c r="E876" s="54"/>
      <c r="F876" s="53"/>
      <c r="G876" s="53"/>
      <c r="H876" s="54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4"/>
    </row>
    <row r="877" spans="1:65" ht="12.75">
      <c r="A877" s="53"/>
      <c r="B877" s="53"/>
      <c r="C877" s="53"/>
      <c r="D877" s="54"/>
      <c r="E877" s="54"/>
      <c r="F877" s="53"/>
      <c r="G877" s="53"/>
      <c r="H877" s="54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4"/>
    </row>
    <row r="878" spans="1:65" ht="12.75">
      <c r="A878" s="53"/>
      <c r="B878" s="53"/>
      <c r="C878" s="53"/>
      <c r="D878" s="54"/>
      <c r="E878" s="54"/>
      <c r="F878" s="53"/>
      <c r="G878" s="53"/>
      <c r="H878" s="54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4"/>
    </row>
    <row r="879" spans="1:65" ht="12.75">
      <c r="A879" s="53"/>
      <c r="B879" s="53"/>
      <c r="C879" s="53"/>
      <c r="D879" s="54"/>
      <c r="E879" s="54"/>
      <c r="F879" s="53"/>
      <c r="G879" s="53"/>
      <c r="H879" s="54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4"/>
    </row>
    <row r="880" spans="1:65" ht="12.75">
      <c r="A880" s="53"/>
      <c r="B880" s="53"/>
      <c r="C880" s="53"/>
      <c r="D880" s="54"/>
      <c r="E880" s="54"/>
      <c r="F880" s="53"/>
      <c r="G880" s="53"/>
      <c r="H880" s="54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4"/>
    </row>
    <row r="881" spans="1:65" ht="12.75">
      <c r="A881" s="53"/>
      <c r="B881" s="53"/>
      <c r="C881" s="53"/>
      <c r="D881" s="54"/>
      <c r="E881" s="54"/>
      <c r="F881" s="53"/>
      <c r="G881" s="53"/>
      <c r="H881" s="54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4"/>
    </row>
    <row r="882" spans="1:65" ht="12.75">
      <c r="A882" s="53"/>
      <c r="B882" s="53"/>
      <c r="C882" s="53"/>
      <c r="D882" s="54"/>
      <c r="E882" s="54"/>
      <c r="F882" s="53"/>
      <c r="G882" s="53"/>
      <c r="H882" s="54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4"/>
    </row>
    <row r="883" spans="1:65" ht="12.75">
      <c r="A883" s="53"/>
      <c r="B883" s="53"/>
      <c r="C883" s="53"/>
      <c r="D883" s="54"/>
      <c r="E883" s="54"/>
      <c r="F883" s="53"/>
      <c r="G883" s="53"/>
      <c r="H883" s="54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4"/>
    </row>
    <row r="884" spans="1:65" ht="12.75">
      <c r="A884" s="53"/>
      <c r="B884" s="53"/>
      <c r="C884" s="53"/>
      <c r="D884" s="54"/>
      <c r="E884" s="54"/>
      <c r="F884" s="53"/>
      <c r="G884" s="53"/>
      <c r="H884" s="54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4"/>
    </row>
    <row r="885" spans="1:65" ht="12.75">
      <c r="A885" s="53"/>
      <c r="B885" s="53"/>
      <c r="C885" s="53"/>
      <c r="D885" s="54"/>
      <c r="E885" s="54"/>
      <c r="F885" s="53"/>
      <c r="G885" s="53"/>
      <c r="H885" s="54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4"/>
    </row>
    <row r="886" spans="1:65" ht="12.75">
      <c r="A886" s="53"/>
      <c r="B886" s="53"/>
      <c r="C886" s="53"/>
      <c r="D886" s="54"/>
      <c r="E886" s="54"/>
      <c r="F886" s="53"/>
      <c r="G886" s="53"/>
      <c r="H886" s="54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4"/>
    </row>
    <row r="887" spans="1:65" ht="12.75">
      <c r="A887" s="53"/>
      <c r="B887" s="53"/>
      <c r="C887" s="53"/>
      <c r="D887" s="54"/>
      <c r="E887" s="54"/>
      <c r="F887" s="53"/>
      <c r="G887" s="53"/>
      <c r="H887" s="54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4"/>
    </row>
    <row r="888" spans="1:65" ht="12.75">
      <c r="A888" s="53"/>
      <c r="B888" s="53"/>
      <c r="C888" s="53"/>
      <c r="D888" s="54"/>
      <c r="E888" s="54"/>
      <c r="F888" s="53"/>
      <c r="G888" s="53"/>
      <c r="H888" s="54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4"/>
    </row>
    <row r="889" spans="1:65" ht="12.75">
      <c r="A889" s="53"/>
      <c r="B889" s="53"/>
      <c r="C889" s="53"/>
      <c r="D889" s="54"/>
      <c r="E889" s="54"/>
      <c r="F889" s="53"/>
      <c r="G889" s="53"/>
      <c r="H889" s="54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4"/>
    </row>
    <row r="890" spans="1:65" ht="12.75">
      <c r="A890" s="53"/>
      <c r="B890" s="53"/>
      <c r="C890" s="53"/>
      <c r="D890" s="54"/>
      <c r="E890" s="54"/>
      <c r="F890" s="53"/>
      <c r="G890" s="53"/>
      <c r="H890" s="54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4"/>
    </row>
    <row r="891" spans="1:65" ht="12.75">
      <c r="A891" s="53"/>
      <c r="B891" s="53"/>
      <c r="C891" s="53"/>
      <c r="D891" s="54"/>
      <c r="E891" s="54"/>
      <c r="F891" s="53"/>
      <c r="G891" s="53"/>
      <c r="H891" s="54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4"/>
    </row>
    <row r="892" spans="1:65" ht="12.75">
      <c r="A892" s="53"/>
      <c r="B892" s="53"/>
      <c r="C892" s="53"/>
      <c r="D892" s="54"/>
      <c r="E892" s="54"/>
      <c r="F892" s="53"/>
      <c r="G892" s="53"/>
      <c r="H892" s="54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4"/>
    </row>
    <row r="893" spans="1:65" ht="12.75">
      <c r="A893" s="53"/>
      <c r="B893" s="53"/>
      <c r="C893" s="53"/>
      <c r="D893" s="54"/>
      <c r="E893" s="54"/>
      <c r="F893" s="53"/>
      <c r="G893" s="53"/>
      <c r="H893" s="54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4"/>
    </row>
    <row r="894" spans="1:65" ht="12.75">
      <c r="A894" s="53"/>
      <c r="B894" s="53"/>
      <c r="C894" s="53"/>
      <c r="D894" s="54"/>
      <c r="E894" s="54"/>
      <c r="F894" s="53"/>
      <c r="G894" s="53"/>
      <c r="H894" s="54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4"/>
    </row>
    <row r="895" spans="1:65" ht="12.75">
      <c r="A895" s="53"/>
      <c r="B895" s="53"/>
      <c r="C895" s="53"/>
      <c r="D895" s="54"/>
      <c r="E895" s="54"/>
      <c r="F895" s="53"/>
      <c r="G895" s="53"/>
      <c r="H895" s="54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4"/>
    </row>
    <row r="896" spans="1:65" ht="12.75">
      <c r="A896" s="53"/>
      <c r="B896" s="53"/>
      <c r="C896" s="53"/>
      <c r="D896" s="54"/>
      <c r="E896" s="54"/>
      <c r="F896" s="53"/>
      <c r="G896" s="53"/>
      <c r="H896" s="54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4"/>
    </row>
    <row r="897" spans="1:65" ht="12.75">
      <c r="A897" s="53"/>
      <c r="B897" s="53"/>
      <c r="C897" s="53"/>
      <c r="D897" s="54"/>
      <c r="E897" s="54"/>
      <c r="F897" s="53"/>
      <c r="G897" s="53"/>
      <c r="H897" s="54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4"/>
    </row>
    <row r="898" spans="1:65" ht="12.75">
      <c r="A898" s="53"/>
      <c r="B898" s="53"/>
      <c r="C898" s="53"/>
      <c r="D898" s="54"/>
      <c r="E898" s="54"/>
      <c r="F898" s="53"/>
      <c r="G898" s="53"/>
      <c r="H898" s="54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4"/>
    </row>
    <row r="899" spans="1:65" ht="12.75">
      <c r="A899" s="53"/>
      <c r="B899" s="53"/>
      <c r="C899" s="53"/>
      <c r="D899" s="54"/>
      <c r="E899" s="54"/>
      <c r="F899" s="53"/>
      <c r="G899" s="53"/>
      <c r="H899" s="54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4"/>
    </row>
    <row r="900" spans="1:65" ht="12.75">
      <c r="A900" s="53"/>
      <c r="B900" s="53"/>
      <c r="C900" s="53"/>
      <c r="D900" s="54"/>
      <c r="E900" s="54"/>
      <c r="F900" s="53"/>
      <c r="G900" s="53"/>
      <c r="H900" s="54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4"/>
    </row>
    <row r="901" spans="1:65" ht="12.75">
      <c r="A901" s="53"/>
      <c r="B901" s="53"/>
      <c r="C901" s="53"/>
      <c r="D901" s="54"/>
      <c r="E901" s="54"/>
      <c r="F901" s="53"/>
      <c r="G901" s="53"/>
      <c r="H901" s="54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4"/>
    </row>
    <row r="902" spans="1:65" ht="12.75">
      <c r="A902" s="53"/>
      <c r="B902" s="53"/>
      <c r="C902" s="53"/>
      <c r="D902" s="54"/>
      <c r="E902" s="54"/>
      <c r="F902" s="53"/>
      <c r="G902" s="53"/>
      <c r="H902" s="54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4"/>
    </row>
    <row r="903" spans="1:65" ht="12.75">
      <c r="A903" s="53"/>
      <c r="B903" s="53"/>
      <c r="C903" s="53"/>
      <c r="D903" s="54"/>
      <c r="E903" s="54"/>
      <c r="F903" s="53"/>
      <c r="G903" s="53"/>
      <c r="H903" s="54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4"/>
    </row>
    <row r="904" spans="1:65" ht="12.75">
      <c r="A904" s="53"/>
      <c r="B904" s="53"/>
      <c r="C904" s="53"/>
      <c r="D904" s="54"/>
      <c r="E904" s="54"/>
      <c r="F904" s="53"/>
      <c r="G904" s="53"/>
      <c r="H904" s="54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4"/>
    </row>
    <row r="905" spans="1:65" ht="12.75">
      <c r="A905" s="53"/>
      <c r="B905" s="53"/>
      <c r="C905" s="53"/>
      <c r="D905" s="54"/>
      <c r="E905" s="54"/>
      <c r="F905" s="53"/>
      <c r="G905" s="53"/>
      <c r="H905" s="54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4"/>
    </row>
    <row r="906" spans="1:65" ht="12.75">
      <c r="A906" s="53"/>
      <c r="B906" s="53"/>
      <c r="C906" s="53"/>
      <c r="D906" s="54"/>
      <c r="E906" s="54"/>
      <c r="F906" s="53"/>
      <c r="G906" s="53"/>
      <c r="H906" s="54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4"/>
    </row>
    <row r="907" spans="1:65" ht="12.75">
      <c r="A907" s="53"/>
      <c r="B907" s="53"/>
      <c r="C907" s="53"/>
      <c r="D907" s="54"/>
      <c r="E907" s="54"/>
      <c r="F907" s="53"/>
      <c r="G907" s="53"/>
      <c r="H907" s="54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4"/>
    </row>
    <row r="908" spans="1:65" ht="12.75">
      <c r="A908" s="53"/>
      <c r="B908" s="53"/>
      <c r="C908" s="53"/>
      <c r="D908" s="54"/>
      <c r="E908" s="54"/>
      <c r="F908" s="53"/>
      <c r="G908" s="53"/>
      <c r="H908" s="54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4"/>
    </row>
    <row r="909" spans="1:65" ht="12.75">
      <c r="A909" s="53"/>
      <c r="B909" s="53"/>
      <c r="C909" s="53"/>
      <c r="D909" s="54"/>
      <c r="E909" s="54"/>
      <c r="F909" s="53"/>
      <c r="G909" s="53"/>
      <c r="H909" s="54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4"/>
    </row>
    <row r="910" spans="1:65" ht="12.75">
      <c r="A910" s="53"/>
      <c r="B910" s="53"/>
      <c r="C910" s="53"/>
      <c r="D910" s="54"/>
      <c r="E910" s="54"/>
      <c r="F910" s="53"/>
      <c r="G910" s="53"/>
      <c r="H910" s="54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4"/>
    </row>
    <row r="911" spans="1:65" ht="12.75">
      <c r="A911" s="53"/>
      <c r="B911" s="53"/>
      <c r="C911" s="53"/>
      <c r="D911" s="54"/>
      <c r="E911" s="54"/>
      <c r="F911" s="53"/>
      <c r="G911" s="53"/>
      <c r="H911" s="54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4"/>
    </row>
    <row r="912" spans="1:65" ht="12.75">
      <c r="A912" s="53"/>
      <c r="B912" s="53"/>
      <c r="C912" s="53"/>
      <c r="D912" s="54"/>
      <c r="E912" s="54"/>
      <c r="F912" s="53"/>
      <c r="G912" s="53"/>
      <c r="H912" s="54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4"/>
    </row>
    <row r="913" spans="1:65" ht="12.75">
      <c r="A913" s="53"/>
      <c r="B913" s="53"/>
      <c r="C913" s="53"/>
      <c r="D913" s="54"/>
      <c r="E913" s="54"/>
      <c r="F913" s="53"/>
      <c r="G913" s="53"/>
      <c r="H913" s="54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4"/>
    </row>
    <row r="914" spans="1:65" ht="12.75">
      <c r="A914" s="53"/>
      <c r="B914" s="53"/>
      <c r="C914" s="53"/>
      <c r="D914" s="54"/>
      <c r="E914" s="54"/>
      <c r="F914" s="53"/>
      <c r="G914" s="53"/>
      <c r="H914" s="54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4"/>
    </row>
    <row r="915" spans="1:65" ht="12.75">
      <c r="A915" s="53"/>
      <c r="B915" s="53"/>
      <c r="C915" s="53"/>
      <c r="D915" s="54"/>
      <c r="E915" s="54"/>
      <c r="F915" s="53"/>
      <c r="G915" s="53"/>
      <c r="H915" s="54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4"/>
    </row>
    <row r="916" spans="1:65" ht="12.75">
      <c r="A916" s="53"/>
      <c r="B916" s="53"/>
      <c r="C916" s="53"/>
      <c r="D916" s="54"/>
      <c r="E916" s="54"/>
      <c r="F916" s="53"/>
      <c r="G916" s="53"/>
      <c r="H916" s="54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4"/>
    </row>
    <row r="917" spans="1:65" ht="12.75">
      <c r="A917" s="53"/>
      <c r="B917" s="53"/>
      <c r="C917" s="53"/>
      <c r="D917" s="54"/>
      <c r="E917" s="54"/>
      <c r="F917" s="53"/>
      <c r="G917" s="53"/>
      <c r="H917" s="54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4"/>
    </row>
    <row r="918" spans="1:65" ht="12.75">
      <c r="A918" s="53"/>
      <c r="B918" s="53"/>
      <c r="C918" s="53"/>
      <c r="D918" s="54"/>
      <c r="E918" s="54"/>
      <c r="F918" s="53"/>
      <c r="G918" s="53"/>
      <c r="H918" s="54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4"/>
    </row>
    <row r="919" spans="1:65" ht="12.75">
      <c r="A919" s="53"/>
      <c r="B919" s="53"/>
      <c r="C919" s="53"/>
      <c r="D919" s="54"/>
      <c r="E919" s="54"/>
      <c r="F919" s="53"/>
      <c r="G919" s="53"/>
      <c r="H919" s="54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4"/>
    </row>
    <row r="920" spans="1:65" ht="12.75">
      <c r="A920" s="53"/>
      <c r="B920" s="53"/>
      <c r="C920" s="53"/>
      <c r="D920" s="54"/>
      <c r="E920" s="54"/>
      <c r="F920" s="53"/>
      <c r="G920" s="53"/>
      <c r="H920" s="54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4"/>
    </row>
    <row r="921" spans="1:65" ht="12.75">
      <c r="A921" s="53"/>
      <c r="B921" s="53"/>
      <c r="C921" s="53"/>
      <c r="D921" s="54"/>
      <c r="E921" s="54"/>
      <c r="F921" s="53"/>
      <c r="G921" s="53"/>
      <c r="H921" s="54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4"/>
    </row>
    <row r="922" spans="1:65" ht="12.75">
      <c r="A922" s="53"/>
      <c r="B922" s="53"/>
      <c r="C922" s="53"/>
      <c r="D922" s="54"/>
      <c r="E922" s="54"/>
      <c r="F922" s="53"/>
      <c r="G922" s="53"/>
      <c r="H922" s="54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4"/>
    </row>
    <row r="923" spans="1:65" ht="12.75">
      <c r="A923" s="53"/>
      <c r="B923" s="53"/>
      <c r="C923" s="53"/>
      <c r="D923" s="54"/>
      <c r="E923" s="54"/>
      <c r="F923" s="53"/>
      <c r="G923" s="53"/>
      <c r="H923" s="54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4"/>
    </row>
    <row r="924" spans="1:65" ht="12.75">
      <c r="A924" s="53"/>
      <c r="B924" s="53"/>
      <c r="C924" s="53"/>
      <c r="D924" s="54"/>
      <c r="E924" s="54"/>
      <c r="F924" s="53"/>
      <c r="G924" s="53"/>
      <c r="H924" s="54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4"/>
    </row>
    <row r="925" spans="1:65" ht="12.75">
      <c r="A925" s="53"/>
      <c r="B925" s="53"/>
      <c r="C925" s="53"/>
      <c r="D925" s="54"/>
      <c r="E925" s="54"/>
      <c r="F925" s="53"/>
      <c r="G925" s="53"/>
      <c r="H925" s="54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4"/>
    </row>
    <row r="926" spans="1:65" ht="12.75">
      <c r="A926" s="53"/>
      <c r="B926" s="53"/>
      <c r="C926" s="53"/>
      <c r="D926" s="54"/>
      <c r="E926" s="54"/>
      <c r="F926" s="53"/>
      <c r="G926" s="53"/>
      <c r="H926" s="54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4"/>
    </row>
    <row r="927" spans="1:65" ht="12.75">
      <c r="A927" s="53"/>
      <c r="B927" s="53"/>
      <c r="C927" s="53"/>
      <c r="D927" s="54"/>
      <c r="E927" s="54"/>
      <c r="F927" s="53"/>
      <c r="G927" s="53"/>
      <c r="H927" s="54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4"/>
    </row>
    <row r="928" spans="1:65" ht="12.75">
      <c r="A928" s="53"/>
      <c r="B928" s="53"/>
      <c r="C928" s="53"/>
      <c r="D928" s="54"/>
      <c r="E928" s="54"/>
      <c r="F928" s="53"/>
      <c r="G928" s="53"/>
      <c r="H928" s="54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4"/>
    </row>
    <row r="929" spans="1:65" ht="12.75">
      <c r="A929" s="53"/>
      <c r="B929" s="53"/>
      <c r="C929" s="53"/>
      <c r="D929" s="54"/>
      <c r="E929" s="54"/>
      <c r="F929" s="53"/>
      <c r="G929" s="53"/>
      <c r="H929" s="54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4"/>
    </row>
    <row r="930" spans="1:65" ht="12.75">
      <c r="A930" s="53"/>
      <c r="B930" s="53"/>
      <c r="C930" s="53"/>
      <c r="D930" s="54"/>
      <c r="E930" s="54"/>
      <c r="F930" s="53"/>
      <c r="G930" s="53"/>
      <c r="H930" s="54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4"/>
    </row>
    <row r="931" spans="1:65" ht="12.75">
      <c r="A931" s="53"/>
      <c r="B931" s="53"/>
      <c r="C931" s="53"/>
      <c r="D931" s="54"/>
      <c r="E931" s="54"/>
      <c r="F931" s="53"/>
      <c r="G931" s="53"/>
      <c r="H931" s="54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4"/>
    </row>
    <row r="932" spans="1:65" ht="12.75">
      <c r="A932" s="53"/>
      <c r="B932" s="53"/>
      <c r="C932" s="53"/>
      <c r="D932" s="54"/>
      <c r="E932" s="54"/>
      <c r="F932" s="53"/>
      <c r="G932" s="53"/>
      <c r="H932" s="54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4"/>
    </row>
    <row r="933" spans="1:65" ht="12.75">
      <c r="A933" s="53"/>
      <c r="B933" s="53"/>
      <c r="C933" s="53"/>
      <c r="D933" s="54"/>
      <c r="E933" s="54"/>
      <c r="F933" s="53"/>
      <c r="G933" s="53"/>
      <c r="H933" s="54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4"/>
    </row>
    <row r="934" spans="1:65" ht="12.75">
      <c r="A934" s="53"/>
      <c r="B934" s="53"/>
      <c r="C934" s="53"/>
      <c r="D934" s="54"/>
      <c r="E934" s="54"/>
      <c r="F934" s="53"/>
      <c r="G934" s="53"/>
      <c r="H934" s="54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4"/>
    </row>
    <row r="935" spans="1:65" ht="12.75">
      <c r="A935" s="53"/>
      <c r="B935" s="53"/>
      <c r="C935" s="53"/>
      <c r="D935" s="54"/>
      <c r="E935" s="54"/>
      <c r="F935" s="53"/>
      <c r="G935" s="53"/>
      <c r="H935" s="54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4"/>
    </row>
    <row r="936" spans="1:65" ht="12.75">
      <c r="A936" s="53"/>
      <c r="B936" s="53"/>
      <c r="C936" s="53"/>
      <c r="D936" s="54"/>
      <c r="E936" s="54"/>
      <c r="F936" s="53"/>
      <c r="G936" s="53"/>
      <c r="H936" s="54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4"/>
    </row>
    <row r="937" spans="1:65" ht="12.75">
      <c r="A937" s="53"/>
      <c r="B937" s="53"/>
      <c r="C937" s="53"/>
      <c r="D937" s="54"/>
      <c r="E937" s="54"/>
      <c r="F937" s="53"/>
      <c r="G937" s="53"/>
      <c r="H937" s="54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4"/>
    </row>
    <row r="938" spans="1:65" ht="12.75">
      <c r="A938" s="53"/>
      <c r="B938" s="53"/>
      <c r="C938" s="53"/>
      <c r="D938" s="54"/>
      <c r="E938" s="54"/>
      <c r="F938" s="53"/>
      <c r="G938" s="53"/>
      <c r="H938" s="54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4"/>
    </row>
    <row r="939" spans="1:65" ht="12.75">
      <c r="A939" s="53"/>
      <c r="B939" s="53"/>
      <c r="C939" s="53"/>
      <c r="D939" s="54"/>
      <c r="E939" s="54"/>
      <c r="F939" s="53"/>
      <c r="G939" s="53"/>
      <c r="H939" s="54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4"/>
    </row>
    <row r="940" spans="1:65" ht="12.75">
      <c r="A940" s="53"/>
      <c r="B940" s="53"/>
      <c r="C940" s="53"/>
      <c r="D940" s="54"/>
      <c r="E940" s="54"/>
      <c r="F940" s="53"/>
      <c r="G940" s="53"/>
      <c r="H940" s="54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4"/>
    </row>
    <row r="941" spans="1:65" ht="12.75">
      <c r="A941" s="53"/>
      <c r="B941" s="53"/>
      <c r="C941" s="53"/>
      <c r="D941" s="54"/>
      <c r="E941" s="54"/>
      <c r="F941" s="53"/>
      <c r="G941" s="53"/>
      <c r="H941" s="54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4"/>
    </row>
    <row r="942" spans="1:65" ht="12.75">
      <c r="A942" s="53"/>
      <c r="B942" s="53"/>
      <c r="C942" s="53"/>
      <c r="D942" s="54"/>
      <c r="E942" s="54"/>
      <c r="F942" s="53"/>
      <c r="G942" s="53"/>
      <c r="H942" s="54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4"/>
    </row>
    <row r="943" spans="1:65" ht="12.75">
      <c r="A943" s="53"/>
      <c r="B943" s="53"/>
      <c r="C943" s="53"/>
      <c r="D943" s="54"/>
      <c r="E943" s="54"/>
      <c r="F943" s="53"/>
      <c r="G943" s="53"/>
      <c r="H943" s="54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4"/>
    </row>
    <row r="944" spans="1:65" ht="12.75">
      <c r="A944" s="53"/>
      <c r="B944" s="53"/>
      <c r="C944" s="53"/>
      <c r="D944" s="54"/>
      <c r="E944" s="54"/>
      <c r="F944" s="53"/>
      <c r="G944" s="53"/>
      <c r="H944" s="54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4"/>
    </row>
    <row r="945" spans="1:65" ht="12.75">
      <c r="A945" s="53"/>
      <c r="B945" s="53"/>
      <c r="C945" s="53"/>
      <c r="D945" s="54"/>
      <c r="E945" s="54"/>
      <c r="F945" s="53"/>
      <c r="G945" s="53"/>
      <c r="H945" s="54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4"/>
    </row>
    <row r="946" spans="1:65" ht="12.75">
      <c r="A946" s="53"/>
      <c r="B946" s="53"/>
      <c r="C946" s="53"/>
      <c r="D946" s="54"/>
      <c r="E946" s="54"/>
      <c r="F946" s="53"/>
      <c r="G946" s="53"/>
      <c r="H946" s="54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4"/>
    </row>
    <row r="947" spans="1:65" ht="12.75">
      <c r="A947" s="53"/>
      <c r="B947" s="53"/>
      <c r="C947" s="53"/>
      <c r="D947" s="54"/>
      <c r="E947" s="54"/>
      <c r="F947" s="53"/>
      <c r="G947" s="53"/>
      <c r="H947" s="54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4"/>
    </row>
    <row r="948" spans="1:65" ht="12.75">
      <c r="A948" s="53"/>
      <c r="B948" s="53"/>
      <c r="C948" s="53"/>
      <c r="D948" s="54"/>
      <c r="E948" s="54"/>
      <c r="F948" s="53"/>
      <c r="G948" s="53"/>
      <c r="H948" s="54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4"/>
    </row>
    <row r="949" spans="1:65" ht="12.75">
      <c r="A949" s="53"/>
      <c r="B949" s="53"/>
      <c r="C949" s="53"/>
      <c r="D949" s="54"/>
      <c r="E949" s="54"/>
      <c r="F949" s="53"/>
      <c r="G949" s="53"/>
      <c r="H949" s="54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4"/>
    </row>
    <row r="950" spans="1:65" ht="12.75">
      <c r="A950" s="53"/>
      <c r="B950" s="53"/>
      <c r="C950" s="53"/>
      <c r="D950" s="54"/>
      <c r="E950" s="54"/>
      <c r="F950" s="53"/>
      <c r="G950" s="53"/>
      <c r="H950" s="54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4"/>
    </row>
    <row r="951" spans="1:65" ht="12.75">
      <c r="A951" s="53"/>
      <c r="B951" s="53"/>
      <c r="C951" s="53"/>
      <c r="D951" s="54"/>
      <c r="E951" s="54"/>
      <c r="F951" s="53"/>
      <c r="G951" s="53"/>
      <c r="H951" s="54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4"/>
    </row>
    <row r="952" spans="1:65" ht="12.75">
      <c r="A952" s="53"/>
      <c r="B952" s="53"/>
      <c r="C952" s="53"/>
      <c r="D952" s="54"/>
      <c r="E952" s="54"/>
      <c r="F952" s="53"/>
      <c r="G952" s="53"/>
      <c r="H952" s="54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4"/>
    </row>
    <row r="953" spans="1:65" ht="12.75">
      <c r="A953" s="53"/>
      <c r="B953" s="53"/>
      <c r="C953" s="53"/>
      <c r="D953" s="54"/>
      <c r="E953" s="54"/>
      <c r="F953" s="53"/>
      <c r="G953" s="53"/>
      <c r="H953" s="54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4"/>
    </row>
    <row r="954" spans="1:65" ht="12.75">
      <c r="A954" s="53"/>
      <c r="B954" s="53"/>
      <c r="C954" s="53"/>
      <c r="D954" s="54"/>
      <c r="E954" s="54"/>
      <c r="F954" s="53"/>
      <c r="G954" s="53"/>
      <c r="H954" s="54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4"/>
    </row>
    <row r="955" spans="1:65" ht="12.75">
      <c r="A955" s="53"/>
      <c r="B955" s="53"/>
      <c r="C955" s="53"/>
      <c r="D955" s="54"/>
      <c r="E955" s="54"/>
      <c r="F955" s="53"/>
      <c r="G955" s="53"/>
      <c r="H955" s="54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4"/>
    </row>
    <row r="956" spans="1:65" ht="12.75">
      <c r="A956" s="53"/>
      <c r="B956" s="53"/>
      <c r="C956" s="53"/>
      <c r="D956" s="54"/>
      <c r="E956" s="54"/>
      <c r="F956" s="53"/>
      <c r="G956" s="53"/>
      <c r="H956" s="54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4"/>
    </row>
    <row r="957" spans="1:65" ht="12.75">
      <c r="A957" s="53"/>
      <c r="B957" s="53"/>
      <c r="C957" s="53"/>
      <c r="D957" s="54"/>
      <c r="E957" s="54"/>
      <c r="F957" s="53"/>
      <c r="G957" s="53"/>
      <c r="H957" s="54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4"/>
    </row>
    <row r="958" spans="1:65" ht="12.75">
      <c r="A958" s="53"/>
      <c r="B958" s="53"/>
      <c r="C958" s="53"/>
      <c r="D958" s="54"/>
      <c r="E958" s="54"/>
      <c r="F958" s="53"/>
      <c r="G958" s="53"/>
      <c r="H958" s="54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4"/>
    </row>
    <row r="959" spans="1:65" ht="12.75">
      <c r="A959" s="53"/>
      <c r="B959" s="53"/>
      <c r="C959" s="53"/>
      <c r="D959" s="54"/>
      <c r="E959" s="54"/>
      <c r="F959" s="53"/>
      <c r="G959" s="53"/>
      <c r="H959" s="54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4"/>
    </row>
    <row r="960" spans="1:65" ht="12.75">
      <c r="A960" s="53"/>
      <c r="B960" s="53"/>
      <c r="C960" s="53"/>
      <c r="D960" s="54"/>
      <c r="E960" s="54"/>
      <c r="F960" s="53"/>
      <c r="G960" s="53"/>
      <c r="H960" s="54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4"/>
    </row>
    <row r="961" spans="1:65" ht="12.75">
      <c r="A961" s="53"/>
      <c r="B961" s="53"/>
      <c r="C961" s="53"/>
      <c r="D961" s="54"/>
      <c r="E961" s="54"/>
      <c r="F961" s="53"/>
      <c r="G961" s="53"/>
      <c r="H961" s="54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4"/>
    </row>
    <row r="962" spans="1:65" ht="12.75">
      <c r="A962" s="53"/>
      <c r="B962" s="53"/>
      <c r="C962" s="53"/>
      <c r="D962" s="54"/>
      <c r="E962" s="54"/>
      <c r="F962" s="53"/>
      <c r="G962" s="53"/>
      <c r="H962" s="54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4"/>
    </row>
    <row r="963" spans="1:65" ht="12.75">
      <c r="A963" s="53"/>
      <c r="B963" s="53"/>
      <c r="C963" s="53"/>
      <c r="D963" s="54"/>
      <c r="E963" s="54"/>
      <c r="F963" s="53"/>
      <c r="G963" s="53"/>
      <c r="H963" s="54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4"/>
    </row>
    <row r="964" spans="1:65" ht="12.75">
      <c r="A964" s="53"/>
      <c r="B964" s="53"/>
      <c r="C964" s="53"/>
      <c r="D964" s="54"/>
      <c r="E964" s="54"/>
      <c r="F964" s="53"/>
      <c r="G964" s="53"/>
      <c r="H964" s="54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4"/>
    </row>
    <row r="965" spans="1:65" ht="12.75">
      <c r="A965" s="53"/>
      <c r="B965" s="53"/>
      <c r="C965" s="53"/>
      <c r="D965" s="54"/>
      <c r="E965" s="54"/>
      <c r="F965" s="53"/>
      <c r="G965" s="53"/>
      <c r="H965" s="54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4"/>
    </row>
    <row r="966" spans="1:65" ht="12.75">
      <c r="A966" s="53"/>
      <c r="B966" s="53"/>
      <c r="C966" s="53"/>
      <c r="D966" s="54"/>
      <c r="E966" s="54"/>
      <c r="F966" s="53"/>
      <c r="G966" s="53"/>
      <c r="H966" s="54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4"/>
    </row>
    <row r="967" spans="1:65" ht="12.75">
      <c r="A967" s="53"/>
      <c r="B967" s="53"/>
      <c r="C967" s="53"/>
      <c r="D967" s="54"/>
      <c r="E967" s="54"/>
      <c r="F967" s="53"/>
      <c r="G967" s="53"/>
      <c r="H967" s="54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4"/>
    </row>
    <row r="968" spans="1:65" ht="12.75">
      <c r="A968" s="53"/>
      <c r="B968" s="53"/>
      <c r="C968" s="53"/>
      <c r="D968" s="54"/>
      <c r="E968" s="54"/>
      <c r="F968" s="53"/>
      <c r="G968" s="53"/>
      <c r="H968" s="54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4"/>
    </row>
    <row r="969" spans="1:65" ht="12.75">
      <c r="A969" s="53"/>
      <c r="B969" s="53"/>
      <c r="C969" s="53"/>
      <c r="D969" s="54"/>
      <c r="E969" s="54"/>
      <c r="F969" s="53"/>
      <c r="G969" s="53"/>
      <c r="H969" s="54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4"/>
    </row>
    <row r="970" spans="1:65" ht="12.75">
      <c r="A970" s="53"/>
      <c r="B970" s="53"/>
      <c r="C970" s="53"/>
      <c r="D970" s="54"/>
      <c r="E970" s="54"/>
      <c r="F970" s="53"/>
      <c r="G970" s="53"/>
      <c r="H970" s="54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4"/>
    </row>
    <row r="971" spans="1:65" ht="12.75">
      <c r="A971" s="53"/>
      <c r="B971" s="53"/>
      <c r="C971" s="53"/>
      <c r="D971" s="54"/>
      <c r="E971" s="54"/>
      <c r="F971" s="53"/>
      <c r="G971" s="53"/>
      <c r="H971" s="54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4"/>
    </row>
    <row r="972" spans="1:65" ht="12.75">
      <c r="A972" s="53"/>
      <c r="B972" s="53"/>
      <c r="C972" s="53"/>
      <c r="D972" s="54"/>
      <c r="E972" s="54"/>
      <c r="F972" s="53"/>
      <c r="G972" s="53"/>
      <c r="H972" s="54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4"/>
    </row>
    <row r="973" spans="1:65" ht="12.75">
      <c r="A973" s="53"/>
      <c r="B973" s="53"/>
      <c r="C973" s="53"/>
      <c r="D973" s="54"/>
      <c r="E973" s="54"/>
      <c r="F973" s="53"/>
      <c r="G973" s="53"/>
      <c r="H973" s="54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4"/>
    </row>
    <row r="974" spans="1:65" ht="12.75">
      <c r="A974" s="53"/>
      <c r="B974" s="53"/>
      <c r="C974" s="53"/>
      <c r="D974" s="54"/>
      <c r="E974" s="54"/>
      <c r="F974" s="53"/>
      <c r="G974" s="53"/>
      <c r="H974" s="54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4"/>
    </row>
    <row r="975" spans="1:65" ht="12.75">
      <c r="A975" s="53"/>
      <c r="B975" s="53"/>
      <c r="C975" s="53"/>
      <c r="D975" s="54"/>
      <c r="E975" s="54"/>
      <c r="F975" s="53"/>
      <c r="G975" s="53"/>
      <c r="H975" s="54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4"/>
    </row>
    <row r="976" spans="1:65" ht="12.75">
      <c r="A976" s="53"/>
      <c r="B976" s="53"/>
      <c r="C976" s="53"/>
      <c r="D976" s="54"/>
      <c r="E976" s="54"/>
      <c r="F976" s="53"/>
      <c r="G976" s="53"/>
      <c r="H976" s="54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4"/>
    </row>
    <row r="977" spans="1:65" ht="12.75">
      <c r="A977" s="53"/>
      <c r="B977" s="53"/>
      <c r="C977" s="53"/>
      <c r="D977" s="54"/>
      <c r="E977" s="54"/>
      <c r="F977" s="53"/>
      <c r="G977" s="53"/>
      <c r="H977" s="54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4"/>
    </row>
    <row r="978" spans="1:65" ht="12.75">
      <c r="A978" s="53"/>
      <c r="B978" s="53"/>
      <c r="C978" s="53"/>
      <c r="D978" s="54"/>
      <c r="E978" s="54"/>
      <c r="F978" s="53"/>
      <c r="G978" s="53"/>
      <c r="H978" s="54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4"/>
    </row>
    <row r="979" spans="1:65" ht="12.75">
      <c r="A979" s="53"/>
      <c r="B979" s="53"/>
      <c r="C979" s="53"/>
      <c r="D979" s="54"/>
      <c r="E979" s="54"/>
      <c r="F979" s="53"/>
      <c r="G979" s="53"/>
      <c r="H979" s="54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4"/>
    </row>
    <row r="980" spans="1:65" ht="12.75">
      <c r="A980" s="53"/>
      <c r="B980" s="53"/>
      <c r="C980" s="53"/>
      <c r="D980" s="54"/>
      <c r="E980" s="54"/>
      <c r="F980" s="53"/>
      <c r="G980" s="53"/>
      <c r="H980" s="54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4"/>
    </row>
    <row r="981" spans="1:65" ht="12.75">
      <c r="A981" s="53"/>
      <c r="B981" s="53"/>
      <c r="C981" s="53"/>
      <c r="D981" s="54"/>
      <c r="E981" s="54"/>
      <c r="F981" s="53"/>
      <c r="G981" s="53"/>
      <c r="H981" s="54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4"/>
    </row>
    <row r="982" spans="1:65" ht="12.75">
      <c r="A982" s="53"/>
      <c r="B982" s="53"/>
      <c r="C982" s="53"/>
      <c r="D982" s="54"/>
      <c r="E982" s="54"/>
      <c r="F982" s="53"/>
      <c r="G982" s="53"/>
      <c r="H982" s="54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4"/>
    </row>
    <row r="983" spans="1:65" ht="12.75">
      <c r="A983" s="53"/>
      <c r="B983" s="53"/>
      <c r="C983" s="53"/>
      <c r="D983" s="54"/>
      <c r="E983" s="54"/>
      <c r="F983" s="53"/>
      <c r="G983" s="53"/>
      <c r="H983" s="54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4"/>
    </row>
    <row r="984" spans="1:65" ht="12.75">
      <c r="A984" s="53"/>
      <c r="B984" s="53"/>
      <c r="C984" s="53"/>
      <c r="D984" s="54"/>
      <c r="E984" s="54"/>
      <c r="F984" s="53"/>
      <c r="G984" s="53"/>
      <c r="H984" s="54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4"/>
    </row>
    <row r="985" spans="1:65" ht="12.75">
      <c r="A985" s="53"/>
      <c r="B985" s="53"/>
      <c r="C985" s="53"/>
      <c r="D985" s="54"/>
      <c r="E985" s="54"/>
      <c r="F985" s="53"/>
      <c r="G985" s="53"/>
      <c r="H985" s="54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4"/>
    </row>
    <row r="986" spans="1:65" ht="12.75">
      <c r="A986" s="53"/>
      <c r="B986" s="53"/>
      <c r="C986" s="53"/>
      <c r="D986" s="54"/>
      <c r="E986" s="54"/>
      <c r="F986" s="53"/>
      <c r="G986" s="53"/>
      <c r="H986" s="54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4"/>
    </row>
    <row r="987" spans="1:65" ht="12.75">
      <c r="A987" s="53"/>
      <c r="B987" s="53"/>
      <c r="C987" s="53"/>
      <c r="D987" s="54"/>
      <c r="E987" s="54"/>
      <c r="F987" s="53"/>
      <c r="G987" s="53"/>
      <c r="H987" s="54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4"/>
    </row>
    <row r="988" spans="1:65" ht="12.75">
      <c r="A988" s="53"/>
      <c r="B988" s="53"/>
      <c r="C988" s="53"/>
      <c r="D988" s="54"/>
      <c r="E988" s="54"/>
      <c r="F988" s="53"/>
      <c r="G988" s="53"/>
      <c r="H988" s="54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4"/>
    </row>
    <row r="989" spans="1:65" ht="12.75">
      <c r="A989" s="53"/>
      <c r="B989" s="53"/>
      <c r="C989" s="53"/>
      <c r="D989" s="54"/>
      <c r="E989" s="54"/>
      <c r="F989" s="53"/>
      <c r="G989" s="53"/>
      <c r="H989" s="54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4"/>
    </row>
    <row r="990" spans="1:65" ht="12.75">
      <c r="A990" s="53"/>
      <c r="B990" s="53"/>
      <c r="C990" s="53"/>
      <c r="D990" s="54"/>
      <c r="E990" s="54"/>
      <c r="F990" s="53"/>
      <c r="G990" s="53"/>
      <c r="H990" s="54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4"/>
    </row>
    <row r="991" spans="1:65" ht="12.75">
      <c r="A991" s="53"/>
      <c r="B991" s="53"/>
      <c r="C991" s="53"/>
      <c r="D991" s="54"/>
      <c r="E991" s="54"/>
      <c r="F991" s="53"/>
      <c r="G991" s="53"/>
      <c r="H991" s="54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4"/>
    </row>
    <row r="992" spans="1:65" ht="12.75">
      <c r="A992" s="53"/>
      <c r="B992" s="53"/>
      <c r="C992" s="53"/>
      <c r="D992" s="54"/>
      <c r="E992" s="54"/>
      <c r="F992" s="53"/>
      <c r="G992" s="53"/>
      <c r="H992" s="54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4"/>
    </row>
    <row r="993" spans="1:65" ht="12.75">
      <c r="A993" s="53"/>
      <c r="B993" s="53"/>
      <c r="C993" s="53"/>
      <c r="D993" s="54"/>
      <c r="E993" s="54"/>
      <c r="F993" s="53"/>
      <c r="G993" s="53"/>
      <c r="H993" s="54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4"/>
    </row>
    <row r="994" spans="1:65" ht="12.75">
      <c r="A994" s="53"/>
      <c r="B994" s="53"/>
      <c r="C994" s="53"/>
      <c r="D994" s="54"/>
      <c r="E994" s="54"/>
      <c r="F994" s="53"/>
      <c r="G994" s="53"/>
      <c r="H994" s="54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4"/>
    </row>
    <row r="995" spans="1:65" ht="12.75">
      <c r="A995" s="53"/>
      <c r="B995" s="53"/>
      <c r="C995" s="53"/>
      <c r="D995" s="54"/>
      <c r="E995" s="54"/>
      <c r="F995" s="53"/>
      <c r="G995" s="53"/>
      <c r="H995" s="54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4"/>
    </row>
    <row r="996" spans="1:65" ht="12.75">
      <c r="A996" s="53"/>
      <c r="B996" s="53"/>
      <c r="C996" s="53"/>
      <c r="D996" s="54"/>
      <c r="E996" s="54"/>
      <c r="F996" s="53"/>
      <c r="G996" s="53"/>
      <c r="H996" s="54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4"/>
    </row>
    <row r="997" spans="1:65" ht="12.75">
      <c r="A997" s="53"/>
      <c r="B997" s="53"/>
      <c r="C997" s="53"/>
      <c r="D997" s="54"/>
      <c r="E997" s="54"/>
      <c r="F997" s="53"/>
      <c r="G997" s="53"/>
      <c r="H997" s="54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4"/>
    </row>
    <row r="998" spans="1:65" ht="12.75">
      <c r="A998" s="53"/>
      <c r="B998" s="53"/>
      <c r="C998" s="53"/>
      <c r="D998" s="54"/>
      <c r="E998" s="54"/>
      <c r="F998" s="53"/>
      <c r="G998" s="53"/>
      <c r="H998" s="54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4"/>
    </row>
    <row r="999" spans="1:65" ht="12.75">
      <c r="A999" s="53"/>
      <c r="B999" s="53"/>
      <c r="C999" s="53"/>
      <c r="D999" s="54"/>
      <c r="E999" s="54"/>
      <c r="F999" s="53"/>
      <c r="G999" s="53"/>
      <c r="H999" s="54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4"/>
    </row>
    <row r="1000" spans="1:65" ht="12.75">
      <c r="A1000" s="53"/>
      <c r="B1000" s="53"/>
      <c r="C1000" s="53"/>
      <c r="D1000" s="54"/>
      <c r="E1000" s="54"/>
      <c r="F1000" s="53"/>
      <c r="G1000" s="53"/>
      <c r="H1000" s="54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4"/>
    </row>
  </sheetData>
  <mergeCells count="14">
    <mergeCell ref="BE1:BF1"/>
    <mergeCell ref="BI1:BJ1"/>
    <mergeCell ref="I1:J1"/>
    <mergeCell ref="M1:N1"/>
    <mergeCell ref="Q1:R1"/>
    <mergeCell ref="U1:V1"/>
    <mergeCell ref="Y1:Z1"/>
    <mergeCell ref="AC1:AD1"/>
    <mergeCell ref="AG1:AH1"/>
    <mergeCell ref="AK1:AL1"/>
    <mergeCell ref="AO1:AP1"/>
    <mergeCell ref="AS1:AT1"/>
    <mergeCell ref="AW1:AX1"/>
    <mergeCell ref="BA1:B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124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3" sqref="I3"/>
    </sheetView>
  </sheetViews>
  <sheetFormatPr defaultColWidth="12.5703125" defaultRowHeight="15.75" customHeight="1"/>
  <cols>
    <col min="1" max="1" width="4.5703125" customWidth="1"/>
    <col min="2" max="2" width="5.140625" customWidth="1"/>
    <col min="3" max="3" width="6.140625" customWidth="1"/>
    <col min="4" max="4" width="19.5703125" customWidth="1"/>
    <col min="5" max="7" width="4.42578125" customWidth="1"/>
    <col min="8" max="8" width="23.85546875" customWidth="1"/>
    <col min="9" max="36" width="6.42578125" customWidth="1"/>
  </cols>
  <sheetData>
    <row r="1" spans="1:36" ht="27.75" customHeight="1">
      <c r="A1" s="81" t="str">
        <f>CALENDARIO!A1</f>
        <v>Jogo</v>
      </c>
      <c r="B1" s="83" t="str">
        <f>CALENDARIO!B1</f>
        <v>Data</v>
      </c>
      <c r="C1" s="83" t="str">
        <f>CALENDARIO!C1</f>
        <v>Hora</v>
      </c>
      <c r="D1" s="83" t="str">
        <f>CALENDARIO!D1</f>
        <v>Time 1</v>
      </c>
      <c r="E1" s="81"/>
      <c r="F1" s="83" t="str">
        <f>CALENDARIO!F1</f>
        <v>x</v>
      </c>
      <c r="G1" s="83"/>
      <c r="H1" s="83" t="str">
        <f>CALENDARIO!H1</f>
        <v>Time 2</v>
      </c>
      <c r="I1" s="84" t="str">
        <f>CONFIG!A2</f>
        <v>ALICE</v>
      </c>
      <c r="J1" s="85"/>
      <c r="K1" s="86" t="str">
        <f>CONFIG!A3</f>
        <v>ANNE</v>
      </c>
      <c r="L1" s="85"/>
      <c r="M1" s="84" t="str">
        <f>CONFIG!A4</f>
        <v>CARLINHOS</v>
      </c>
      <c r="N1" s="85"/>
      <c r="O1" s="86" t="str">
        <f>CONFIG!A5</f>
        <v>DEDE</v>
      </c>
      <c r="P1" s="85"/>
      <c r="Q1" s="84" t="str">
        <f>CONFIG!A6</f>
        <v>ERIKA</v>
      </c>
      <c r="R1" s="85"/>
      <c r="S1" s="86" t="str">
        <f>CONFIG!A7</f>
        <v>GUTO</v>
      </c>
      <c r="T1" s="85"/>
      <c r="U1" s="84" t="str">
        <f>CONFIG!A8</f>
        <v>HELENA</v>
      </c>
      <c r="V1" s="85"/>
      <c r="W1" s="86" t="str">
        <f>CONFIG!A9</f>
        <v>JULIA</v>
      </c>
      <c r="X1" s="85"/>
      <c r="Y1" s="84" t="str">
        <f>CONFIG!A10</f>
        <v>KANOO</v>
      </c>
      <c r="Z1" s="85"/>
      <c r="AA1" s="86" t="str">
        <f>CONFIG!A11</f>
        <v>KATIA</v>
      </c>
      <c r="AB1" s="85"/>
      <c r="AC1" s="84" t="str">
        <f>CONFIG!A12</f>
        <v>RAFA</v>
      </c>
      <c r="AD1" s="85"/>
      <c r="AE1" s="86" t="str">
        <f>CONFIG!A13</f>
        <v>RAQUEL</v>
      </c>
      <c r="AF1" s="85"/>
      <c r="AG1" s="84" t="str">
        <f>CONFIG!A14</f>
        <v>RENATO</v>
      </c>
      <c r="AH1" s="85"/>
      <c r="AI1" s="86" t="str">
        <f>CONFIG!A15</f>
        <v>ZE</v>
      </c>
      <c r="AJ1" s="85"/>
    </row>
    <row r="2" spans="1:36" ht="12.75">
      <c r="A2" s="82"/>
      <c r="B2" s="82"/>
      <c r="C2" s="82"/>
      <c r="D2" s="82"/>
      <c r="E2" s="82"/>
      <c r="F2" s="82"/>
      <c r="G2" s="82"/>
      <c r="H2" s="82"/>
      <c r="I2" s="56" t="s">
        <v>277</v>
      </c>
      <c r="J2" s="56" t="s">
        <v>278</v>
      </c>
      <c r="K2" s="57" t="s">
        <v>277</v>
      </c>
      <c r="L2" s="57" t="s">
        <v>278</v>
      </c>
      <c r="M2" s="56" t="s">
        <v>277</v>
      </c>
      <c r="N2" s="56" t="s">
        <v>278</v>
      </c>
      <c r="O2" s="57" t="s">
        <v>277</v>
      </c>
      <c r="P2" s="57" t="s">
        <v>278</v>
      </c>
      <c r="Q2" s="56" t="s">
        <v>277</v>
      </c>
      <c r="R2" s="56" t="s">
        <v>278</v>
      </c>
      <c r="S2" s="57" t="s">
        <v>277</v>
      </c>
      <c r="T2" s="57" t="s">
        <v>278</v>
      </c>
      <c r="U2" s="56" t="s">
        <v>277</v>
      </c>
      <c r="V2" s="56" t="s">
        <v>278</v>
      </c>
      <c r="W2" s="57" t="s">
        <v>277</v>
      </c>
      <c r="X2" s="57" t="s">
        <v>278</v>
      </c>
      <c r="Y2" s="56" t="s">
        <v>277</v>
      </c>
      <c r="Z2" s="56" t="s">
        <v>278</v>
      </c>
      <c r="AA2" s="57" t="s">
        <v>277</v>
      </c>
      <c r="AB2" s="57" t="s">
        <v>278</v>
      </c>
      <c r="AC2" s="56" t="s">
        <v>277</v>
      </c>
      <c r="AD2" s="56" t="s">
        <v>278</v>
      </c>
      <c r="AE2" s="57" t="s">
        <v>277</v>
      </c>
      <c r="AF2" s="57" t="s">
        <v>278</v>
      </c>
      <c r="AG2" s="56" t="s">
        <v>277</v>
      </c>
      <c r="AH2" s="56" t="s">
        <v>278</v>
      </c>
      <c r="AI2" s="57" t="s">
        <v>277</v>
      </c>
      <c r="AJ2" s="57" t="s">
        <v>278</v>
      </c>
    </row>
    <row r="3" spans="1:36" ht="12.75">
      <c r="A3" s="58">
        <f>CALENDARIO!A2</f>
        <v>1</v>
      </c>
      <c r="B3" s="59">
        <f>CALENDARIO!B2</f>
        <v>46184</v>
      </c>
      <c r="C3" s="60">
        <f>CALENDARIO!C2</f>
        <v>0.66666666666666663</v>
      </c>
      <c r="D3" s="61" t="str">
        <f>CALENDARIO!D2</f>
        <v>México</v>
      </c>
      <c r="E3" s="58">
        <f>CALENDARIO!E2</f>
        <v>0</v>
      </c>
      <c r="F3" s="58" t="str">
        <f>CALENDARIO!F2</f>
        <v>x</v>
      </c>
      <c r="G3" s="58">
        <f>CALENDARIO!G2</f>
        <v>0</v>
      </c>
      <c r="H3" s="61" t="str">
        <f>CALENDARIO!H2</f>
        <v>África do Sul</v>
      </c>
      <c r="I3" s="56" t="str">
        <f ca="1">IF(NOW() &lt; CALENDARIO!$K2, "🔒", PALPITES!I2 &amp; " x " &amp; PALPITES!J2)</f>
        <v>🔒</v>
      </c>
      <c r="J3" s="56" t="e">
        <f ca="1">PALPITES!K2</f>
        <v>#VALUE!</v>
      </c>
      <c r="K3" s="57" t="str">
        <f ca="1">IF(NOW() &lt; CALENDARIO!$K2, "🔒", PALPITES!M2 &amp; " x " &amp; PALPITES!N2)</f>
        <v>🔒</v>
      </c>
      <c r="L3" s="57">
        <f ca="1">PALPITES!O2</f>
        <v>0</v>
      </c>
      <c r="M3" s="56" t="str">
        <f ca="1">IF(NOW() &lt; CALENDARIO!$K2, "🔒", PALPITES!Q2 &amp; " x " &amp; PALPITES!R2)</f>
        <v>🔒</v>
      </c>
      <c r="N3" s="56">
        <f ca="1">PALPITES!S2</f>
        <v>0</v>
      </c>
      <c r="O3" s="57" t="str">
        <f ca="1">IF(NOW() &lt; CALENDARIO!$K2, "🔒", PALPITES!U2 &amp; " x " &amp; PALPITES!V2)</f>
        <v>🔒</v>
      </c>
      <c r="P3" s="57">
        <f ca="1">PALPITES!W2</f>
        <v>0</v>
      </c>
      <c r="Q3" s="56" t="str">
        <f ca="1">IF(NOW() &lt; CALENDARIO!$K2, "🔒", PALPITES!Y2 &amp; " x " &amp; PALPITES!Z2)</f>
        <v>🔒</v>
      </c>
      <c r="R3" s="56">
        <f>PALPITES!AA2</f>
        <v>0</v>
      </c>
      <c r="S3" s="57" t="str">
        <f ca="1">IF(NOW() &lt; CALENDARIO!$K2, "🔒", PALPITES!AC2 &amp; " x " &amp; PALPITES!AD2)</f>
        <v>🔒</v>
      </c>
      <c r="T3" s="57">
        <f ca="1">PALPITES!AE2</f>
        <v>0</v>
      </c>
      <c r="U3" s="56" t="str">
        <f ca="1">IF(NOW() &lt; CALENDARIO!$K2, "🔒", PALPITES!AG2 &amp; " x " &amp; PALPITES!AH2)</f>
        <v>🔒</v>
      </c>
      <c r="V3" s="56">
        <f ca="1">PALPITES!AI2</f>
        <v>0</v>
      </c>
      <c r="W3" s="57" t="str">
        <f ca="1">IF(NOW() &lt; CALENDARIO!$K2, "🔒", PALPITES!AK2 &amp; " x " &amp; PALPITES!AL2)</f>
        <v>🔒</v>
      </c>
      <c r="X3" s="57">
        <f ca="1">PALPITES!AM2</f>
        <v>0</v>
      </c>
      <c r="Y3" s="56" t="str">
        <f ca="1">IF(NOW() &lt; CALENDARIO!$K2, "🔒", PALPITES!AO2 &amp; " x " &amp; PALPITES!AP2)</f>
        <v>🔒</v>
      </c>
      <c r="Z3" s="56">
        <f ca="1">PALPITES!AQ2</f>
        <v>0</v>
      </c>
      <c r="AA3" s="57" t="str">
        <f ca="1">IF(NOW() &lt; CALENDARIO!$K2, "🔒", PALPITES!AS2 &amp; " x " &amp; PALPITES!AT2)</f>
        <v>🔒</v>
      </c>
      <c r="AB3" s="57">
        <f ca="1">PALPITES!AU2</f>
        <v>0</v>
      </c>
      <c r="AC3" s="56" t="str">
        <f ca="1">IF(NOW() &lt; CALENDARIO!$K2, "🔒", PALPITES!AW2 &amp; " x " &amp; PALPITES!AX2)</f>
        <v>🔒</v>
      </c>
      <c r="AD3" s="56">
        <f>PALPITES!AY2</f>
        <v>0</v>
      </c>
      <c r="AE3" s="57" t="str">
        <f ca="1">IF(NOW() &lt; CALENDARIO!$K2, "🔒", PALPITES!BA2 &amp; " x " &amp; PALPITES!BB2)</f>
        <v>🔒</v>
      </c>
      <c r="AF3" s="57">
        <f ca="1">PALPITES!BC2</f>
        <v>0</v>
      </c>
      <c r="AG3" s="56" t="str">
        <f ca="1">IF(NOW() &lt; CALENDARIO!$K2, "🔒", PALPITES!BE2 &amp; " x " &amp; PALPITES!BF2)</f>
        <v>🔒</v>
      </c>
      <c r="AH3" s="56">
        <f ca="1">PALPITES!BG2</f>
        <v>0</v>
      </c>
      <c r="AI3" s="57" t="str">
        <f ca="1">IF(NOW() &lt; CALENDARIO!$K2, "🔒", PALPITES!BI2 &amp; " x " &amp; PALPITES!BJ2)</f>
        <v>🔒</v>
      </c>
      <c r="AJ3" s="57">
        <f ca="1">PALPITES!BK2</f>
        <v>0</v>
      </c>
    </row>
    <row r="4" spans="1:36" ht="12.75">
      <c r="A4" s="58">
        <f>CALENDARIO!A3</f>
        <v>2</v>
      </c>
      <c r="B4" s="59">
        <f>CALENDARIO!B3</f>
        <v>46184</v>
      </c>
      <c r="C4" s="60">
        <f>CALENDARIO!C3</f>
        <v>0.95833333333333337</v>
      </c>
      <c r="D4" s="61" t="str">
        <f>CALENDARIO!D3</f>
        <v>República da Coreia</v>
      </c>
      <c r="E4" s="58">
        <f>CALENDARIO!E3</f>
        <v>0</v>
      </c>
      <c r="F4" s="58" t="str">
        <f>CALENDARIO!F3</f>
        <v>x</v>
      </c>
      <c r="G4" s="58">
        <f>CALENDARIO!G3</f>
        <v>0</v>
      </c>
      <c r="H4" s="61" t="str">
        <f>CALENDARIO!H3</f>
        <v>República Tcheca</v>
      </c>
      <c r="I4" s="56" t="str">
        <f ca="1">IF(NOW() &lt; CALENDARIO!$K3, "🔒", PALPITES!I3 &amp; " x " &amp; PALPITES!J3)</f>
        <v>🔒</v>
      </c>
      <c r="J4" s="56">
        <f>PALPITES!K3</f>
        <v>0</v>
      </c>
      <c r="K4" s="57" t="str">
        <f ca="1">IF(NOW() &lt; CALENDARIO!$K3, "🔒", PALPITES!M3 &amp; " x " &amp; PALPITES!N3)</f>
        <v>🔒</v>
      </c>
      <c r="L4" s="57">
        <f>PALPITES!O3</f>
        <v>0</v>
      </c>
      <c r="M4" s="56" t="str">
        <f ca="1">IF(NOW() &lt; CALENDARIO!$K3, "🔒", PALPITES!Q3 &amp; " x " &amp; PALPITES!R3)</f>
        <v>🔒</v>
      </c>
      <c r="N4" s="56">
        <f>PALPITES!S3</f>
        <v>0</v>
      </c>
      <c r="O4" s="57" t="str">
        <f ca="1">IF(NOW() &lt; CALENDARIO!$K3, "🔒", PALPITES!U3 &amp; " x " &amp; PALPITES!V3)</f>
        <v>🔒</v>
      </c>
      <c r="P4" s="57">
        <f>PALPITES!W3</f>
        <v>0</v>
      </c>
      <c r="Q4" s="56" t="str">
        <f ca="1">IF(NOW() &lt; CALENDARIO!$K3, "🔒", PALPITES!Y3 &amp; " x " &amp; PALPITES!Z3)</f>
        <v>🔒</v>
      </c>
      <c r="R4" s="56">
        <f>PALPITES!AA3</f>
        <v>0</v>
      </c>
      <c r="S4" s="57" t="str">
        <f ca="1">IF(NOW() &lt; CALENDARIO!$K3, "🔒", PALPITES!AC3 &amp; " x " &amp; PALPITES!AD3)</f>
        <v>🔒</v>
      </c>
      <c r="T4" s="57">
        <f>PALPITES!AE3</f>
        <v>0</v>
      </c>
      <c r="U4" s="56" t="str">
        <f ca="1">IF(NOW() &lt; CALENDARIO!$K3, "🔒", PALPITES!AG3 &amp; " x " &amp; PALPITES!AH3)</f>
        <v>🔒</v>
      </c>
      <c r="V4" s="56">
        <f>PALPITES!AI3</f>
        <v>0</v>
      </c>
      <c r="W4" s="57" t="str">
        <f ca="1">IF(NOW() &lt; CALENDARIO!$K3, "🔒", PALPITES!AK3 &amp; " x " &amp; PALPITES!AL3)</f>
        <v>🔒</v>
      </c>
      <c r="X4" s="57">
        <f>PALPITES!AM3</f>
        <v>0</v>
      </c>
      <c r="Y4" s="56" t="str">
        <f ca="1">IF(NOW() &lt; CALENDARIO!$K3, "🔒", PALPITES!AO3 &amp; " x " &amp; PALPITES!AP3)</f>
        <v>🔒</v>
      </c>
      <c r="Z4" s="56">
        <f>PALPITES!AQ3</f>
        <v>0</v>
      </c>
      <c r="AA4" s="57" t="str">
        <f ca="1">IF(NOW() &lt; CALENDARIO!$K3, "🔒", PALPITES!AS3 &amp; " x " &amp; PALPITES!AT3)</f>
        <v>🔒</v>
      </c>
      <c r="AB4" s="57">
        <f>PALPITES!AU3</f>
        <v>0</v>
      </c>
      <c r="AC4" s="56" t="str">
        <f ca="1">IF(NOW() &lt; CALENDARIO!$K3, "🔒", PALPITES!AW3 &amp; " x " &amp; PALPITES!AX3)</f>
        <v>🔒</v>
      </c>
      <c r="AD4" s="56">
        <f>PALPITES!AY3</f>
        <v>0</v>
      </c>
      <c r="AE4" s="57" t="str">
        <f ca="1">IF(NOW() &lt; CALENDARIO!$K3, "🔒", PALPITES!BA3 &amp; " x " &amp; PALPITES!BB3)</f>
        <v>🔒</v>
      </c>
      <c r="AF4" s="57">
        <f>PALPITES!BC3</f>
        <v>0</v>
      </c>
      <c r="AG4" s="56" t="str">
        <f ca="1">IF(NOW() &lt; CALENDARIO!$K3, "🔒", PALPITES!BE3 &amp; " x " &amp; PALPITES!BF3)</f>
        <v>🔒</v>
      </c>
      <c r="AH4" s="56">
        <f>PALPITES!BG3</f>
        <v>0</v>
      </c>
      <c r="AI4" s="57" t="str">
        <f ca="1">IF(NOW() &lt; CALENDARIO!$K3, "🔒", PALPITES!BI3 &amp; " x " &amp; PALPITES!BJ3)</f>
        <v>🔒</v>
      </c>
      <c r="AJ4" s="57">
        <f>PALPITES!BK3</f>
        <v>0</v>
      </c>
    </row>
    <row r="5" spans="1:36" ht="12.75">
      <c r="A5" s="58">
        <f>CALENDARIO!A4</f>
        <v>3</v>
      </c>
      <c r="B5" s="59">
        <f>CALENDARIO!B4</f>
        <v>46185</v>
      </c>
      <c r="C5" s="60">
        <f>CALENDARIO!C4</f>
        <v>0.66666666666666663</v>
      </c>
      <c r="D5" s="61" t="str">
        <f>CALENDARIO!D4</f>
        <v>Canadá</v>
      </c>
      <c r="E5" s="58">
        <f>CALENDARIO!E4</f>
        <v>0</v>
      </c>
      <c r="F5" s="58" t="str">
        <f>CALENDARIO!F4</f>
        <v>x</v>
      </c>
      <c r="G5" s="58">
        <f>CALENDARIO!G4</f>
        <v>0</v>
      </c>
      <c r="H5" s="61" t="str">
        <f>CALENDARIO!H4</f>
        <v>Bósnia e Herzegovina</v>
      </c>
      <c r="I5" s="56" t="str">
        <f ca="1">IF(NOW() &lt; CALENDARIO!$K4, "🔒", PALPITES!I4 &amp; " x " &amp; PALPITES!J4)</f>
        <v>🔒</v>
      </c>
      <c r="J5" s="56">
        <f>PALPITES!K4</f>
        <v>0</v>
      </c>
      <c r="K5" s="57" t="str">
        <f ca="1">IF(NOW() &lt; CALENDARIO!$K4, "🔒", PALPITES!M4 &amp; " x " &amp; PALPITES!N4)</f>
        <v>🔒</v>
      </c>
      <c r="L5" s="57">
        <f>PALPITES!O4</f>
        <v>0</v>
      </c>
      <c r="M5" s="56" t="str">
        <f ca="1">IF(NOW() &lt; CALENDARIO!$K4, "🔒", PALPITES!Q4 &amp; " x " &amp; PALPITES!R4)</f>
        <v>🔒</v>
      </c>
      <c r="N5" s="56">
        <f>PALPITES!S4</f>
        <v>0</v>
      </c>
      <c r="O5" s="57" t="str">
        <f ca="1">IF(NOW() &lt; CALENDARIO!$K4, "🔒", PALPITES!U4 &amp; " x " &amp; PALPITES!V4)</f>
        <v>🔒</v>
      </c>
      <c r="P5" s="57">
        <f>PALPITES!W4</f>
        <v>0</v>
      </c>
      <c r="Q5" s="56" t="str">
        <f ca="1">IF(NOW() &lt; CALENDARIO!$K4, "🔒", PALPITES!Y4 &amp; " x " &amp; PALPITES!Z4)</f>
        <v>🔒</v>
      </c>
      <c r="R5" s="56">
        <f>PALPITES!AA4</f>
        <v>0</v>
      </c>
      <c r="S5" s="57" t="str">
        <f ca="1">IF(NOW() &lt; CALENDARIO!$K4, "🔒", PALPITES!AC4 &amp; " x " &amp; PALPITES!AD4)</f>
        <v>🔒</v>
      </c>
      <c r="T5" s="57">
        <f>PALPITES!AE4</f>
        <v>0</v>
      </c>
      <c r="U5" s="56" t="str">
        <f ca="1">IF(NOW() &lt; CALENDARIO!$K4, "🔒", PALPITES!AG4 &amp; " x " &amp; PALPITES!AH4)</f>
        <v>🔒</v>
      </c>
      <c r="V5" s="56">
        <f>PALPITES!AI4</f>
        <v>0</v>
      </c>
      <c r="W5" s="57" t="str">
        <f ca="1">IF(NOW() &lt; CALENDARIO!$K4, "🔒", PALPITES!AK4 &amp; " x " &amp; PALPITES!AL4)</f>
        <v>🔒</v>
      </c>
      <c r="X5" s="57">
        <f>PALPITES!AM4</f>
        <v>0</v>
      </c>
      <c r="Y5" s="56" t="str">
        <f ca="1">IF(NOW() &lt; CALENDARIO!$K4, "🔒", PALPITES!AO4 &amp; " x " &amp; PALPITES!AP4)</f>
        <v>🔒</v>
      </c>
      <c r="Z5" s="56">
        <f>PALPITES!AQ4</f>
        <v>0</v>
      </c>
      <c r="AA5" s="57" t="str">
        <f ca="1">IF(NOW() &lt; CALENDARIO!$K4, "🔒", PALPITES!AS4 &amp; " x " &amp; PALPITES!AT4)</f>
        <v>🔒</v>
      </c>
      <c r="AB5" s="57">
        <f>PALPITES!AU4</f>
        <v>0</v>
      </c>
      <c r="AC5" s="56" t="str">
        <f ca="1">IF(NOW() &lt; CALENDARIO!$K4, "🔒", PALPITES!AW4 &amp; " x " &amp; PALPITES!AX4)</f>
        <v>🔒</v>
      </c>
      <c r="AD5" s="56">
        <f>PALPITES!AY4</f>
        <v>0</v>
      </c>
      <c r="AE5" s="57" t="str">
        <f ca="1">IF(NOW() &lt; CALENDARIO!$K4, "🔒", PALPITES!BA4 &amp; " x " &amp; PALPITES!BB4)</f>
        <v>🔒</v>
      </c>
      <c r="AF5" s="57">
        <f>PALPITES!BC4</f>
        <v>0</v>
      </c>
      <c r="AG5" s="56" t="str">
        <f ca="1">IF(NOW() &lt; CALENDARIO!$K4, "🔒", PALPITES!BE4 &amp; " x " &amp; PALPITES!BF4)</f>
        <v>🔒</v>
      </c>
      <c r="AH5" s="56">
        <f>PALPITES!BG4</f>
        <v>0</v>
      </c>
      <c r="AI5" s="57" t="str">
        <f ca="1">IF(NOW() &lt; CALENDARIO!$K4, "🔒", PALPITES!BI4 &amp; " x " &amp; PALPITES!BJ4)</f>
        <v>🔒</v>
      </c>
      <c r="AJ5" s="57">
        <f>PALPITES!BK4</f>
        <v>0</v>
      </c>
    </row>
    <row r="6" spans="1:36" ht="12.75">
      <c r="A6" s="58">
        <f>CALENDARIO!A5</f>
        <v>4</v>
      </c>
      <c r="B6" s="59">
        <f>CALENDARIO!B5</f>
        <v>46185</v>
      </c>
      <c r="C6" s="60">
        <f>CALENDARIO!C5</f>
        <v>0.91666666666666663</v>
      </c>
      <c r="D6" s="61" t="str">
        <f>CALENDARIO!D5</f>
        <v>Estados Unidos</v>
      </c>
      <c r="E6" s="58">
        <f>CALENDARIO!E5</f>
        <v>0</v>
      </c>
      <c r="F6" s="58" t="str">
        <f>CALENDARIO!F5</f>
        <v>x</v>
      </c>
      <c r="G6" s="58">
        <f>CALENDARIO!G5</f>
        <v>0</v>
      </c>
      <c r="H6" s="61" t="str">
        <f>CALENDARIO!H5</f>
        <v>Paraguai</v>
      </c>
      <c r="I6" s="56" t="str">
        <f ca="1">IF(NOW() &lt; CALENDARIO!$K5, "🔒", PALPITES!I5 &amp; " x " &amp; PALPITES!J5)</f>
        <v>🔒</v>
      </c>
      <c r="J6" s="56">
        <f>PALPITES!K5</f>
        <v>0</v>
      </c>
      <c r="K6" s="57" t="str">
        <f ca="1">IF(NOW() &lt; CALENDARIO!$K5, "🔒", PALPITES!M5 &amp; " x " &amp; PALPITES!N5)</f>
        <v>🔒</v>
      </c>
      <c r="L6" s="57">
        <f>PALPITES!O5</f>
        <v>0</v>
      </c>
      <c r="M6" s="56" t="str">
        <f ca="1">IF(NOW() &lt; CALENDARIO!$K5, "🔒", PALPITES!Q5 &amp; " x " &amp; PALPITES!R5)</f>
        <v>🔒</v>
      </c>
      <c r="N6" s="56">
        <f>PALPITES!S5</f>
        <v>0</v>
      </c>
      <c r="O6" s="57" t="str">
        <f ca="1">IF(NOW() &lt; CALENDARIO!$K5, "🔒", PALPITES!U5 &amp; " x " &amp; PALPITES!V5)</f>
        <v>🔒</v>
      </c>
      <c r="P6" s="57">
        <f>PALPITES!W5</f>
        <v>0</v>
      </c>
      <c r="Q6" s="56" t="str">
        <f ca="1">IF(NOW() &lt; CALENDARIO!$K5, "🔒", PALPITES!Y5 &amp; " x " &amp; PALPITES!Z5)</f>
        <v>🔒</v>
      </c>
      <c r="R6" s="56">
        <f>PALPITES!AA5</f>
        <v>0</v>
      </c>
      <c r="S6" s="57" t="str">
        <f ca="1">IF(NOW() &lt; CALENDARIO!$K5, "🔒", PALPITES!AC5 &amp; " x " &amp; PALPITES!AD5)</f>
        <v>🔒</v>
      </c>
      <c r="T6" s="57">
        <f>PALPITES!AE5</f>
        <v>0</v>
      </c>
      <c r="U6" s="56" t="str">
        <f ca="1">IF(NOW() &lt; CALENDARIO!$K5, "🔒", PALPITES!AG5 &amp; " x " &amp; PALPITES!AH5)</f>
        <v>🔒</v>
      </c>
      <c r="V6" s="56">
        <f>PALPITES!AI5</f>
        <v>0</v>
      </c>
      <c r="W6" s="57" t="str">
        <f ca="1">IF(NOW() &lt; CALENDARIO!$K5, "🔒", PALPITES!AK5 &amp; " x " &amp; PALPITES!AL5)</f>
        <v>🔒</v>
      </c>
      <c r="X6" s="57">
        <f>PALPITES!AM5</f>
        <v>0</v>
      </c>
      <c r="Y6" s="56" t="str">
        <f ca="1">IF(NOW() &lt; CALENDARIO!$K5, "🔒", PALPITES!AO5 &amp; " x " &amp; PALPITES!AP5)</f>
        <v>🔒</v>
      </c>
      <c r="Z6" s="56">
        <f>PALPITES!AQ5</f>
        <v>0</v>
      </c>
      <c r="AA6" s="57" t="str">
        <f ca="1">IF(NOW() &lt; CALENDARIO!$K5, "🔒", PALPITES!AS5 &amp; " x " &amp; PALPITES!AT5)</f>
        <v>🔒</v>
      </c>
      <c r="AB6" s="57">
        <f>PALPITES!AU5</f>
        <v>0</v>
      </c>
      <c r="AC6" s="56" t="str">
        <f ca="1">IF(NOW() &lt; CALENDARIO!$K5, "🔒", PALPITES!AW5 &amp; " x " &amp; PALPITES!AX5)</f>
        <v>🔒</v>
      </c>
      <c r="AD6" s="56">
        <f>PALPITES!AY5</f>
        <v>0</v>
      </c>
      <c r="AE6" s="57" t="str">
        <f ca="1">IF(NOW() &lt; CALENDARIO!$K5, "🔒", PALPITES!BA5 &amp; " x " &amp; PALPITES!BB5)</f>
        <v>🔒</v>
      </c>
      <c r="AF6" s="57">
        <f>PALPITES!BC5</f>
        <v>0</v>
      </c>
      <c r="AG6" s="56" t="str">
        <f ca="1">IF(NOW() &lt; CALENDARIO!$K5, "🔒", PALPITES!BE5 &amp; " x " &amp; PALPITES!BF5)</f>
        <v>🔒</v>
      </c>
      <c r="AH6" s="56">
        <f>PALPITES!BG5</f>
        <v>0</v>
      </c>
      <c r="AI6" s="57" t="str">
        <f ca="1">IF(NOW() &lt; CALENDARIO!$K5, "🔒", PALPITES!BI5 &amp; " x " &amp; PALPITES!BJ5)</f>
        <v>🔒</v>
      </c>
      <c r="AJ6" s="57">
        <f>PALPITES!BK5</f>
        <v>0</v>
      </c>
    </row>
    <row r="7" spans="1:36" ht="12.75">
      <c r="A7" s="58">
        <f>CALENDARIO!A6</f>
        <v>5</v>
      </c>
      <c r="B7" s="59">
        <f>CALENDARIO!B6</f>
        <v>46186</v>
      </c>
      <c r="C7" s="60">
        <f>CALENDARIO!C6</f>
        <v>0.66666666666666663</v>
      </c>
      <c r="D7" s="61" t="str">
        <f>CALENDARIO!D6</f>
        <v>Catar</v>
      </c>
      <c r="E7" s="58">
        <f>CALENDARIO!E6</f>
        <v>0</v>
      </c>
      <c r="F7" s="58" t="str">
        <f>CALENDARIO!F6</f>
        <v>x</v>
      </c>
      <c r="G7" s="58">
        <f>CALENDARIO!G6</f>
        <v>0</v>
      </c>
      <c r="H7" s="61" t="str">
        <f>CALENDARIO!H6</f>
        <v>Suíça</v>
      </c>
      <c r="I7" s="56" t="str">
        <f ca="1">IF(NOW() &lt; CALENDARIO!$K6, "🔒", PALPITES!I6 &amp; " x " &amp; PALPITES!J6)</f>
        <v>🔒</v>
      </c>
      <c r="J7" s="56">
        <f>PALPITES!K6</f>
        <v>0</v>
      </c>
      <c r="K7" s="57" t="str">
        <f ca="1">IF(NOW() &lt; CALENDARIO!$K6, "🔒", PALPITES!M6 &amp; " x " &amp; PALPITES!N6)</f>
        <v>🔒</v>
      </c>
      <c r="L7" s="57">
        <f>PALPITES!O6</f>
        <v>0</v>
      </c>
      <c r="M7" s="56" t="str">
        <f ca="1">IF(NOW() &lt; CALENDARIO!$K6, "🔒", PALPITES!Q6 &amp; " x " &amp; PALPITES!R6)</f>
        <v>🔒</v>
      </c>
      <c r="N7" s="56">
        <f>PALPITES!S6</f>
        <v>0</v>
      </c>
      <c r="O7" s="57" t="str">
        <f ca="1">IF(NOW() &lt; CALENDARIO!$K6, "🔒", PALPITES!U6 &amp; " x " &amp; PALPITES!V6)</f>
        <v>🔒</v>
      </c>
      <c r="P7" s="57">
        <f>PALPITES!W6</f>
        <v>0</v>
      </c>
      <c r="Q7" s="56" t="str">
        <f ca="1">IF(NOW() &lt; CALENDARIO!$K6, "🔒", PALPITES!Y6 &amp; " x " &amp; PALPITES!Z6)</f>
        <v>🔒</v>
      </c>
      <c r="R7" s="56">
        <f>PALPITES!AA6</f>
        <v>0</v>
      </c>
      <c r="S7" s="57" t="str">
        <f ca="1">IF(NOW() &lt; CALENDARIO!$K6, "🔒", PALPITES!AC6 &amp; " x " &amp; PALPITES!AD6)</f>
        <v>🔒</v>
      </c>
      <c r="T7" s="57">
        <f>PALPITES!AE6</f>
        <v>0</v>
      </c>
      <c r="U7" s="56" t="str">
        <f ca="1">IF(NOW() &lt; CALENDARIO!$K6, "🔒", PALPITES!AG6 &amp; " x " &amp; PALPITES!AH6)</f>
        <v>🔒</v>
      </c>
      <c r="V7" s="56">
        <f>PALPITES!AI6</f>
        <v>0</v>
      </c>
      <c r="W7" s="57" t="str">
        <f ca="1">IF(NOW() &lt; CALENDARIO!$K6, "🔒", PALPITES!AK6 &amp; " x " &amp; PALPITES!AL6)</f>
        <v>🔒</v>
      </c>
      <c r="X7" s="57">
        <f>PALPITES!AM6</f>
        <v>0</v>
      </c>
      <c r="Y7" s="56" t="str">
        <f ca="1">IF(NOW() &lt; CALENDARIO!$K6, "🔒", PALPITES!AO6 &amp; " x " &amp; PALPITES!AP6)</f>
        <v>🔒</v>
      </c>
      <c r="Z7" s="56">
        <f>PALPITES!AQ6</f>
        <v>0</v>
      </c>
      <c r="AA7" s="57" t="str">
        <f ca="1">IF(NOW() &lt; CALENDARIO!$K6, "🔒", PALPITES!AS6 &amp; " x " &amp; PALPITES!AT6)</f>
        <v>🔒</v>
      </c>
      <c r="AB7" s="57">
        <f>PALPITES!AU6</f>
        <v>0</v>
      </c>
      <c r="AC7" s="56" t="str">
        <f ca="1">IF(NOW() &lt; CALENDARIO!$K6, "🔒", PALPITES!AW6 &amp; " x " &amp; PALPITES!AX6)</f>
        <v>🔒</v>
      </c>
      <c r="AD7" s="56">
        <f>PALPITES!AY6</f>
        <v>0</v>
      </c>
      <c r="AE7" s="57" t="str">
        <f ca="1">IF(NOW() &lt; CALENDARIO!$K6, "🔒", PALPITES!BA6 &amp; " x " &amp; PALPITES!BB6)</f>
        <v>🔒</v>
      </c>
      <c r="AF7" s="57">
        <f>PALPITES!BC6</f>
        <v>0</v>
      </c>
      <c r="AG7" s="56" t="str">
        <f ca="1">IF(NOW() &lt; CALENDARIO!$K6, "🔒", PALPITES!BE6 &amp; " x " &amp; PALPITES!BF6)</f>
        <v>🔒</v>
      </c>
      <c r="AH7" s="56">
        <f>PALPITES!BG6</f>
        <v>0</v>
      </c>
      <c r="AI7" s="57" t="str">
        <f ca="1">IF(NOW() &lt; CALENDARIO!$K6, "🔒", PALPITES!BI6 &amp; " x " &amp; PALPITES!BJ6)</f>
        <v>🔒</v>
      </c>
      <c r="AJ7" s="57">
        <f>PALPITES!BK6</f>
        <v>0</v>
      </c>
    </row>
    <row r="8" spans="1:36" ht="12.75">
      <c r="A8" s="58">
        <f>CALENDARIO!A7</f>
        <v>6</v>
      </c>
      <c r="B8" s="59">
        <f>CALENDARIO!B7</f>
        <v>46186</v>
      </c>
      <c r="C8" s="60">
        <f>CALENDARIO!C7</f>
        <v>0.79166666666666663</v>
      </c>
      <c r="D8" s="61" t="str">
        <f>CALENDARIO!D7</f>
        <v>Brasil</v>
      </c>
      <c r="E8" s="58">
        <f>CALENDARIO!E7</f>
        <v>0</v>
      </c>
      <c r="F8" s="58" t="str">
        <f>CALENDARIO!F7</f>
        <v>x</v>
      </c>
      <c r="G8" s="58">
        <f>CALENDARIO!G7</f>
        <v>0</v>
      </c>
      <c r="H8" s="61" t="str">
        <f>CALENDARIO!H7</f>
        <v>Marrocos</v>
      </c>
      <c r="I8" s="56" t="str">
        <f ca="1">IF(NOW() &lt; CALENDARIO!$K7, "🔒", PALPITES!I7 &amp; " x " &amp; PALPITES!J7)</f>
        <v>🔒</v>
      </c>
      <c r="J8" s="56">
        <f>PALPITES!K7</f>
        <v>0</v>
      </c>
      <c r="K8" s="57" t="str">
        <f ca="1">IF(NOW() &lt; CALENDARIO!$K7, "🔒", PALPITES!M7 &amp; " x " &amp; PALPITES!N7)</f>
        <v>🔒</v>
      </c>
      <c r="L8" s="57">
        <f>PALPITES!O7</f>
        <v>0</v>
      </c>
      <c r="M8" s="56" t="str">
        <f ca="1">IF(NOW() &lt; CALENDARIO!$K7, "🔒", PALPITES!Q7 &amp; " x " &amp; PALPITES!R7)</f>
        <v>🔒</v>
      </c>
      <c r="N8" s="56">
        <f>PALPITES!S7</f>
        <v>0</v>
      </c>
      <c r="O8" s="57" t="str">
        <f ca="1">IF(NOW() &lt; CALENDARIO!$K7, "🔒", PALPITES!U7 &amp; " x " &amp; PALPITES!V7)</f>
        <v>🔒</v>
      </c>
      <c r="P8" s="57">
        <f>PALPITES!W7</f>
        <v>0</v>
      </c>
      <c r="Q8" s="56" t="str">
        <f ca="1">IF(NOW() &lt; CALENDARIO!$K7, "🔒", PALPITES!Y7 &amp; " x " &amp; PALPITES!Z7)</f>
        <v>🔒</v>
      </c>
      <c r="R8" s="56">
        <f>PALPITES!AA7</f>
        <v>0</v>
      </c>
      <c r="S8" s="57" t="str">
        <f ca="1">IF(NOW() &lt; CALENDARIO!$K7, "🔒", PALPITES!AC7 &amp; " x " &amp; PALPITES!AD7)</f>
        <v>🔒</v>
      </c>
      <c r="T8" s="57">
        <f>PALPITES!AE7</f>
        <v>0</v>
      </c>
      <c r="U8" s="56" t="str">
        <f ca="1">IF(NOW() &lt; CALENDARIO!$K7, "🔒", PALPITES!AG7 &amp; " x " &amp; PALPITES!AH7)</f>
        <v>🔒</v>
      </c>
      <c r="V8" s="56">
        <f>PALPITES!AI7</f>
        <v>0</v>
      </c>
      <c r="W8" s="57" t="str">
        <f ca="1">IF(NOW() &lt; CALENDARIO!$K7, "🔒", PALPITES!AK7 &amp; " x " &amp; PALPITES!AL7)</f>
        <v>🔒</v>
      </c>
      <c r="X8" s="57">
        <f>PALPITES!AM7</f>
        <v>0</v>
      </c>
      <c r="Y8" s="56" t="str">
        <f ca="1">IF(NOW() &lt; CALENDARIO!$K7, "🔒", PALPITES!AO7 &amp; " x " &amp; PALPITES!AP7)</f>
        <v>🔒</v>
      </c>
      <c r="Z8" s="56">
        <f>PALPITES!AQ7</f>
        <v>0</v>
      </c>
      <c r="AA8" s="57" t="str">
        <f ca="1">IF(NOW() &lt; CALENDARIO!$K7, "🔒", PALPITES!AS7 &amp; " x " &amp; PALPITES!AT7)</f>
        <v>🔒</v>
      </c>
      <c r="AB8" s="57">
        <f>PALPITES!AU7</f>
        <v>0</v>
      </c>
      <c r="AC8" s="56" t="str">
        <f ca="1">IF(NOW() &lt; CALENDARIO!$K7, "🔒", PALPITES!AW7 &amp; " x " &amp; PALPITES!AX7)</f>
        <v>🔒</v>
      </c>
      <c r="AD8" s="56">
        <f>PALPITES!AY7</f>
        <v>0</v>
      </c>
      <c r="AE8" s="57" t="str">
        <f ca="1">IF(NOW() &lt; CALENDARIO!$K7, "🔒", PALPITES!BA7 &amp; " x " &amp; PALPITES!BB7)</f>
        <v>🔒</v>
      </c>
      <c r="AF8" s="57">
        <f>PALPITES!BC7</f>
        <v>0</v>
      </c>
      <c r="AG8" s="56" t="str">
        <f ca="1">IF(NOW() &lt; CALENDARIO!$K7, "🔒", PALPITES!BE7 &amp; " x " &amp; PALPITES!BF7)</f>
        <v>🔒</v>
      </c>
      <c r="AH8" s="56">
        <f>PALPITES!BG7</f>
        <v>0</v>
      </c>
      <c r="AI8" s="57" t="str">
        <f ca="1">IF(NOW() &lt; CALENDARIO!$K7, "🔒", PALPITES!BI7 &amp; " x " &amp; PALPITES!BJ7)</f>
        <v>🔒</v>
      </c>
      <c r="AJ8" s="57">
        <f>PALPITES!BK7</f>
        <v>0</v>
      </c>
    </row>
    <row r="9" spans="1:36" ht="12.75">
      <c r="A9" s="58">
        <f>CALENDARIO!A8</f>
        <v>7</v>
      </c>
      <c r="B9" s="59">
        <f>CALENDARIO!B8</f>
        <v>46186</v>
      </c>
      <c r="C9" s="60">
        <f>CALENDARIO!C8</f>
        <v>0.91666666666666663</v>
      </c>
      <c r="D9" s="61" t="str">
        <f>CALENDARIO!D8</f>
        <v>Haiti</v>
      </c>
      <c r="E9" s="58">
        <f>CALENDARIO!E8</f>
        <v>0</v>
      </c>
      <c r="F9" s="58" t="str">
        <f>CALENDARIO!F8</f>
        <v>x</v>
      </c>
      <c r="G9" s="58">
        <f>CALENDARIO!G8</f>
        <v>0</v>
      </c>
      <c r="H9" s="61" t="str">
        <f>CALENDARIO!H8</f>
        <v>Escócia</v>
      </c>
      <c r="I9" s="56" t="str">
        <f ca="1">IF(NOW() &lt; CALENDARIO!$K8, "🔒", PALPITES!I8 &amp; " x " &amp; PALPITES!J8)</f>
        <v>🔒</v>
      </c>
      <c r="J9" s="56">
        <f>PALPITES!K8</f>
        <v>0</v>
      </c>
      <c r="K9" s="57" t="str">
        <f ca="1">IF(NOW() &lt; CALENDARIO!$K8, "🔒", PALPITES!M8 &amp; " x " &amp; PALPITES!N8)</f>
        <v>🔒</v>
      </c>
      <c r="L9" s="57">
        <f>PALPITES!O8</f>
        <v>0</v>
      </c>
      <c r="M9" s="56" t="str">
        <f ca="1">IF(NOW() &lt; CALENDARIO!$K8, "🔒", PALPITES!Q8 &amp; " x " &amp; PALPITES!R8)</f>
        <v>🔒</v>
      </c>
      <c r="N9" s="56">
        <f>PALPITES!S8</f>
        <v>0</v>
      </c>
      <c r="O9" s="57" t="str">
        <f ca="1">IF(NOW() &lt; CALENDARIO!$K8, "🔒", PALPITES!U8 &amp; " x " &amp; PALPITES!V8)</f>
        <v>🔒</v>
      </c>
      <c r="P9" s="57">
        <f>PALPITES!W8</f>
        <v>0</v>
      </c>
      <c r="Q9" s="56" t="str">
        <f ca="1">IF(NOW() &lt; CALENDARIO!$K8, "🔒", PALPITES!Y8 &amp; " x " &amp; PALPITES!Z8)</f>
        <v>🔒</v>
      </c>
      <c r="R9" s="56">
        <f>PALPITES!AA8</f>
        <v>0</v>
      </c>
      <c r="S9" s="57" t="str">
        <f ca="1">IF(NOW() &lt; CALENDARIO!$K8, "🔒", PALPITES!AC8 &amp; " x " &amp; PALPITES!AD8)</f>
        <v>🔒</v>
      </c>
      <c r="T9" s="57">
        <f>PALPITES!AE8</f>
        <v>0</v>
      </c>
      <c r="U9" s="56" t="str">
        <f ca="1">IF(NOW() &lt; CALENDARIO!$K8, "🔒", PALPITES!AG8 &amp; " x " &amp; PALPITES!AH8)</f>
        <v>🔒</v>
      </c>
      <c r="V9" s="56">
        <f>PALPITES!AI8</f>
        <v>0</v>
      </c>
      <c r="W9" s="57" t="str">
        <f ca="1">IF(NOW() &lt; CALENDARIO!$K8, "🔒", PALPITES!AK8 &amp; " x " &amp; PALPITES!AL8)</f>
        <v>🔒</v>
      </c>
      <c r="X9" s="57">
        <f>PALPITES!AM8</f>
        <v>0</v>
      </c>
      <c r="Y9" s="56" t="str">
        <f ca="1">IF(NOW() &lt; CALENDARIO!$K8, "🔒", PALPITES!AO8 &amp; " x " &amp; PALPITES!AP8)</f>
        <v>🔒</v>
      </c>
      <c r="Z9" s="56">
        <f>PALPITES!AQ8</f>
        <v>0</v>
      </c>
      <c r="AA9" s="57" t="str">
        <f ca="1">IF(NOW() &lt; CALENDARIO!$K8, "🔒", PALPITES!AS8 &amp; " x " &amp; PALPITES!AT8)</f>
        <v>🔒</v>
      </c>
      <c r="AB9" s="57">
        <f>PALPITES!AU8</f>
        <v>0</v>
      </c>
      <c r="AC9" s="56" t="str">
        <f ca="1">IF(NOW() &lt; CALENDARIO!$K8, "🔒", PALPITES!AW8 &amp; " x " &amp; PALPITES!AX8)</f>
        <v>🔒</v>
      </c>
      <c r="AD9" s="56">
        <f>PALPITES!AY8</f>
        <v>0</v>
      </c>
      <c r="AE9" s="57" t="str">
        <f ca="1">IF(NOW() &lt; CALENDARIO!$K8, "🔒", PALPITES!BA8 &amp; " x " &amp; PALPITES!BB8)</f>
        <v>🔒</v>
      </c>
      <c r="AF9" s="57">
        <f>PALPITES!BC8</f>
        <v>0</v>
      </c>
      <c r="AG9" s="56" t="str">
        <f ca="1">IF(NOW() &lt; CALENDARIO!$K8, "🔒", PALPITES!BE8 &amp; " x " &amp; PALPITES!BF8)</f>
        <v>🔒</v>
      </c>
      <c r="AH9" s="56">
        <f>PALPITES!BG8</f>
        <v>0</v>
      </c>
      <c r="AI9" s="57" t="str">
        <f ca="1">IF(NOW() &lt; CALENDARIO!$K8, "🔒", PALPITES!BI8 &amp; " x " &amp; PALPITES!BJ8)</f>
        <v>🔒</v>
      </c>
      <c r="AJ9" s="57">
        <f>PALPITES!BK8</f>
        <v>0</v>
      </c>
    </row>
    <row r="10" spans="1:36" ht="12.75">
      <c r="A10" s="58">
        <f>CALENDARIO!A9</f>
        <v>8</v>
      </c>
      <c r="B10" s="59">
        <f>CALENDARIO!B9</f>
        <v>46187</v>
      </c>
      <c r="C10" s="60">
        <f>CALENDARIO!C9</f>
        <v>4.1666666666666664E-2</v>
      </c>
      <c r="D10" s="61" t="str">
        <f>CALENDARIO!D9</f>
        <v>Austrália</v>
      </c>
      <c r="E10" s="58">
        <f>CALENDARIO!E9</f>
        <v>0</v>
      </c>
      <c r="F10" s="58" t="str">
        <f>CALENDARIO!F9</f>
        <v>x</v>
      </c>
      <c r="G10" s="58">
        <f>CALENDARIO!G9</f>
        <v>0</v>
      </c>
      <c r="H10" s="61" t="str">
        <f>CALENDARIO!H9</f>
        <v>Turquia</v>
      </c>
      <c r="I10" s="56" t="str">
        <f ca="1">IF(NOW() &lt; CALENDARIO!$K9, "🔒", PALPITES!I9 &amp; " x " &amp; PALPITES!J9)</f>
        <v>🔒</v>
      </c>
      <c r="J10" s="56">
        <f>PALPITES!K9</f>
        <v>0</v>
      </c>
      <c r="K10" s="57" t="str">
        <f ca="1">IF(NOW() &lt; CALENDARIO!$K9, "🔒", PALPITES!M9 &amp; " x " &amp; PALPITES!N9)</f>
        <v>🔒</v>
      </c>
      <c r="L10" s="57">
        <f>PALPITES!O9</f>
        <v>0</v>
      </c>
      <c r="M10" s="56" t="str">
        <f ca="1">IF(NOW() &lt; CALENDARIO!$K9, "🔒", PALPITES!Q9 &amp; " x " &amp; PALPITES!R9)</f>
        <v>🔒</v>
      </c>
      <c r="N10" s="56">
        <f>PALPITES!S9</f>
        <v>0</v>
      </c>
      <c r="O10" s="57" t="str">
        <f ca="1">IF(NOW() &lt; CALENDARIO!$K9, "🔒", PALPITES!U9 &amp; " x " &amp; PALPITES!V9)</f>
        <v>🔒</v>
      </c>
      <c r="P10" s="57">
        <f>PALPITES!W9</f>
        <v>0</v>
      </c>
      <c r="Q10" s="56" t="str">
        <f ca="1">IF(NOW() &lt; CALENDARIO!$K9, "🔒", PALPITES!Y9 &amp; " x " &amp; PALPITES!Z9)</f>
        <v>🔒</v>
      </c>
      <c r="R10" s="56">
        <f>PALPITES!AA9</f>
        <v>0</v>
      </c>
      <c r="S10" s="57" t="str">
        <f ca="1">IF(NOW() &lt; CALENDARIO!$K9, "🔒", PALPITES!AC9 &amp; " x " &amp; PALPITES!AD9)</f>
        <v>🔒</v>
      </c>
      <c r="T10" s="57">
        <f>PALPITES!AE9</f>
        <v>0</v>
      </c>
      <c r="U10" s="56" t="str">
        <f ca="1">IF(NOW() &lt; CALENDARIO!$K9, "🔒", PALPITES!AG9 &amp; " x " &amp; PALPITES!AH9)</f>
        <v>🔒</v>
      </c>
      <c r="V10" s="56">
        <f>PALPITES!AI9</f>
        <v>0</v>
      </c>
      <c r="W10" s="57" t="str">
        <f ca="1">IF(NOW() &lt; CALENDARIO!$K9, "🔒", PALPITES!AK9 &amp; " x " &amp; PALPITES!AL9)</f>
        <v>🔒</v>
      </c>
      <c r="X10" s="57">
        <f>PALPITES!AM9</f>
        <v>0</v>
      </c>
      <c r="Y10" s="56" t="str">
        <f ca="1">IF(NOW() &lt; CALENDARIO!$K9, "🔒", PALPITES!AO9 &amp; " x " &amp; PALPITES!AP9)</f>
        <v>🔒</v>
      </c>
      <c r="Z10" s="56">
        <f>PALPITES!AQ9</f>
        <v>0</v>
      </c>
      <c r="AA10" s="57" t="str">
        <f ca="1">IF(NOW() &lt; CALENDARIO!$K9, "🔒", PALPITES!AS9 &amp; " x " &amp; PALPITES!AT9)</f>
        <v>🔒</v>
      </c>
      <c r="AB10" s="57">
        <f>PALPITES!AU9</f>
        <v>0</v>
      </c>
      <c r="AC10" s="56" t="str">
        <f ca="1">IF(NOW() &lt; CALENDARIO!$K9, "🔒", PALPITES!AW9 &amp; " x " &amp; PALPITES!AX9)</f>
        <v>🔒</v>
      </c>
      <c r="AD10" s="56">
        <f>PALPITES!AY9</f>
        <v>0</v>
      </c>
      <c r="AE10" s="57" t="str">
        <f ca="1">IF(NOW() &lt; CALENDARIO!$K9, "🔒", PALPITES!BA9 &amp; " x " &amp; PALPITES!BB9)</f>
        <v>🔒</v>
      </c>
      <c r="AF10" s="57">
        <f>PALPITES!BC9</f>
        <v>0</v>
      </c>
      <c r="AG10" s="56" t="str">
        <f ca="1">IF(NOW() &lt; CALENDARIO!$K9, "🔒", PALPITES!BE9 &amp; " x " &amp; PALPITES!BF9)</f>
        <v>🔒</v>
      </c>
      <c r="AH10" s="56">
        <f>PALPITES!BG9</f>
        <v>0</v>
      </c>
      <c r="AI10" s="57" t="str">
        <f ca="1">IF(NOW() &lt; CALENDARIO!$K9, "🔒", PALPITES!BI9 &amp; " x " &amp; PALPITES!BJ9)</f>
        <v>🔒</v>
      </c>
      <c r="AJ10" s="57">
        <f>PALPITES!BK9</f>
        <v>0</v>
      </c>
    </row>
    <row r="11" spans="1:36" ht="12.75">
      <c r="A11" s="58">
        <f>CALENDARIO!A10</f>
        <v>9</v>
      </c>
      <c r="B11" s="59">
        <f>CALENDARIO!B10</f>
        <v>46187</v>
      </c>
      <c r="C11" s="60">
        <f>CALENDARIO!C10</f>
        <v>0.58333333333333337</v>
      </c>
      <c r="D11" s="61" t="str">
        <f>CALENDARIO!D10</f>
        <v>Alemanha</v>
      </c>
      <c r="E11" s="58">
        <f>CALENDARIO!E10</f>
        <v>0</v>
      </c>
      <c r="F11" s="58" t="str">
        <f>CALENDARIO!F10</f>
        <v>x</v>
      </c>
      <c r="G11" s="58">
        <f>CALENDARIO!G10</f>
        <v>0</v>
      </c>
      <c r="H11" s="61" t="str">
        <f>CALENDARIO!H10</f>
        <v>Curaçau</v>
      </c>
      <c r="I11" s="56" t="str">
        <f ca="1">IF(NOW() &lt; CALENDARIO!$K10, "🔒", PALPITES!I10 &amp; " x " &amp; PALPITES!J10)</f>
        <v>🔒</v>
      </c>
      <c r="J11" s="56">
        <f>PALPITES!K10</f>
        <v>0</v>
      </c>
      <c r="K11" s="57" t="str">
        <f ca="1">IF(NOW() &lt; CALENDARIO!$K10, "🔒", PALPITES!M10 &amp; " x " &amp; PALPITES!N10)</f>
        <v>🔒</v>
      </c>
      <c r="L11" s="57">
        <f>PALPITES!O10</f>
        <v>0</v>
      </c>
      <c r="M11" s="56" t="str">
        <f ca="1">IF(NOW() &lt; CALENDARIO!$K10, "🔒", PALPITES!Q10 &amp; " x " &amp; PALPITES!R10)</f>
        <v>🔒</v>
      </c>
      <c r="N11" s="56">
        <f>PALPITES!S10</f>
        <v>0</v>
      </c>
      <c r="O11" s="57" t="str">
        <f ca="1">IF(NOW() &lt; CALENDARIO!$K10, "🔒", PALPITES!U10 &amp; " x " &amp; PALPITES!V10)</f>
        <v>🔒</v>
      </c>
      <c r="P11" s="57">
        <f>PALPITES!W10</f>
        <v>0</v>
      </c>
      <c r="Q11" s="56" t="str">
        <f ca="1">IF(NOW() &lt; CALENDARIO!$K10, "🔒", PALPITES!Y10 &amp; " x " &amp; PALPITES!Z10)</f>
        <v>🔒</v>
      </c>
      <c r="R11" s="56">
        <f>PALPITES!AA10</f>
        <v>0</v>
      </c>
      <c r="S11" s="57" t="str">
        <f ca="1">IF(NOW() &lt; CALENDARIO!$K10, "🔒", PALPITES!AC10 &amp; " x " &amp; PALPITES!AD10)</f>
        <v>🔒</v>
      </c>
      <c r="T11" s="57">
        <f>PALPITES!AE10</f>
        <v>0</v>
      </c>
      <c r="U11" s="56" t="str">
        <f ca="1">IF(NOW() &lt; CALENDARIO!$K10, "🔒", PALPITES!AG10 &amp; " x " &amp; PALPITES!AH10)</f>
        <v>🔒</v>
      </c>
      <c r="V11" s="56">
        <f>PALPITES!AI10</f>
        <v>0</v>
      </c>
      <c r="W11" s="57" t="str">
        <f ca="1">IF(NOW() &lt; CALENDARIO!$K10, "🔒", PALPITES!AK10 &amp; " x " &amp; PALPITES!AL10)</f>
        <v>🔒</v>
      </c>
      <c r="X11" s="57">
        <f>PALPITES!AM10</f>
        <v>0</v>
      </c>
      <c r="Y11" s="56" t="str">
        <f ca="1">IF(NOW() &lt; CALENDARIO!$K10, "🔒", PALPITES!AO10 &amp; " x " &amp; PALPITES!AP10)</f>
        <v>🔒</v>
      </c>
      <c r="Z11" s="56">
        <f>PALPITES!AQ10</f>
        <v>0</v>
      </c>
      <c r="AA11" s="57" t="str">
        <f ca="1">IF(NOW() &lt; CALENDARIO!$K10, "🔒", PALPITES!AS10 &amp; " x " &amp; PALPITES!AT10)</f>
        <v>🔒</v>
      </c>
      <c r="AB11" s="57">
        <f>PALPITES!AU10</f>
        <v>0</v>
      </c>
      <c r="AC11" s="56" t="str">
        <f ca="1">IF(NOW() &lt; CALENDARIO!$K10, "🔒", PALPITES!AW10 &amp; " x " &amp; PALPITES!AX10)</f>
        <v>🔒</v>
      </c>
      <c r="AD11" s="56">
        <f>PALPITES!AY10</f>
        <v>0</v>
      </c>
      <c r="AE11" s="57" t="str">
        <f ca="1">IF(NOW() &lt; CALENDARIO!$K10, "🔒", PALPITES!BA10 &amp; " x " &amp; PALPITES!BB10)</f>
        <v>🔒</v>
      </c>
      <c r="AF11" s="57">
        <f>PALPITES!BC10</f>
        <v>0</v>
      </c>
      <c r="AG11" s="56" t="str">
        <f ca="1">IF(NOW() &lt; CALENDARIO!$K10, "🔒", PALPITES!BE10 &amp; " x " &amp; PALPITES!BF10)</f>
        <v>🔒</v>
      </c>
      <c r="AH11" s="56">
        <f>PALPITES!BG10</f>
        <v>0</v>
      </c>
      <c r="AI11" s="57" t="str">
        <f ca="1">IF(NOW() &lt; CALENDARIO!$K10, "🔒", PALPITES!BI10 &amp; " x " &amp; PALPITES!BJ10)</f>
        <v>🔒</v>
      </c>
      <c r="AJ11" s="57">
        <f>PALPITES!BK10</f>
        <v>0</v>
      </c>
    </row>
    <row r="12" spans="1:36" ht="12.75">
      <c r="A12" s="58">
        <f>CALENDARIO!A11</f>
        <v>10</v>
      </c>
      <c r="B12" s="59">
        <f>CALENDARIO!B11</f>
        <v>46187</v>
      </c>
      <c r="C12" s="60">
        <f>CALENDARIO!C11</f>
        <v>0.83333333333333337</v>
      </c>
      <c r="D12" s="61" t="str">
        <f>CALENDARIO!D11</f>
        <v>Costa do Marfim</v>
      </c>
      <c r="E12" s="58">
        <f>CALENDARIO!E11</f>
        <v>0</v>
      </c>
      <c r="F12" s="58" t="str">
        <f>CALENDARIO!F11</f>
        <v>x</v>
      </c>
      <c r="G12" s="58">
        <f>CALENDARIO!G11</f>
        <v>0</v>
      </c>
      <c r="H12" s="61" t="str">
        <f>CALENDARIO!H11</f>
        <v>Equador</v>
      </c>
      <c r="I12" s="56" t="str">
        <f ca="1">IF(NOW() &lt; CALENDARIO!$K11, "🔒", PALPITES!I11 &amp; " x " &amp; PALPITES!J11)</f>
        <v>🔒</v>
      </c>
      <c r="J12" s="56">
        <f>PALPITES!K11</f>
        <v>0</v>
      </c>
      <c r="K12" s="57" t="str">
        <f ca="1">IF(NOW() &lt; CALENDARIO!$K11, "🔒", PALPITES!M11 &amp; " x " &amp; PALPITES!N11)</f>
        <v>🔒</v>
      </c>
      <c r="L12" s="57">
        <f>PALPITES!O11</f>
        <v>0</v>
      </c>
      <c r="M12" s="56" t="str">
        <f ca="1">IF(NOW() &lt; CALENDARIO!$K11, "🔒", PALPITES!Q11 &amp; " x " &amp; PALPITES!R11)</f>
        <v>🔒</v>
      </c>
      <c r="N12" s="56">
        <f>PALPITES!S11</f>
        <v>0</v>
      </c>
      <c r="O12" s="57" t="str">
        <f ca="1">IF(NOW() &lt; CALENDARIO!$K11, "🔒", PALPITES!U11 &amp; " x " &amp; PALPITES!V11)</f>
        <v>🔒</v>
      </c>
      <c r="P12" s="57">
        <f>PALPITES!W11</f>
        <v>0</v>
      </c>
      <c r="Q12" s="56" t="str">
        <f ca="1">IF(NOW() &lt; CALENDARIO!$K11, "🔒", PALPITES!Y11 &amp; " x " &amp; PALPITES!Z11)</f>
        <v>🔒</v>
      </c>
      <c r="R12" s="56">
        <f>PALPITES!AA11</f>
        <v>0</v>
      </c>
      <c r="S12" s="57" t="str">
        <f ca="1">IF(NOW() &lt; CALENDARIO!$K11, "🔒", PALPITES!AC11 &amp; " x " &amp; PALPITES!AD11)</f>
        <v>🔒</v>
      </c>
      <c r="T12" s="57">
        <f>PALPITES!AE11</f>
        <v>0</v>
      </c>
      <c r="U12" s="56" t="str">
        <f ca="1">IF(NOW() &lt; CALENDARIO!$K11, "🔒", PALPITES!AG11 &amp; " x " &amp; PALPITES!AH11)</f>
        <v>🔒</v>
      </c>
      <c r="V12" s="56">
        <f>PALPITES!AI11</f>
        <v>0</v>
      </c>
      <c r="W12" s="57" t="str">
        <f ca="1">IF(NOW() &lt; CALENDARIO!$K11, "🔒", PALPITES!AK11 &amp; " x " &amp; PALPITES!AL11)</f>
        <v>🔒</v>
      </c>
      <c r="X12" s="57">
        <f>PALPITES!AM11</f>
        <v>0</v>
      </c>
      <c r="Y12" s="56" t="str">
        <f ca="1">IF(NOW() &lt; CALENDARIO!$K11, "🔒", PALPITES!AO11 &amp; " x " &amp; PALPITES!AP11)</f>
        <v>🔒</v>
      </c>
      <c r="Z12" s="56">
        <f>PALPITES!AQ11</f>
        <v>0</v>
      </c>
      <c r="AA12" s="57" t="str">
        <f ca="1">IF(NOW() &lt; CALENDARIO!$K11, "🔒", PALPITES!AS11 &amp; " x " &amp; PALPITES!AT11)</f>
        <v>🔒</v>
      </c>
      <c r="AB12" s="57">
        <f>PALPITES!AU11</f>
        <v>0</v>
      </c>
      <c r="AC12" s="56" t="str">
        <f ca="1">IF(NOW() &lt; CALENDARIO!$K11, "🔒", PALPITES!AW11 &amp; " x " &amp; PALPITES!AX11)</f>
        <v>🔒</v>
      </c>
      <c r="AD12" s="56">
        <f>PALPITES!AY11</f>
        <v>0</v>
      </c>
      <c r="AE12" s="57" t="str">
        <f ca="1">IF(NOW() &lt; CALENDARIO!$K11, "🔒", PALPITES!BA11 &amp; " x " &amp; PALPITES!BB11)</f>
        <v>🔒</v>
      </c>
      <c r="AF12" s="57">
        <f>PALPITES!BC11</f>
        <v>0</v>
      </c>
      <c r="AG12" s="56" t="str">
        <f ca="1">IF(NOW() &lt; CALENDARIO!$K11, "🔒", PALPITES!BE11 &amp; " x " &amp; PALPITES!BF11)</f>
        <v>🔒</v>
      </c>
      <c r="AH12" s="56">
        <f>PALPITES!BG11</f>
        <v>0</v>
      </c>
      <c r="AI12" s="57" t="str">
        <f ca="1">IF(NOW() &lt; CALENDARIO!$K11, "🔒", PALPITES!BI11 &amp; " x " &amp; PALPITES!BJ11)</f>
        <v>🔒</v>
      </c>
      <c r="AJ12" s="57">
        <f>PALPITES!BK11</f>
        <v>0</v>
      </c>
    </row>
    <row r="13" spans="1:36" ht="12.75">
      <c r="A13" s="58">
        <f>CALENDARIO!A12</f>
        <v>11</v>
      </c>
      <c r="B13" s="59">
        <f>CALENDARIO!B12</f>
        <v>46187</v>
      </c>
      <c r="C13" s="60">
        <f>CALENDARIO!C12</f>
        <v>0.70833333333333337</v>
      </c>
      <c r="D13" s="61" t="str">
        <f>CALENDARIO!D12</f>
        <v>Holanda</v>
      </c>
      <c r="E13" s="58">
        <f>CALENDARIO!E12</f>
        <v>0</v>
      </c>
      <c r="F13" s="58" t="str">
        <f>CALENDARIO!F12</f>
        <v>x</v>
      </c>
      <c r="G13" s="58">
        <f>CALENDARIO!G12</f>
        <v>0</v>
      </c>
      <c r="H13" s="61" t="str">
        <f>CALENDARIO!H12</f>
        <v>Japão</v>
      </c>
      <c r="I13" s="56" t="str">
        <f ca="1">IF(NOW() &lt; CALENDARIO!$K12, "🔒", PALPITES!I12 &amp; " x " &amp; PALPITES!J12)</f>
        <v>🔒</v>
      </c>
      <c r="J13" s="56">
        <f>PALPITES!K12</f>
        <v>0</v>
      </c>
      <c r="K13" s="57" t="str">
        <f ca="1">IF(NOW() &lt; CALENDARIO!$K12, "🔒", PALPITES!M12 &amp; " x " &amp; PALPITES!N12)</f>
        <v>🔒</v>
      </c>
      <c r="L13" s="57">
        <f>PALPITES!O12</f>
        <v>0</v>
      </c>
      <c r="M13" s="56" t="str">
        <f ca="1">IF(NOW() &lt; CALENDARIO!$K12, "🔒", PALPITES!Q12 &amp; " x " &amp; PALPITES!R12)</f>
        <v>🔒</v>
      </c>
      <c r="N13" s="56">
        <f>PALPITES!S12</f>
        <v>0</v>
      </c>
      <c r="O13" s="57" t="str">
        <f ca="1">IF(NOW() &lt; CALENDARIO!$K12, "🔒", PALPITES!U12 &amp; " x " &amp; PALPITES!V12)</f>
        <v>🔒</v>
      </c>
      <c r="P13" s="57">
        <f>PALPITES!W12</f>
        <v>0</v>
      </c>
      <c r="Q13" s="56" t="str">
        <f ca="1">IF(NOW() &lt; CALENDARIO!$K12, "🔒", PALPITES!Y12 &amp; " x " &amp; PALPITES!Z12)</f>
        <v>🔒</v>
      </c>
      <c r="R13" s="56">
        <f>PALPITES!AA12</f>
        <v>0</v>
      </c>
      <c r="S13" s="57" t="str">
        <f ca="1">IF(NOW() &lt; CALENDARIO!$K12, "🔒", PALPITES!AC12 &amp; " x " &amp; PALPITES!AD12)</f>
        <v>🔒</v>
      </c>
      <c r="T13" s="57">
        <f>PALPITES!AE12</f>
        <v>0</v>
      </c>
      <c r="U13" s="56" t="str">
        <f ca="1">IF(NOW() &lt; CALENDARIO!$K12, "🔒", PALPITES!AG12 &amp; " x " &amp; PALPITES!AH12)</f>
        <v>🔒</v>
      </c>
      <c r="V13" s="56">
        <f>PALPITES!AI12</f>
        <v>0</v>
      </c>
      <c r="W13" s="57" t="str">
        <f ca="1">IF(NOW() &lt; CALENDARIO!$K12, "🔒", PALPITES!AK12 &amp; " x " &amp; PALPITES!AL12)</f>
        <v>🔒</v>
      </c>
      <c r="X13" s="57">
        <f>PALPITES!AM12</f>
        <v>0</v>
      </c>
      <c r="Y13" s="56" t="str">
        <f ca="1">IF(NOW() &lt; CALENDARIO!$K12, "🔒", PALPITES!AO12 &amp; " x " &amp; PALPITES!AP12)</f>
        <v>🔒</v>
      </c>
      <c r="Z13" s="56">
        <f>PALPITES!AQ12</f>
        <v>0</v>
      </c>
      <c r="AA13" s="57" t="str">
        <f ca="1">IF(NOW() &lt; CALENDARIO!$K12, "🔒", PALPITES!AS12 &amp; " x " &amp; PALPITES!AT12)</f>
        <v>🔒</v>
      </c>
      <c r="AB13" s="57">
        <f>PALPITES!AU12</f>
        <v>0</v>
      </c>
      <c r="AC13" s="56" t="str">
        <f ca="1">IF(NOW() &lt; CALENDARIO!$K12, "🔒", PALPITES!AW12 &amp; " x " &amp; PALPITES!AX12)</f>
        <v>🔒</v>
      </c>
      <c r="AD13" s="56">
        <f>PALPITES!AY12</f>
        <v>0</v>
      </c>
      <c r="AE13" s="57" t="str">
        <f ca="1">IF(NOW() &lt; CALENDARIO!$K12, "🔒", PALPITES!BA12 &amp; " x " &amp; PALPITES!BB12)</f>
        <v>🔒</v>
      </c>
      <c r="AF13" s="57">
        <f>PALPITES!BC12</f>
        <v>0</v>
      </c>
      <c r="AG13" s="56" t="str">
        <f ca="1">IF(NOW() &lt; CALENDARIO!$K12, "🔒", PALPITES!BE12 &amp; " x " &amp; PALPITES!BF12)</f>
        <v>🔒</v>
      </c>
      <c r="AH13" s="56">
        <f>PALPITES!BG12</f>
        <v>0</v>
      </c>
      <c r="AI13" s="57" t="str">
        <f ca="1">IF(NOW() &lt; CALENDARIO!$K12, "🔒", PALPITES!BI12 &amp; " x " &amp; PALPITES!BJ12)</f>
        <v>🔒</v>
      </c>
      <c r="AJ13" s="57">
        <f>PALPITES!BK12</f>
        <v>0</v>
      </c>
    </row>
    <row r="14" spans="1:36" ht="12.75">
      <c r="A14" s="58">
        <f>CALENDARIO!A13</f>
        <v>12</v>
      </c>
      <c r="B14" s="59">
        <f>CALENDARIO!B13</f>
        <v>46187</v>
      </c>
      <c r="C14" s="60">
        <f>CALENDARIO!C13</f>
        <v>0.95833333333333337</v>
      </c>
      <c r="D14" s="61" t="str">
        <f>CALENDARIO!D13</f>
        <v>Suécia</v>
      </c>
      <c r="E14" s="58">
        <f>CALENDARIO!E13</f>
        <v>0</v>
      </c>
      <c r="F14" s="58" t="str">
        <f>CALENDARIO!F13</f>
        <v>x</v>
      </c>
      <c r="G14" s="58">
        <f>CALENDARIO!G13</f>
        <v>0</v>
      </c>
      <c r="H14" s="61" t="str">
        <f>CALENDARIO!H13</f>
        <v>Tunísia</v>
      </c>
      <c r="I14" s="56" t="str">
        <f ca="1">IF(NOW() &lt; CALENDARIO!$K13, "🔒", PALPITES!I13 &amp; " x " &amp; PALPITES!J13)</f>
        <v>🔒</v>
      </c>
      <c r="J14" s="56">
        <f>PALPITES!K13</f>
        <v>0</v>
      </c>
      <c r="K14" s="57" t="str">
        <f ca="1">IF(NOW() &lt; CALENDARIO!$K13, "🔒", PALPITES!M13 &amp; " x " &amp; PALPITES!N13)</f>
        <v>🔒</v>
      </c>
      <c r="L14" s="57">
        <f>PALPITES!O13</f>
        <v>0</v>
      </c>
      <c r="M14" s="56" t="str">
        <f ca="1">IF(NOW() &lt; CALENDARIO!$K13, "🔒", PALPITES!Q13 &amp; " x " &amp; PALPITES!R13)</f>
        <v>🔒</v>
      </c>
      <c r="N14" s="56">
        <f>PALPITES!S13</f>
        <v>0</v>
      </c>
      <c r="O14" s="57" t="str">
        <f ca="1">IF(NOW() &lt; CALENDARIO!$K13, "🔒", PALPITES!U13 &amp; " x " &amp; PALPITES!V13)</f>
        <v>🔒</v>
      </c>
      <c r="P14" s="57">
        <f>PALPITES!W13</f>
        <v>0</v>
      </c>
      <c r="Q14" s="56" t="str">
        <f ca="1">IF(NOW() &lt; CALENDARIO!$K13, "🔒", PALPITES!Y13 &amp; " x " &amp; PALPITES!Z13)</f>
        <v>🔒</v>
      </c>
      <c r="R14" s="56">
        <f>PALPITES!AA13</f>
        <v>0</v>
      </c>
      <c r="S14" s="57" t="str">
        <f ca="1">IF(NOW() &lt; CALENDARIO!$K13, "🔒", PALPITES!AC13 &amp; " x " &amp; PALPITES!AD13)</f>
        <v>🔒</v>
      </c>
      <c r="T14" s="57">
        <f>PALPITES!AE13</f>
        <v>0</v>
      </c>
      <c r="U14" s="56" t="str">
        <f ca="1">IF(NOW() &lt; CALENDARIO!$K13, "🔒", PALPITES!AG13 &amp; " x " &amp; PALPITES!AH13)</f>
        <v>🔒</v>
      </c>
      <c r="V14" s="56">
        <f>PALPITES!AI13</f>
        <v>0</v>
      </c>
      <c r="W14" s="57" t="str">
        <f ca="1">IF(NOW() &lt; CALENDARIO!$K13, "🔒", PALPITES!AK13 &amp; " x " &amp; PALPITES!AL13)</f>
        <v>🔒</v>
      </c>
      <c r="X14" s="57">
        <f>PALPITES!AM13</f>
        <v>0</v>
      </c>
      <c r="Y14" s="56" t="str">
        <f ca="1">IF(NOW() &lt; CALENDARIO!$K13, "🔒", PALPITES!AO13 &amp; " x " &amp; PALPITES!AP13)</f>
        <v>🔒</v>
      </c>
      <c r="Z14" s="56">
        <f>PALPITES!AQ13</f>
        <v>0</v>
      </c>
      <c r="AA14" s="57" t="str">
        <f ca="1">IF(NOW() &lt; CALENDARIO!$K13, "🔒", PALPITES!AS13 &amp; " x " &amp; PALPITES!AT13)</f>
        <v>🔒</v>
      </c>
      <c r="AB14" s="57">
        <f>PALPITES!AU13</f>
        <v>0</v>
      </c>
      <c r="AC14" s="56" t="str">
        <f ca="1">IF(NOW() &lt; CALENDARIO!$K13, "🔒", PALPITES!AW13 &amp; " x " &amp; PALPITES!AX13)</f>
        <v>🔒</v>
      </c>
      <c r="AD14" s="56">
        <f>PALPITES!AY13</f>
        <v>0</v>
      </c>
      <c r="AE14" s="57" t="str">
        <f ca="1">IF(NOW() &lt; CALENDARIO!$K13, "🔒", PALPITES!BA13 &amp; " x " &amp; PALPITES!BB13)</f>
        <v>🔒</v>
      </c>
      <c r="AF14" s="57">
        <f>PALPITES!BC13</f>
        <v>0</v>
      </c>
      <c r="AG14" s="56" t="str">
        <f ca="1">IF(NOW() &lt; CALENDARIO!$K13, "🔒", PALPITES!BE13 &amp; " x " &amp; PALPITES!BF13)</f>
        <v>🔒</v>
      </c>
      <c r="AH14" s="56">
        <f>PALPITES!BG13</f>
        <v>0</v>
      </c>
      <c r="AI14" s="57" t="str">
        <f ca="1">IF(NOW() &lt; CALENDARIO!$K13, "🔒", PALPITES!BI13 &amp; " x " &amp; PALPITES!BJ13)</f>
        <v>🔒</v>
      </c>
      <c r="AJ14" s="57">
        <f>PALPITES!BK13</f>
        <v>0</v>
      </c>
    </row>
    <row r="15" spans="1:36" ht="12.75">
      <c r="A15" s="58">
        <f>CALENDARIO!A14</f>
        <v>13</v>
      </c>
      <c r="B15" s="59">
        <f>CALENDARIO!B14</f>
        <v>46188</v>
      </c>
      <c r="C15" s="60">
        <f>CALENDARIO!C14</f>
        <v>0.54166666666666663</v>
      </c>
      <c r="D15" s="61" t="str">
        <f>CALENDARIO!D14</f>
        <v>Espanha</v>
      </c>
      <c r="E15" s="58">
        <f>CALENDARIO!E14</f>
        <v>0</v>
      </c>
      <c r="F15" s="58" t="str">
        <f>CALENDARIO!F14</f>
        <v>x</v>
      </c>
      <c r="G15" s="58">
        <f>CALENDARIO!G14</f>
        <v>0</v>
      </c>
      <c r="H15" s="61" t="str">
        <f>CALENDARIO!H14</f>
        <v>Cabo Verde</v>
      </c>
      <c r="I15" s="56" t="str">
        <f ca="1">IF(NOW() &lt; CALENDARIO!$K14, "🔒", PALPITES!I14 &amp; " x " &amp; PALPITES!J14)</f>
        <v>🔒</v>
      </c>
      <c r="J15" s="56">
        <f>PALPITES!K14</f>
        <v>0</v>
      </c>
      <c r="K15" s="57" t="str">
        <f ca="1">IF(NOW() &lt; CALENDARIO!$K14, "🔒", PALPITES!M14 &amp; " x " &amp; PALPITES!N14)</f>
        <v>🔒</v>
      </c>
      <c r="L15" s="57">
        <f>PALPITES!O14</f>
        <v>0</v>
      </c>
      <c r="M15" s="56" t="str">
        <f ca="1">IF(NOW() &lt; CALENDARIO!$K14, "🔒", PALPITES!Q14 &amp; " x " &amp; PALPITES!R14)</f>
        <v>🔒</v>
      </c>
      <c r="N15" s="56">
        <f>PALPITES!S14</f>
        <v>0</v>
      </c>
      <c r="O15" s="57" t="str">
        <f ca="1">IF(NOW() &lt; CALENDARIO!$K14, "🔒", PALPITES!U14 &amp; " x " &amp; PALPITES!V14)</f>
        <v>🔒</v>
      </c>
      <c r="P15" s="57">
        <f>PALPITES!W14</f>
        <v>0</v>
      </c>
      <c r="Q15" s="56" t="str">
        <f ca="1">IF(NOW() &lt; CALENDARIO!$K14, "🔒", PALPITES!Y14 &amp; " x " &amp; PALPITES!Z14)</f>
        <v>🔒</v>
      </c>
      <c r="R15" s="56">
        <f>PALPITES!AA14</f>
        <v>0</v>
      </c>
      <c r="S15" s="57" t="str">
        <f ca="1">IF(NOW() &lt; CALENDARIO!$K14, "🔒", PALPITES!AC14 &amp; " x " &amp; PALPITES!AD14)</f>
        <v>🔒</v>
      </c>
      <c r="T15" s="57">
        <f>PALPITES!AE14</f>
        <v>0</v>
      </c>
      <c r="U15" s="56" t="str">
        <f ca="1">IF(NOW() &lt; CALENDARIO!$K14, "🔒", PALPITES!AG14 &amp; " x " &amp; PALPITES!AH14)</f>
        <v>🔒</v>
      </c>
      <c r="V15" s="56">
        <f>PALPITES!AI14</f>
        <v>0</v>
      </c>
      <c r="W15" s="57" t="str">
        <f ca="1">IF(NOW() &lt; CALENDARIO!$K14, "🔒", PALPITES!AK14 &amp; " x " &amp; PALPITES!AL14)</f>
        <v>🔒</v>
      </c>
      <c r="X15" s="57">
        <f>PALPITES!AM14</f>
        <v>0</v>
      </c>
      <c r="Y15" s="56" t="str">
        <f ca="1">IF(NOW() &lt; CALENDARIO!$K14, "🔒", PALPITES!AO14 &amp; " x " &amp; PALPITES!AP14)</f>
        <v>🔒</v>
      </c>
      <c r="Z15" s="56">
        <f>PALPITES!AQ14</f>
        <v>0</v>
      </c>
      <c r="AA15" s="57" t="str">
        <f ca="1">IF(NOW() &lt; CALENDARIO!$K14, "🔒", PALPITES!AS14 &amp; " x " &amp; PALPITES!AT14)</f>
        <v>🔒</v>
      </c>
      <c r="AB15" s="57">
        <f>PALPITES!AU14</f>
        <v>0</v>
      </c>
      <c r="AC15" s="56" t="str">
        <f ca="1">IF(NOW() &lt; CALENDARIO!$K14, "🔒", PALPITES!AW14 &amp; " x " &amp; PALPITES!AX14)</f>
        <v>🔒</v>
      </c>
      <c r="AD15" s="56">
        <f>PALPITES!AY14</f>
        <v>0</v>
      </c>
      <c r="AE15" s="57" t="str">
        <f ca="1">IF(NOW() &lt; CALENDARIO!$K14, "🔒", PALPITES!BA14 &amp; " x " &amp; PALPITES!BB14)</f>
        <v>🔒</v>
      </c>
      <c r="AF15" s="57">
        <f>PALPITES!BC14</f>
        <v>0</v>
      </c>
      <c r="AG15" s="56" t="str">
        <f ca="1">IF(NOW() &lt; CALENDARIO!$K14, "🔒", PALPITES!BE14 &amp; " x " &amp; PALPITES!BF14)</f>
        <v>🔒</v>
      </c>
      <c r="AH15" s="56">
        <f>PALPITES!BG14</f>
        <v>0</v>
      </c>
      <c r="AI15" s="57" t="str">
        <f ca="1">IF(NOW() &lt; CALENDARIO!$K14, "🔒", PALPITES!BI14 &amp; " x " &amp; PALPITES!BJ14)</f>
        <v>🔒</v>
      </c>
      <c r="AJ15" s="57">
        <f>PALPITES!BK14</f>
        <v>0</v>
      </c>
    </row>
    <row r="16" spans="1:36" ht="12.75">
      <c r="A16" s="58">
        <f>CALENDARIO!A15</f>
        <v>14</v>
      </c>
      <c r="B16" s="59">
        <f>CALENDARIO!B15</f>
        <v>46188</v>
      </c>
      <c r="C16" s="60">
        <f>CALENDARIO!C15</f>
        <v>0.79166666666666663</v>
      </c>
      <c r="D16" s="61" t="str">
        <f>CALENDARIO!D15</f>
        <v>Arábia Saudita</v>
      </c>
      <c r="E16" s="58">
        <f>CALENDARIO!E15</f>
        <v>0</v>
      </c>
      <c r="F16" s="58" t="str">
        <f>CALENDARIO!F15</f>
        <v>x</v>
      </c>
      <c r="G16" s="58">
        <f>CALENDARIO!G15</f>
        <v>0</v>
      </c>
      <c r="H16" s="61" t="str">
        <f>CALENDARIO!H15</f>
        <v>Uruguai</v>
      </c>
      <c r="I16" s="56" t="str">
        <f ca="1">IF(NOW() &lt; CALENDARIO!$K15, "🔒", PALPITES!I15 &amp; " x " &amp; PALPITES!J15)</f>
        <v>🔒</v>
      </c>
      <c r="J16" s="56">
        <f>PALPITES!K15</f>
        <v>0</v>
      </c>
      <c r="K16" s="57" t="str">
        <f ca="1">IF(NOW() &lt; CALENDARIO!$K15, "🔒", PALPITES!M15 &amp; " x " &amp; PALPITES!N15)</f>
        <v>🔒</v>
      </c>
      <c r="L16" s="57">
        <f>PALPITES!O15</f>
        <v>0</v>
      </c>
      <c r="M16" s="56" t="str">
        <f ca="1">IF(NOW() &lt; CALENDARIO!$K15, "🔒", PALPITES!Q15 &amp; " x " &amp; PALPITES!R15)</f>
        <v>🔒</v>
      </c>
      <c r="N16" s="56">
        <f>PALPITES!S15</f>
        <v>0</v>
      </c>
      <c r="O16" s="57" t="str">
        <f ca="1">IF(NOW() &lt; CALENDARIO!$K15, "🔒", PALPITES!U15 &amp; " x " &amp; PALPITES!V15)</f>
        <v>🔒</v>
      </c>
      <c r="P16" s="57">
        <f>PALPITES!W15</f>
        <v>0</v>
      </c>
      <c r="Q16" s="56" t="str">
        <f ca="1">IF(NOW() &lt; CALENDARIO!$K15, "🔒", PALPITES!Y15 &amp; " x " &amp; PALPITES!Z15)</f>
        <v>🔒</v>
      </c>
      <c r="R16" s="56">
        <f>PALPITES!AA15</f>
        <v>0</v>
      </c>
      <c r="S16" s="57" t="str">
        <f ca="1">IF(NOW() &lt; CALENDARIO!$K15, "🔒", PALPITES!AC15 &amp; " x " &amp; PALPITES!AD15)</f>
        <v>🔒</v>
      </c>
      <c r="T16" s="57">
        <f>PALPITES!AE15</f>
        <v>0</v>
      </c>
      <c r="U16" s="56" t="str">
        <f ca="1">IF(NOW() &lt; CALENDARIO!$K15, "🔒", PALPITES!AG15 &amp; " x " &amp; PALPITES!AH15)</f>
        <v>🔒</v>
      </c>
      <c r="V16" s="56">
        <f>PALPITES!AI15</f>
        <v>0</v>
      </c>
      <c r="W16" s="57" t="str">
        <f ca="1">IF(NOW() &lt; CALENDARIO!$K15, "🔒", PALPITES!AK15 &amp; " x " &amp; PALPITES!AL15)</f>
        <v>🔒</v>
      </c>
      <c r="X16" s="57">
        <f>PALPITES!AM15</f>
        <v>0</v>
      </c>
      <c r="Y16" s="56" t="str">
        <f ca="1">IF(NOW() &lt; CALENDARIO!$K15, "🔒", PALPITES!AO15 &amp; " x " &amp; PALPITES!AP15)</f>
        <v>🔒</v>
      </c>
      <c r="Z16" s="56">
        <f>PALPITES!AQ15</f>
        <v>0</v>
      </c>
      <c r="AA16" s="57" t="str">
        <f ca="1">IF(NOW() &lt; CALENDARIO!$K15, "🔒", PALPITES!AS15 &amp; " x " &amp; PALPITES!AT15)</f>
        <v>🔒</v>
      </c>
      <c r="AB16" s="57">
        <f>PALPITES!AU15</f>
        <v>0</v>
      </c>
      <c r="AC16" s="56" t="str">
        <f ca="1">IF(NOW() &lt; CALENDARIO!$K15, "🔒", PALPITES!AW15 &amp; " x " &amp; PALPITES!AX15)</f>
        <v>🔒</v>
      </c>
      <c r="AD16" s="56">
        <f>PALPITES!AY15</f>
        <v>0</v>
      </c>
      <c r="AE16" s="57" t="str">
        <f ca="1">IF(NOW() &lt; CALENDARIO!$K15, "🔒", PALPITES!BA15 &amp; " x " &amp; PALPITES!BB15)</f>
        <v>🔒</v>
      </c>
      <c r="AF16" s="57">
        <f>PALPITES!BC15</f>
        <v>0</v>
      </c>
      <c r="AG16" s="56" t="str">
        <f ca="1">IF(NOW() &lt; CALENDARIO!$K15, "🔒", PALPITES!BE15 &amp; " x " &amp; PALPITES!BF15)</f>
        <v>🔒</v>
      </c>
      <c r="AH16" s="56">
        <f>PALPITES!BG15</f>
        <v>0</v>
      </c>
      <c r="AI16" s="57" t="str">
        <f ca="1">IF(NOW() &lt; CALENDARIO!$K15, "🔒", PALPITES!BI15 &amp; " x " &amp; PALPITES!BJ15)</f>
        <v>🔒</v>
      </c>
      <c r="AJ16" s="57">
        <f>PALPITES!BK15</f>
        <v>0</v>
      </c>
    </row>
    <row r="17" spans="1:36" ht="12.75">
      <c r="A17" s="58">
        <f>CALENDARIO!A16</f>
        <v>15</v>
      </c>
      <c r="B17" s="59">
        <f>CALENDARIO!B16</f>
        <v>46188</v>
      </c>
      <c r="C17" s="60">
        <f>CALENDARIO!C16</f>
        <v>0.66666666666666663</v>
      </c>
      <c r="D17" s="61" t="str">
        <f>CALENDARIO!D16</f>
        <v>Bélgica</v>
      </c>
      <c r="E17" s="58">
        <f>CALENDARIO!E16</f>
        <v>0</v>
      </c>
      <c r="F17" s="58" t="str">
        <f>CALENDARIO!F16</f>
        <v>x</v>
      </c>
      <c r="G17" s="58">
        <f>CALENDARIO!G16</f>
        <v>0</v>
      </c>
      <c r="H17" s="61" t="str">
        <f>CALENDARIO!H16</f>
        <v>Egito</v>
      </c>
      <c r="I17" s="56" t="str">
        <f ca="1">IF(NOW() &lt; CALENDARIO!$K16, "🔒", PALPITES!I16 &amp; " x " &amp; PALPITES!J16)</f>
        <v>🔒</v>
      </c>
      <c r="J17" s="56">
        <f>PALPITES!K16</f>
        <v>0</v>
      </c>
      <c r="K17" s="57" t="str">
        <f ca="1">IF(NOW() &lt; CALENDARIO!$K16, "🔒", PALPITES!M16 &amp; " x " &amp; PALPITES!N16)</f>
        <v>🔒</v>
      </c>
      <c r="L17" s="57">
        <f>PALPITES!O16</f>
        <v>0</v>
      </c>
      <c r="M17" s="56" t="str">
        <f ca="1">IF(NOW() &lt; CALENDARIO!$K16, "🔒", PALPITES!Q16 &amp; " x " &amp; PALPITES!R16)</f>
        <v>🔒</v>
      </c>
      <c r="N17" s="56">
        <f>PALPITES!S16</f>
        <v>0</v>
      </c>
      <c r="O17" s="57" t="str">
        <f ca="1">IF(NOW() &lt; CALENDARIO!$K16, "🔒", PALPITES!U16 &amp; " x " &amp; PALPITES!V16)</f>
        <v>🔒</v>
      </c>
      <c r="P17" s="57">
        <f>PALPITES!W16</f>
        <v>0</v>
      </c>
      <c r="Q17" s="56" t="str">
        <f ca="1">IF(NOW() &lt; CALENDARIO!$K16, "🔒", PALPITES!Y16 &amp; " x " &amp; PALPITES!Z16)</f>
        <v>🔒</v>
      </c>
      <c r="R17" s="56">
        <f>PALPITES!AA16</f>
        <v>0</v>
      </c>
      <c r="S17" s="57" t="str">
        <f ca="1">IF(NOW() &lt; CALENDARIO!$K16, "🔒", PALPITES!AC16 &amp; " x " &amp; PALPITES!AD16)</f>
        <v>🔒</v>
      </c>
      <c r="T17" s="57">
        <f>PALPITES!AE16</f>
        <v>0</v>
      </c>
      <c r="U17" s="56" t="str">
        <f ca="1">IF(NOW() &lt; CALENDARIO!$K16, "🔒", PALPITES!AG16 &amp; " x " &amp; PALPITES!AH16)</f>
        <v>🔒</v>
      </c>
      <c r="V17" s="56">
        <f>PALPITES!AI16</f>
        <v>0</v>
      </c>
      <c r="W17" s="57" t="str">
        <f ca="1">IF(NOW() &lt; CALENDARIO!$K16, "🔒", PALPITES!AK16 &amp; " x " &amp; PALPITES!AL16)</f>
        <v>🔒</v>
      </c>
      <c r="X17" s="57">
        <f>PALPITES!AM16</f>
        <v>0</v>
      </c>
      <c r="Y17" s="56" t="str">
        <f ca="1">IF(NOW() &lt; CALENDARIO!$K16, "🔒", PALPITES!AO16 &amp; " x " &amp; PALPITES!AP16)</f>
        <v>🔒</v>
      </c>
      <c r="Z17" s="56">
        <f>PALPITES!AQ16</f>
        <v>0</v>
      </c>
      <c r="AA17" s="57" t="str">
        <f ca="1">IF(NOW() &lt; CALENDARIO!$K16, "🔒", PALPITES!AS16 &amp; " x " &amp; PALPITES!AT16)</f>
        <v>🔒</v>
      </c>
      <c r="AB17" s="57">
        <f>PALPITES!AU16</f>
        <v>0</v>
      </c>
      <c r="AC17" s="56" t="str">
        <f ca="1">IF(NOW() &lt; CALENDARIO!$K16, "🔒", PALPITES!AW16 &amp; " x " &amp; PALPITES!AX16)</f>
        <v>🔒</v>
      </c>
      <c r="AD17" s="56">
        <f>PALPITES!AY16</f>
        <v>0</v>
      </c>
      <c r="AE17" s="57" t="str">
        <f ca="1">IF(NOW() &lt; CALENDARIO!$K16, "🔒", PALPITES!BA16 &amp; " x " &amp; PALPITES!BB16)</f>
        <v>🔒</v>
      </c>
      <c r="AF17" s="57">
        <f>PALPITES!BC16</f>
        <v>0</v>
      </c>
      <c r="AG17" s="56" t="str">
        <f ca="1">IF(NOW() &lt; CALENDARIO!$K16, "🔒", PALPITES!BE16 &amp; " x " &amp; PALPITES!BF16)</f>
        <v>🔒</v>
      </c>
      <c r="AH17" s="56">
        <f>PALPITES!BG16</f>
        <v>0</v>
      </c>
      <c r="AI17" s="57" t="str">
        <f ca="1">IF(NOW() &lt; CALENDARIO!$K16, "🔒", PALPITES!BI16 &amp; " x " &amp; PALPITES!BJ16)</f>
        <v>🔒</v>
      </c>
      <c r="AJ17" s="57">
        <f>PALPITES!BK16</f>
        <v>0</v>
      </c>
    </row>
    <row r="18" spans="1:36" ht="12.75">
      <c r="A18" s="58">
        <f>CALENDARIO!A17</f>
        <v>16</v>
      </c>
      <c r="B18" s="59">
        <f>CALENDARIO!B17</f>
        <v>46188</v>
      </c>
      <c r="C18" s="60">
        <f>CALENDARIO!C17</f>
        <v>0.91666666666666663</v>
      </c>
      <c r="D18" s="61" t="str">
        <f>CALENDARIO!D17</f>
        <v>Irã</v>
      </c>
      <c r="E18" s="58">
        <f>CALENDARIO!E17</f>
        <v>0</v>
      </c>
      <c r="F18" s="58" t="str">
        <f>CALENDARIO!F17</f>
        <v>x</v>
      </c>
      <c r="G18" s="58">
        <f>CALENDARIO!G17</f>
        <v>0</v>
      </c>
      <c r="H18" s="61" t="str">
        <f>CALENDARIO!H17</f>
        <v>Nova Zelândia</v>
      </c>
      <c r="I18" s="56" t="str">
        <f ca="1">IF(NOW() &lt; CALENDARIO!$K17, "🔒", PALPITES!I17 &amp; " x " &amp; PALPITES!J17)</f>
        <v>🔒</v>
      </c>
      <c r="J18" s="56">
        <f>PALPITES!K17</f>
        <v>0</v>
      </c>
      <c r="K18" s="57" t="str">
        <f ca="1">IF(NOW() &lt; CALENDARIO!$K17, "🔒", PALPITES!M17 &amp; " x " &amp; PALPITES!N17)</f>
        <v>🔒</v>
      </c>
      <c r="L18" s="57">
        <f>PALPITES!O17</f>
        <v>0</v>
      </c>
      <c r="M18" s="56" t="str">
        <f ca="1">IF(NOW() &lt; CALENDARIO!$K17, "🔒", PALPITES!Q17 &amp; " x " &amp; PALPITES!R17)</f>
        <v>🔒</v>
      </c>
      <c r="N18" s="56">
        <f>PALPITES!S17</f>
        <v>0</v>
      </c>
      <c r="O18" s="57" t="str">
        <f ca="1">IF(NOW() &lt; CALENDARIO!$K17, "🔒", PALPITES!U17 &amp; " x " &amp; PALPITES!V17)</f>
        <v>🔒</v>
      </c>
      <c r="P18" s="57">
        <f>PALPITES!W17</f>
        <v>0</v>
      </c>
      <c r="Q18" s="56" t="str">
        <f ca="1">IF(NOW() &lt; CALENDARIO!$K17, "🔒", PALPITES!Y17 &amp; " x " &amp; PALPITES!Z17)</f>
        <v>🔒</v>
      </c>
      <c r="R18" s="56">
        <f>PALPITES!AA17</f>
        <v>0</v>
      </c>
      <c r="S18" s="57" t="str">
        <f ca="1">IF(NOW() &lt; CALENDARIO!$K17, "🔒", PALPITES!AC17 &amp; " x " &amp; PALPITES!AD17)</f>
        <v>🔒</v>
      </c>
      <c r="T18" s="57">
        <f>PALPITES!AE17</f>
        <v>0</v>
      </c>
      <c r="U18" s="56" t="str">
        <f ca="1">IF(NOW() &lt; CALENDARIO!$K17, "🔒", PALPITES!AG17 &amp; " x " &amp; PALPITES!AH17)</f>
        <v>🔒</v>
      </c>
      <c r="V18" s="56">
        <f>PALPITES!AI17</f>
        <v>0</v>
      </c>
      <c r="W18" s="57" t="str">
        <f ca="1">IF(NOW() &lt; CALENDARIO!$K17, "🔒", PALPITES!AK17 &amp; " x " &amp; PALPITES!AL17)</f>
        <v>🔒</v>
      </c>
      <c r="X18" s="57">
        <f>PALPITES!AM17</f>
        <v>0</v>
      </c>
      <c r="Y18" s="56" t="str">
        <f ca="1">IF(NOW() &lt; CALENDARIO!$K17, "🔒", PALPITES!AO17 &amp; " x " &amp; PALPITES!AP17)</f>
        <v>🔒</v>
      </c>
      <c r="Z18" s="56">
        <f>PALPITES!AQ17</f>
        <v>0</v>
      </c>
      <c r="AA18" s="57" t="str">
        <f ca="1">IF(NOW() &lt; CALENDARIO!$K17, "🔒", PALPITES!AS17 &amp; " x " &amp; PALPITES!AT17)</f>
        <v>🔒</v>
      </c>
      <c r="AB18" s="57">
        <f>PALPITES!AU17</f>
        <v>0</v>
      </c>
      <c r="AC18" s="56" t="str">
        <f ca="1">IF(NOW() &lt; CALENDARIO!$K17, "🔒", PALPITES!AW17 &amp; " x " &amp; PALPITES!AX17)</f>
        <v>🔒</v>
      </c>
      <c r="AD18" s="56">
        <f>PALPITES!AY17</f>
        <v>0</v>
      </c>
      <c r="AE18" s="57" t="str">
        <f ca="1">IF(NOW() &lt; CALENDARIO!$K17, "🔒", PALPITES!BA17 &amp; " x " &amp; PALPITES!BB17)</f>
        <v>🔒</v>
      </c>
      <c r="AF18" s="57">
        <f>PALPITES!BC17</f>
        <v>0</v>
      </c>
      <c r="AG18" s="56" t="str">
        <f ca="1">IF(NOW() &lt; CALENDARIO!$K17, "🔒", PALPITES!BE17 &amp; " x " &amp; PALPITES!BF17)</f>
        <v>🔒</v>
      </c>
      <c r="AH18" s="56">
        <f>PALPITES!BG17</f>
        <v>0</v>
      </c>
      <c r="AI18" s="57" t="str">
        <f ca="1">IF(NOW() &lt; CALENDARIO!$K17, "🔒", PALPITES!BI17 &amp; " x " &amp; PALPITES!BJ17)</f>
        <v>🔒</v>
      </c>
      <c r="AJ18" s="57">
        <f>PALPITES!BK17</f>
        <v>0</v>
      </c>
    </row>
    <row r="19" spans="1:36" ht="12.75">
      <c r="A19" s="58">
        <f>CALENDARIO!A18</f>
        <v>17</v>
      </c>
      <c r="B19" s="59">
        <f>CALENDARIO!B18</f>
        <v>46190</v>
      </c>
      <c r="C19" s="60">
        <f>CALENDARIO!C18</f>
        <v>4.1666666666666664E-2</v>
      </c>
      <c r="D19" s="61" t="str">
        <f>CALENDARIO!D18</f>
        <v>Áustria</v>
      </c>
      <c r="E19" s="58">
        <f>CALENDARIO!E18</f>
        <v>0</v>
      </c>
      <c r="F19" s="58" t="str">
        <f>CALENDARIO!F18</f>
        <v>x</v>
      </c>
      <c r="G19" s="58">
        <f>CALENDARIO!G18</f>
        <v>0</v>
      </c>
      <c r="H19" s="61" t="str">
        <f>CALENDARIO!H18</f>
        <v>Jordânia</v>
      </c>
      <c r="I19" s="56" t="str">
        <f ca="1">IF(NOW() &lt; CALENDARIO!$K18, "🔒", PALPITES!I18 &amp; " x " &amp; PALPITES!J18)</f>
        <v>🔒</v>
      </c>
      <c r="J19" s="56">
        <f>PALPITES!K18</f>
        <v>0</v>
      </c>
      <c r="K19" s="57" t="str">
        <f ca="1">IF(NOW() &lt; CALENDARIO!$K18, "🔒", PALPITES!M18 &amp; " x " &amp; PALPITES!N18)</f>
        <v>🔒</v>
      </c>
      <c r="L19" s="57">
        <f>PALPITES!O18</f>
        <v>0</v>
      </c>
      <c r="M19" s="56" t="str">
        <f ca="1">IF(NOW() &lt; CALENDARIO!$K18, "🔒", PALPITES!Q18 &amp; " x " &amp; PALPITES!R18)</f>
        <v>🔒</v>
      </c>
      <c r="N19" s="56">
        <f>PALPITES!S18</f>
        <v>0</v>
      </c>
      <c r="O19" s="57" t="str">
        <f ca="1">IF(NOW() &lt; CALENDARIO!$K18, "🔒", PALPITES!U18 &amp; " x " &amp; PALPITES!V18)</f>
        <v>🔒</v>
      </c>
      <c r="P19" s="57">
        <f>PALPITES!W18</f>
        <v>0</v>
      </c>
      <c r="Q19" s="56" t="str">
        <f ca="1">IF(NOW() &lt; CALENDARIO!$K18, "🔒", PALPITES!Y18 &amp; " x " &amp; PALPITES!Z18)</f>
        <v>🔒</v>
      </c>
      <c r="R19" s="56">
        <f>PALPITES!AA18</f>
        <v>0</v>
      </c>
      <c r="S19" s="57" t="str">
        <f ca="1">IF(NOW() &lt; CALENDARIO!$K18, "🔒", PALPITES!AC18 &amp; " x " &amp; PALPITES!AD18)</f>
        <v>🔒</v>
      </c>
      <c r="T19" s="57">
        <f>PALPITES!AE18</f>
        <v>0</v>
      </c>
      <c r="U19" s="56" t="str">
        <f ca="1">IF(NOW() &lt; CALENDARIO!$K18, "🔒", PALPITES!AG18 &amp; " x " &amp; PALPITES!AH18)</f>
        <v>🔒</v>
      </c>
      <c r="V19" s="56">
        <f>PALPITES!AI18</f>
        <v>0</v>
      </c>
      <c r="W19" s="57" t="str">
        <f ca="1">IF(NOW() &lt; CALENDARIO!$K18, "🔒", PALPITES!AK18 &amp; " x " &amp; PALPITES!AL18)</f>
        <v>🔒</v>
      </c>
      <c r="X19" s="57">
        <f>PALPITES!AM18</f>
        <v>0</v>
      </c>
      <c r="Y19" s="56" t="str">
        <f ca="1">IF(NOW() &lt; CALENDARIO!$K18, "🔒", PALPITES!AO18 &amp; " x " &amp; PALPITES!AP18)</f>
        <v>🔒</v>
      </c>
      <c r="Z19" s="56">
        <f>PALPITES!AQ18</f>
        <v>0</v>
      </c>
      <c r="AA19" s="57" t="str">
        <f ca="1">IF(NOW() &lt; CALENDARIO!$K18, "🔒", PALPITES!AS18 &amp; " x " &amp; PALPITES!AT18)</f>
        <v>🔒</v>
      </c>
      <c r="AB19" s="57">
        <f>PALPITES!AU18</f>
        <v>0</v>
      </c>
      <c r="AC19" s="56" t="str">
        <f ca="1">IF(NOW() &lt; CALENDARIO!$K18, "🔒", PALPITES!AW18 &amp; " x " &amp; PALPITES!AX18)</f>
        <v>🔒</v>
      </c>
      <c r="AD19" s="56">
        <f>PALPITES!AY18</f>
        <v>0</v>
      </c>
      <c r="AE19" s="57" t="str">
        <f ca="1">IF(NOW() &lt; CALENDARIO!$K18, "🔒", PALPITES!BA18 &amp; " x " &amp; PALPITES!BB18)</f>
        <v>🔒</v>
      </c>
      <c r="AF19" s="57">
        <f>PALPITES!BC18</f>
        <v>0</v>
      </c>
      <c r="AG19" s="56" t="str">
        <f ca="1">IF(NOW() &lt; CALENDARIO!$K18, "🔒", PALPITES!BE18 &amp; " x " &amp; PALPITES!BF18)</f>
        <v>🔒</v>
      </c>
      <c r="AH19" s="56">
        <f>PALPITES!BG18</f>
        <v>0</v>
      </c>
      <c r="AI19" s="57" t="str">
        <f ca="1">IF(NOW() &lt; CALENDARIO!$K18, "🔒", PALPITES!BI18 &amp; " x " &amp; PALPITES!BJ18)</f>
        <v>🔒</v>
      </c>
      <c r="AJ19" s="57">
        <f>PALPITES!BK18</f>
        <v>0</v>
      </c>
    </row>
    <row r="20" spans="1:36" ht="12.75">
      <c r="A20" s="58">
        <f>CALENDARIO!A19</f>
        <v>18</v>
      </c>
      <c r="B20" s="59">
        <f>CALENDARIO!B19</f>
        <v>46189</v>
      </c>
      <c r="C20" s="60">
        <f>CALENDARIO!C19</f>
        <v>0.66666666666666663</v>
      </c>
      <c r="D20" s="61" t="str">
        <f>CALENDARIO!D19</f>
        <v>França</v>
      </c>
      <c r="E20" s="58">
        <f>CALENDARIO!E19</f>
        <v>0</v>
      </c>
      <c r="F20" s="58" t="str">
        <f>CALENDARIO!F19</f>
        <v>x</v>
      </c>
      <c r="G20" s="58">
        <f>CALENDARIO!G19</f>
        <v>0</v>
      </c>
      <c r="H20" s="61" t="str">
        <f>CALENDARIO!H19</f>
        <v>Senegal</v>
      </c>
      <c r="I20" s="56" t="str">
        <f ca="1">IF(NOW() &lt; CALENDARIO!$K19, "🔒", PALPITES!I19 &amp; " x " &amp; PALPITES!J19)</f>
        <v>🔒</v>
      </c>
      <c r="J20" s="56">
        <f>PALPITES!K19</f>
        <v>0</v>
      </c>
      <c r="K20" s="57" t="str">
        <f ca="1">IF(NOW() &lt; CALENDARIO!$K19, "🔒", PALPITES!M19 &amp; " x " &amp; PALPITES!N19)</f>
        <v>🔒</v>
      </c>
      <c r="L20" s="57">
        <f>PALPITES!O19</f>
        <v>0</v>
      </c>
      <c r="M20" s="56" t="str">
        <f ca="1">IF(NOW() &lt; CALENDARIO!$K19, "🔒", PALPITES!Q19 &amp; " x " &amp; PALPITES!R19)</f>
        <v>🔒</v>
      </c>
      <c r="N20" s="56">
        <f>PALPITES!S19</f>
        <v>0</v>
      </c>
      <c r="O20" s="57" t="str">
        <f ca="1">IF(NOW() &lt; CALENDARIO!$K19, "🔒", PALPITES!U19 &amp; " x " &amp; PALPITES!V19)</f>
        <v>🔒</v>
      </c>
      <c r="P20" s="57">
        <f>PALPITES!W19</f>
        <v>0</v>
      </c>
      <c r="Q20" s="56" t="str">
        <f ca="1">IF(NOW() &lt; CALENDARIO!$K19, "🔒", PALPITES!Y19 &amp; " x " &amp; PALPITES!Z19)</f>
        <v>🔒</v>
      </c>
      <c r="R20" s="56">
        <f>PALPITES!AA19</f>
        <v>0</v>
      </c>
      <c r="S20" s="57" t="str">
        <f ca="1">IF(NOW() &lt; CALENDARIO!$K19, "🔒", PALPITES!AC19 &amp; " x " &amp; PALPITES!AD19)</f>
        <v>🔒</v>
      </c>
      <c r="T20" s="57">
        <f>PALPITES!AE19</f>
        <v>0</v>
      </c>
      <c r="U20" s="56" t="str">
        <f ca="1">IF(NOW() &lt; CALENDARIO!$K19, "🔒", PALPITES!AG19 &amp; " x " &amp; PALPITES!AH19)</f>
        <v>🔒</v>
      </c>
      <c r="V20" s="56">
        <f>PALPITES!AI19</f>
        <v>0</v>
      </c>
      <c r="W20" s="57" t="str">
        <f ca="1">IF(NOW() &lt; CALENDARIO!$K19, "🔒", PALPITES!AK19 &amp; " x " &amp; PALPITES!AL19)</f>
        <v>🔒</v>
      </c>
      <c r="X20" s="57">
        <f>PALPITES!AM19</f>
        <v>0</v>
      </c>
      <c r="Y20" s="56" t="str">
        <f ca="1">IF(NOW() &lt; CALENDARIO!$K19, "🔒", PALPITES!AO19 &amp; " x " &amp; PALPITES!AP19)</f>
        <v>🔒</v>
      </c>
      <c r="Z20" s="56">
        <f>PALPITES!AQ19</f>
        <v>0</v>
      </c>
      <c r="AA20" s="57" t="str">
        <f ca="1">IF(NOW() &lt; CALENDARIO!$K19, "🔒", PALPITES!AS19 &amp; " x " &amp; PALPITES!AT19)</f>
        <v>🔒</v>
      </c>
      <c r="AB20" s="57">
        <f>PALPITES!AU19</f>
        <v>0</v>
      </c>
      <c r="AC20" s="56" t="str">
        <f ca="1">IF(NOW() &lt; CALENDARIO!$K19, "🔒", PALPITES!AW19 &amp; " x " &amp; PALPITES!AX19)</f>
        <v>🔒</v>
      </c>
      <c r="AD20" s="56">
        <f>PALPITES!AY19</f>
        <v>0</v>
      </c>
      <c r="AE20" s="57" t="str">
        <f ca="1">IF(NOW() &lt; CALENDARIO!$K19, "🔒", PALPITES!BA19 &amp; " x " &amp; PALPITES!BB19)</f>
        <v>🔒</v>
      </c>
      <c r="AF20" s="57">
        <f>PALPITES!BC19</f>
        <v>0</v>
      </c>
      <c r="AG20" s="56" t="str">
        <f ca="1">IF(NOW() &lt; CALENDARIO!$K19, "🔒", PALPITES!BE19 &amp; " x " &amp; PALPITES!BF19)</f>
        <v>🔒</v>
      </c>
      <c r="AH20" s="56">
        <f>PALPITES!BG19</f>
        <v>0</v>
      </c>
      <c r="AI20" s="57" t="str">
        <f ca="1">IF(NOW() &lt; CALENDARIO!$K19, "🔒", PALPITES!BI19 &amp; " x " &amp; PALPITES!BJ19)</f>
        <v>🔒</v>
      </c>
      <c r="AJ20" s="57">
        <f>PALPITES!BK19</f>
        <v>0</v>
      </c>
    </row>
    <row r="21" spans="1:36" ht="12.75">
      <c r="A21" s="58">
        <f>CALENDARIO!A20</f>
        <v>19</v>
      </c>
      <c r="B21" s="59">
        <f>CALENDARIO!B20</f>
        <v>46189</v>
      </c>
      <c r="C21" s="60">
        <f>CALENDARIO!C20</f>
        <v>0.79166666666666663</v>
      </c>
      <c r="D21" s="61" t="str">
        <f>CALENDARIO!D20</f>
        <v>Iraque</v>
      </c>
      <c r="E21" s="58">
        <f>CALENDARIO!E20</f>
        <v>0</v>
      </c>
      <c r="F21" s="58" t="str">
        <f>CALENDARIO!F20</f>
        <v>x</v>
      </c>
      <c r="G21" s="58">
        <f>CALENDARIO!G20</f>
        <v>0</v>
      </c>
      <c r="H21" s="61" t="str">
        <f>CALENDARIO!H20</f>
        <v>Noruega</v>
      </c>
      <c r="I21" s="56" t="str">
        <f ca="1">IF(NOW() &lt; CALENDARIO!$K20, "🔒", PALPITES!I20 &amp; " x " &amp; PALPITES!J20)</f>
        <v>🔒</v>
      </c>
      <c r="J21" s="56">
        <f>PALPITES!K20</f>
        <v>0</v>
      </c>
      <c r="K21" s="57" t="str">
        <f ca="1">IF(NOW() &lt; CALENDARIO!$K20, "🔒", PALPITES!M20 &amp; " x " &amp; PALPITES!N20)</f>
        <v>🔒</v>
      </c>
      <c r="L21" s="57">
        <f>PALPITES!O20</f>
        <v>0</v>
      </c>
      <c r="M21" s="56" t="str">
        <f ca="1">IF(NOW() &lt; CALENDARIO!$K20, "🔒", PALPITES!Q20 &amp; " x " &amp; PALPITES!R20)</f>
        <v>🔒</v>
      </c>
      <c r="N21" s="56">
        <f>PALPITES!S20</f>
        <v>0</v>
      </c>
      <c r="O21" s="57" t="str">
        <f ca="1">IF(NOW() &lt; CALENDARIO!$K20, "🔒", PALPITES!U20 &amp; " x " &amp; PALPITES!V20)</f>
        <v>🔒</v>
      </c>
      <c r="P21" s="57">
        <f>PALPITES!W20</f>
        <v>0</v>
      </c>
      <c r="Q21" s="56" t="str">
        <f ca="1">IF(NOW() &lt; CALENDARIO!$K20, "🔒", PALPITES!Y20 &amp; " x " &amp; PALPITES!Z20)</f>
        <v>🔒</v>
      </c>
      <c r="R21" s="56">
        <f>PALPITES!AA20</f>
        <v>0</v>
      </c>
      <c r="S21" s="57" t="str">
        <f ca="1">IF(NOW() &lt; CALENDARIO!$K20, "🔒", PALPITES!AC20 &amp; " x " &amp; PALPITES!AD20)</f>
        <v>🔒</v>
      </c>
      <c r="T21" s="57">
        <f>PALPITES!AE20</f>
        <v>0</v>
      </c>
      <c r="U21" s="56" t="str">
        <f ca="1">IF(NOW() &lt; CALENDARIO!$K20, "🔒", PALPITES!AG20 &amp; " x " &amp; PALPITES!AH20)</f>
        <v>🔒</v>
      </c>
      <c r="V21" s="56">
        <f>PALPITES!AI20</f>
        <v>0</v>
      </c>
      <c r="W21" s="57" t="str">
        <f ca="1">IF(NOW() &lt; CALENDARIO!$K20, "🔒", PALPITES!AK20 &amp; " x " &amp; PALPITES!AL20)</f>
        <v>🔒</v>
      </c>
      <c r="X21" s="57">
        <f>PALPITES!AM20</f>
        <v>0</v>
      </c>
      <c r="Y21" s="56" t="str">
        <f ca="1">IF(NOW() &lt; CALENDARIO!$K20, "🔒", PALPITES!AO20 &amp; " x " &amp; PALPITES!AP20)</f>
        <v>🔒</v>
      </c>
      <c r="Z21" s="56">
        <f>PALPITES!AQ20</f>
        <v>0</v>
      </c>
      <c r="AA21" s="57" t="str">
        <f ca="1">IF(NOW() &lt; CALENDARIO!$K20, "🔒", PALPITES!AS20 &amp; " x " &amp; PALPITES!AT20)</f>
        <v>🔒</v>
      </c>
      <c r="AB21" s="57">
        <f>PALPITES!AU20</f>
        <v>0</v>
      </c>
      <c r="AC21" s="56" t="str">
        <f ca="1">IF(NOW() &lt; CALENDARIO!$K20, "🔒", PALPITES!AW20 &amp; " x " &amp; PALPITES!AX20)</f>
        <v>🔒</v>
      </c>
      <c r="AD21" s="56">
        <f>PALPITES!AY20</f>
        <v>0</v>
      </c>
      <c r="AE21" s="57" t="str">
        <f ca="1">IF(NOW() &lt; CALENDARIO!$K20, "🔒", PALPITES!BA20 &amp; " x " &amp; PALPITES!BB20)</f>
        <v>🔒</v>
      </c>
      <c r="AF21" s="57">
        <f>PALPITES!BC20</f>
        <v>0</v>
      </c>
      <c r="AG21" s="56" t="str">
        <f ca="1">IF(NOW() &lt; CALENDARIO!$K20, "🔒", PALPITES!BE20 &amp; " x " &amp; PALPITES!BF20)</f>
        <v>🔒</v>
      </c>
      <c r="AH21" s="56">
        <f>PALPITES!BG20</f>
        <v>0</v>
      </c>
      <c r="AI21" s="57" t="str">
        <f ca="1">IF(NOW() &lt; CALENDARIO!$K20, "🔒", PALPITES!BI20 &amp; " x " &amp; PALPITES!BJ20)</f>
        <v>🔒</v>
      </c>
      <c r="AJ21" s="57">
        <f>PALPITES!BK20</f>
        <v>0</v>
      </c>
    </row>
    <row r="22" spans="1:36" ht="12.75">
      <c r="A22" s="58">
        <f>CALENDARIO!A21</f>
        <v>20</v>
      </c>
      <c r="B22" s="59">
        <f>CALENDARIO!B21</f>
        <v>46189</v>
      </c>
      <c r="C22" s="60">
        <f>CALENDARIO!C21</f>
        <v>0.91666666666666663</v>
      </c>
      <c r="D22" s="61" t="str">
        <f>CALENDARIO!D21</f>
        <v>Argentina</v>
      </c>
      <c r="E22" s="58">
        <f>CALENDARIO!E21</f>
        <v>0</v>
      </c>
      <c r="F22" s="58" t="str">
        <f>CALENDARIO!F21</f>
        <v>x</v>
      </c>
      <c r="G22" s="58">
        <f>CALENDARIO!G21</f>
        <v>0</v>
      </c>
      <c r="H22" s="61" t="str">
        <f>CALENDARIO!H21</f>
        <v>Argélia</v>
      </c>
      <c r="I22" s="56" t="str">
        <f ca="1">IF(NOW() &lt; CALENDARIO!$K21, "🔒", PALPITES!I21 &amp; " x " &amp; PALPITES!J21)</f>
        <v>🔒</v>
      </c>
      <c r="J22" s="56">
        <f>PALPITES!K21</f>
        <v>0</v>
      </c>
      <c r="K22" s="57" t="str">
        <f ca="1">IF(NOW() &lt; CALENDARIO!$K21, "🔒", PALPITES!M21 &amp; " x " &amp; PALPITES!N21)</f>
        <v>🔒</v>
      </c>
      <c r="L22" s="57">
        <f>PALPITES!O21</f>
        <v>0</v>
      </c>
      <c r="M22" s="56" t="str">
        <f ca="1">IF(NOW() &lt; CALENDARIO!$K21, "🔒", PALPITES!Q21 &amp; " x " &amp; PALPITES!R21)</f>
        <v>🔒</v>
      </c>
      <c r="N22" s="56">
        <f>PALPITES!S21</f>
        <v>0</v>
      </c>
      <c r="O22" s="57" t="str">
        <f ca="1">IF(NOW() &lt; CALENDARIO!$K21, "🔒", PALPITES!U21 &amp; " x " &amp; PALPITES!V21)</f>
        <v>🔒</v>
      </c>
      <c r="P22" s="57">
        <f>PALPITES!W21</f>
        <v>0</v>
      </c>
      <c r="Q22" s="56" t="str">
        <f ca="1">IF(NOW() &lt; CALENDARIO!$K21, "🔒", PALPITES!Y21 &amp; " x " &amp; PALPITES!Z21)</f>
        <v>🔒</v>
      </c>
      <c r="R22" s="56">
        <f>PALPITES!AA21</f>
        <v>0</v>
      </c>
      <c r="S22" s="57" t="str">
        <f ca="1">IF(NOW() &lt; CALENDARIO!$K21, "🔒", PALPITES!AC21 &amp; " x " &amp; PALPITES!AD21)</f>
        <v>🔒</v>
      </c>
      <c r="T22" s="57">
        <f>PALPITES!AE21</f>
        <v>0</v>
      </c>
      <c r="U22" s="56" t="str">
        <f ca="1">IF(NOW() &lt; CALENDARIO!$K21, "🔒", PALPITES!AG21 &amp; " x " &amp; PALPITES!AH21)</f>
        <v>🔒</v>
      </c>
      <c r="V22" s="56">
        <f>PALPITES!AI21</f>
        <v>0</v>
      </c>
      <c r="W22" s="57" t="str">
        <f ca="1">IF(NOW() &lt; CALENDARIO!$K21, "🔒", PALPITES!AK21 &amp; " x " &amp; PALPITES!AL21)</f>
        <v>🔒</v>
      </c>
      <c r="X22" s="57">
        <f>PALPITES!AM21</f>
        <v>0</v>
      </c>
      <c r="Y22" s="56" t="str">
        <f ca="1">IF(NOW() &lt; CALENDARIO!$K21, "🔒", PALPITES!AO21 &amp; " x " &amp; PALPITES!AP21)</f>
        <v>🔒</v>
      </c>
      <c r="Z22" s="56">
        <f>PALPITES!AQ21</f>
        <v>0</v>
      </c>
      <c r="AA22" s="57" t="str">
        <f ca="1">IF(NOW() &lt; CALENDARIO!$K21, "🔒", PALPITES!AS21 &amp; " x " &amp; PALPITES!AT21)</f>
        <v>🔒</v>
      </c>
      <c r="AB22" s="57">
        <f>PALPITES!AU21</f>
        <v>0</v>
      </c>
      <c r="AC22" s="56" t="str">
        <f ca="1">IF(NOW() &lt; CALENDARIO!$K21, "🔒", PALPITES!AW21 &amp; " x " &amp; PALPITES!AX21)</f>
        <v>🔒</v>
      </c>
      <c r="AD22" s="56">
        <f>PALPITES!AY21</f>
        <v>0</v>
      </c>
      <c r="AE22" s="57" t="str">
        <f ca="1">IF(NOW() &lt; CALENDARIO!$K21, "🔒", PALPITES!BA21 &amp; " x " &amp; PALPITES!BB21)</f>
        <v>🔒</v>
      </c>
      <c r="AF22" s="57">
        <f>PALPITES!BC21</f>
        <v>0</v>
      </c>
      <c r="AG22" s="56" t="str">
        <f ca="1">IF(NOW() &lt; CALENDARIO!$K21, "🔒", PALPITES!BE21 &amp; " x " &amp; PALPITES!BF21)</f>
        <v>🔒</v>
      </c>
      <c r="AH22" s="56">
        <f>PALPITES!BG21</f>
        <v>0</v>
      </c>
      <c r="AI22" s="57" t="str">
        <f ca="1">IF(NOW() &lt; CALENDARIO!$K21, "🔒", PALPITES!BI21 &amp; " x " &amp; PALPITES!BJ21)</f>
        <v>🔒</v>
      </c>
      <c r="AJ22" s="57">
        <f>PALPITES!BK21</f>
        <v>0</v>
      </c>
    </row>
    <row r="23" spans="1:36" ht="12.75">
      <c r="A23" s="58">
        <f>CALENDARIO!A22</f>
        <v>21</v>
      </c>
      <c r="B23" s="59">
        <f>CALENDARIO!B22</f>
        <v>46190</v>
      </c>
      <c r="C23" s="60">
        <f>CALENDARIO!C22</f>
        <v>0.58333333333333337</v>
      </c>
      <c r="D23" s="61" t="str">
        <f>CALENDARIO!D22</f>
        <v>Portugal</v>
      </c>
      <c r="E23" s="58">
        <f>CALENDARIO!E22</f>
        <v>0</v>
      </c>
      <c r="F23" s="58" t="str">
        <f>CALENDARIO!F22</f>
        <v>x</v>
      </c>
      <c r="G23" s="58">
        <f>CALENDARIO!G22</f>
        <v>0</v>
      </c>
      <c r="H23" s="61" t="str">
        <f>CALENDARIO!H22</f>
        <v>Rep. Dem. do Congo</v>
      </c>
      <c r="I23" s="56" t="str">
        <f ca="1">IF(NOW() &lt; CALENDARIO!$K22, "🔒", PALPITES!I22 &amp; " x " &amp; PALPITES!J22)</f>
        <v>🔒</v>
      </c>
      <c r="J23" s="56">
        <f>PALPITES!K22</f>
        <v>0</v>
      </c>
      <c r="K23" s="57" t="str">
        <f ca="1">IF(NOW() &lt; CALENDARIO!$K22, "🔒", PALPITES!M22 &amp; " x " &amp; PALPITES!N22)</f>
        <v>🔒</v>
      </c>
      <c r="L23" s="57">
        <f>PALPITES!O22</f>
        <v>0</v>
      </c>
      <c r="M23" s="56" t="str">
        <f ca="1">IF(NOW() &lt; CALENDARIO!$K22, "🔒", PALPITES!Q22 &amp; " x " &amp; PALPITES!R22)</f>
        <v>🔒</v>
      </c>
      <c r="N23" s="56">
        <f>PALPITES!S22</f>
        <v>0</v>
      </c>
      <c r="O23" s="57" t="str">
        <f ca="1">IF(NOW() &lt; CALENDARIO!$K22, "🔒", PALPITES!U22 &amp; " x " &amp; PALPITES!V22)</f>
        <v>🔒</v>
      </c>
      <c r="P23" s="57">
        <f>PALPITES!W22</f>
        <v>0</v>
      </c>
      <c r="Q23" s="56" t="str">
        <f ca="1">IF(NOW() &lt; CALENDARIO!$K22, "🔒", PALPITES!Y22 &amp; " x " &amp; PALPITES!Z22)</f>
        <v>🔒</v>
      </c>
      <c r="R23" s="56">
        <f>PALPITES!AA22</f>
        <v>0</v>
      </c>
      <c r="S23" s="57" t="str">
        <f ca="1">IF(NOW() &lt; CALENDARIO!$K22, "🔒", PALPITES!AC22 &amp; " x " &amp; PALPITES!AD22)</f>
        <v>🔒</v>
      </c>
      <c r="T23" s="57">
        <f>PALPITES!AE22</f>
        <v>0</v>
      </c>
      <c r="U23" s="56" t="str">
        <f ca="1">IF(NOW() &lt; CALENDARIO!$K22, "🔒", PALPITES!AG22 &amp; " x " &amp; PALPITES!AH22)</f>
        <v>🔒</v>
      </c>
      <c r="V23" s="56">
        <f>PALPITES!AI22</f>
        <v>0</v>
      </c>
      <c r="W23" s="57" t="str">
        <f ca="1">IF(NOW() &lt; CALENDARIO!$K22, "🔒", PALPITES!AK22 &amp; " x " &amp; PALPITES!AL22)</f>
        <v>🔒</v>
      </c>
      <c r="X23" s="57">
        <f>PALPITES!AM22</f>
        <v>0</v>
      </c>
      <c r="Y23" s="56" t="str">
        <f ca="1">IF(NOW() &lt; CALENDARIO!$K22, "🔒", PALPITES!AO22 &amp; " x " &amp; PALPITES!AP22)</f>
        <v>🔒</v>
      </c>
      <c r="Z23" s="56">
        <f>PALPITES!AQ22</f>
        <v>0</v>
      </c>
      <c r="AA23" s="57" t="str">
        <f ca="1">IF(NOW() &lt; CALENDARIO!$K22, "🔒", PALPITES!AS22 &amp; " x " &amp; PALPITES!AT22)</f>
        <v>🔒</v>
      </c>
      <c r="AB23" s="57">
        <f>PALPITES!AU22</f>
        <v>0</v>
      </c>
      <c r="AC23" s="56" t="str">
        <f ca="1">IF(NOW() &lt; CALENDARIO!$K22, "🔒", PALPITES!AW22 &amp; " x " &amp; PALPITES!AX22)</f>
        <v>🔒</v>
      </c>
      <c r="AD23" s="56">
        <f>PALPITES!AY22</f>
        <v>0</v>
      </c>
      <c r="AE23" s="57" t="str">
        <f ca="1">IF(NOW() &lt; CALENDARIO!$K22, "🔒", PALPITES!BA22 &amp; " x " &amp; PALPITES!BB22)</f>
        <v>🔒</v>
      </c>
      <c r="AF23" s="57">
        <f>PALPITES!BC22</f>
        <v>0</v>
      </c>
      <c r="AG23" s="56" t="str">
        <f ca="1">IF(NOW() &lt; CALENDARIO!$K22, "🔒", PALPITES!BE22 &amp; " x " &amp; PALPITES!BF22)</f>
        <v>🔒</v>
      </c>
      <c r="AH23" s="56">
        <f>PALPITES!BG22</f>
        <v>0</v>
      </c>
      <c r="AI23" s="57" t="str">
        <f ca="1">IF(NOW() &lt; CALENDARIO!$K22, "🔒", PALPITES!BI22 &amp; " x " &amp; PALPITES!BJ22)</f>
        <v>🔒</v>
      </c>
      <c r="AJ23" s="57">
        <f>PALPITES!BK22</f>
        <v>0</v>
      </c>
    </row>
    <row r="24" spans="1:36" ht="12.75">
      <c r="A24" s="58">
        <f>CALENDARIO!A23</f>
        <v>22</v>
      </c>
      <c r="B24" s="59">
        <f>CALENDARIO!B23</f>
        <v>46190</v>
      </c>
      <c r="C24" s="60">
        <f>CALENDARIO!C23</f>
        <v>0.70833333333333337</v>
      </c>
      <c r="D24" s="61" t="str">
        <f>CALENDARIO!D23</f>
        <v>Inglaterra</v>
      </c>
      <c r="E24" s="58">
        <f>CALENDARIO!E23</f>
        <v>0</v>
      </c>
      <c r="F24" s="58" t="str">
        <f>CALENDARIO!F23</f>
        <v>x</v>
      </c>
      <c r="G24" s="58">
        <f>CALENDARIO!G23</f>
        <v>0</v>
      </c>
      <c r="H24" s="61" t="str">
        <f>CALENDARIO!H23</f>
        <v>Croácia</v>
      </c>
      <c r="I24" s="56" t="str">
        <f ca="1">IF(NOW() &lt; CALENDARIO!$K23, "🔒", PALPITES!I23 &amp; " x " &amp; PALPITES!J23)</f>
        <v>🔒</v>
      </c>
      <c r="J24" s="56">
        <f>PALPITES!K23</f>
        <v>0</v>
      </c>
      <c r="K24" s="57" t="str">
        <f ca="1">IF(NOW() &lt; CALENDARIO!$K23, "🔒", PALPITES!M23 &amp; " x " &amp; PALPITES!N23)</f>
        <v>🔒</v>
      </c>
      <c r="L24" s="57">
        <f>PALPITES!O23</f>
        <v>0</v>
      </c>
      <c r="M24" s="56" t="str">
        <f ca="1">IF(NOW() &lt; CALENDARIO!$K23, "🔒", PALPITES!Q23 &amp; " x " &amp; PALPITES!R23)</f>
        <v>🔒</v>
      </c>
      <c r="N24" s="56">
        <f>PALPITES!S23</f>
        <v>0</v>
      </c>
      <c r="O24" s="57" t="str">
        <f ca="1">IF(NOW() &lt; CALENDARIO!$K23, "🔒", PALPITES!U23 &amp; " x " &amp; PALPITES!V23)</f>
        <v>🔒</v>
      </c>
      <c r="P24" s="57">
        <f>PALPITES!W23</f>
        <v>0</v>
      </c>
      <c r="Q24" s="56" t="str">
        <f ca="1">IF(NOW() &lt; CALENDARIO!$K23, "🔒", PALPITES!Y23 &amp; " x " &amp; PALPITES!Z23)</f>
        <v>🔒</v>
      </c>
      <c r="R24" s="56">
        <f>PALPITES!AA23</f>
        <v>0</v>
      </c>
      <c r="S24" s="57" t="str">
        <f ca="1">IF(NOW() &lt; CALENDARIO!$K23, "🔒", PALPITES!AC23 &amp; " x " &amp; PALPITES!AD23)</f>
        <v>🔒</v>
      </c>
      <c r="T24" s="57">
        <f>PALPITES!AE23</f>
        <v>0</v>
      </c>
      <c r="U24" s="56" t="str">
        <f ca="1">IF(NOW() &lt; CALENDARIO!$K23, "🔒", PALPITES!AG23 &amp; " x " &amp; PALPITES!AH23)</f>
        <v>🔒</v>
      </c>
      <c r="V24" s="56">
        <f>PALPITES!AI23</f>
        <v>0</v>
      </c>
      <c r="W24" s="57" t="str">
        <f ca="1">IF(NOW() &lt; CALENDARIO!$K23, "🔒", PALPITES!AK23 &amp; " x " &amp; PALPITES!AL23)</f>
        <v>🔒</v>
      </c>
      <c r="X24" s="57">
        <f>PALPITES!AM23</f>
        <v>0</v>
      </c>
      <c r="Y24" s="56" t="str">
        <f ca="1">IF(NOW() &lt; CALENDARIO!$K23, "🔒", PALPITES!AO23 &amp; " x " &amp; PALPITES!AP23)</f>
        <v>🔒</v>
      </c>
      <c r="Z24" s="56">
        <f>PALPITES!AQ23</f>
        <v>0</v>
      </c>
      <c r="AA24" s="57" t="str">
        <f ca="1">IF(NOW() &lt; CALENDARIO!$K23, "🔒", PALPITES!AS23 &amp; " x " &amp; PALPITES!AT23)</f>
        <v>🔒</v>
      </c>
      <c r="AB24" s="57">
        <f>PALPITES!AU23</f>
        <v>0</v>
      </c>
      <c r="AC24" s="56" t="str">
        <f ca="1">IF(NOW() &lt; CALENDARIO!$K23, "🔒", PALPITES!AW23 &amp; " x " &amp; PALPITES!AX23)</f>
        <v>🔒</v>
      </c>
      <c r="AD24" s="56">
        <f>PALPITES!AY23</f>
        <v>0</v>
      </c>
      <c r="AE24" s="57" t="str">
        <f ca="1">IF(NOW() &lt; CALENDARIO!$K23, "🔒", PALPITES!BA23 &amp; " x " &amp; PALPITES!BB23)</f>
        <v>🔒</v>
      </c>
      <c r="AF24" s="57">
        <f>PALPITES!BC23</f>
        <v>0</v>
      </c>
      <c r="AG24" s="56" t="str">
        <f ca="1">IF(NOW() &lt; CALENDARIO!$K23, "🔒", PALPITES!BE23 &amp; " x " &amp; PALPITES!BF23)</f>
        <v>🔒</v>
      </c>
      <c r="AH24" s="56">
        <f>PALPITES!BG23</f>
        <v>0</v>
      </c>
      <c r="AI24" s="57" t="str">
        <f ca="1">IF(NOW() &lt; CALENDARIO!$K23, "🔒", PALPITES!BI23 &amp; " x " &amp; PALPITES!BJ23)</f>
        <v>🔒</v>
      </c>
      <c r="AJ24" s="57">
        <f>PALPITES!BK23</f>
        <v>0</v>
      </c>
    </row>
    <row r="25" spans="1:36" ht="12.75">
      <c r="A25" s="58">
        <f>CALENDARIO!A24</f>
        <v>23</v>
      </c>
      <c r="B25" s="59">
        <f>CALENDARIO!B24</f>
        <v>46190</v>
      </c>
      <c r="C25" s="60">
        <f>CALENDARIO!C24</f>
        <v>0.83333333333333337</v>
      </c>
      <c r="D25" s="61" t="str">
        <f>CALENDARIO!D24</f>
        <v>Gana</v>
      </c>
      <c r="E25" s="58">
        <f>CALENDARIO!E24</f>
        <v>0</v>
      </c>
      <c r="F25" s="58" t="str">
        <f>CALENDARIO!F24</f>
        <v>x</v>
      </c>
      <c r="G25" s="58">
        <f>CALENDARIO!G24</f>
        <v>0</v>
      </c>
      <c r="H25" s="61" t="str">
        <f>CALENDARIO!H24</f>
        <v>Panamá</v>
      </c>
      <c r="I25" s="56" t="str">
        <f ca="1">IF(NOW() &lt; CALENDARIO!$K24, "🔒", PALPITES!I24 &amp; " x " &amp; PALPITES!J24)</f>
        <v>🔒</v>
      </c>
      <c r="J25" s="56">
        <f>PALPITES!K24</f>
        <v>0</v>
      </c>
      <c r="K25" s="57" t="str">
        <f ca="1">IF(NOW() &lt; CALENDARIO!$K24, "🔒", PALPITES!M24 &amp; " x " &amp; PALPITES!N24)</f>
        <v>🔒</v>
      </c>
      <c r="L25" s="57">
        <f>PALPITES!O24</f>
        <v>0</v>
      </c>
      <c r="M25" s="56" t="str">
        <f ca="1">IF(NOW() &lt; CALENDARIO!$K24, "🔒", PALPITES!Q24 &amp; " x " &amp; PALPITES!R24)</f>
        <v>🔒</v>
      </c>
      <c r="N25" s="56">
        <f>PALPITES!S24</f>
        <v>0</v>
      </c>
      <c r="O25" s="57" t="str">
        <f ca="1">IF(NOW() &lt; CALENDARIO!$K24, "🔒", PALPITES!U24 &amp; " x " &amp; PALPITES!V24)</f>
        <v>🔒</v>
      </c>
      <c r="P25" s="57">
        <f>PALPITES!W24</f>
        <v>0</v>
      </c>
      <c r="Q25" s="56" t="str">
        <f ca="1">IF(NOW() &lt; CALENDARIO!$K24, "🔒", PALPITES!Y24 &amp; " x " &amp; PALPITES!Z24)</f>
        <v>🔒</v>
      </c>
      <c r="R25" s="56">
        <f>PALPITES!AA24</f>
        <v>0</v>
      </c>
      <c r="S25" s="57" t="str">
        <f ca="1">IF(NOW() &lt; CALENDARIO!$K24, "🔒", PALPITES!AC24 &amp; " x " &amp; PALPITES!AD24)</f>
        <v>🔒</v>
      </c>
      <c r="T25" s="57">
        <f>PALPITES!AE24</f>
        <v>0</v>
      </c>
      <c r="U25" s="56" t="str">
        <f ca="1">IF(NOW() &lt; CALENDARIO!$K24, "🔒", PALPITES!AG24 &amp; " x " &amp; PALPITES!AH24)</f>
        <v>🔒</v>
      </c>
      <c r="V25" s="56">
        <f>PALPITES!AI24</f>
        <v>0</v>
      </c>
      <c r="W25" s="57" t="str">
        <f ca="1">IF(NOW() &lt; CALENDARIO!$K24, "🔒", PALPITES!AK24 &amp; " x " &amp; PALPITES!AL24)</f>
        <v>🔒</v>
      </c>
      <c r="X25" s="57">
        <f>PALPITES!AM24</f>
        <v>0</v>
      </c>
      <c r="Y25" s="56" t="str">
        <f ca="1">IF(NOW() &lt; CALENDARIO!$K24, "🔒", PALPITES!AO24 &amp; " x " &amp; PALPITES!AP24)</f>
        <v>🔒</v>
      </c>
      <c r="Z25" s="56">
        <f>PALPITES!AQ24</f>
        <v>0</v>
      </c>
      <c r="AA25" s="57" t="str">
        <f ca="1">IF(NOW() &lt; CALENDARIO!$K24, "🔒", PALPITES!AS24 &amp; " x " &amp; PALPITES!AT24)</f>
        <v>🔒</v>
      </c>
      <c r="AB25" s="57">
        <f>PALPITES!AU24</f>
        <v>0</v>
      </c>
      <c r="AC25" s="56" t="str">
        <f ca="1">IF(NOW() &lt; CALENDARIO!$K24, "🔒", PALPITES!AW24 &amp; " x " &amp; PALPITES!AX24)</f>
        <v>🔒</v>
      </c>
      <c r="AD25" s="56">
        <f>PALPITES!AY24</f>
        <v>0</v>
      </c>
      <c r="AE25" s="57" t="str">
        <f ca="1">IF(NOW() &lt; CALENDARIO!$K24, "🔒", PALPITES!BA24 &amp; " x " &amp; PALPITES!BB24)</f>
        <v>🔒</v>
      </c>
      <c r="AF25" s="57">
        <f>PALPITES!BC24</f>
        <v>0</v>
      </c>
      <c r="AG25" s="56" t="str">
        <f ca="1">IF(NOW() &lt; CALENDARIO!$K24, "🔒", PALPITES!BE24 &amp; " x " &amp; PALPITES!BF24)</f>
        <v>🔒</v>
      </c>
      <c r="AH25" s="56">
        <f>PALPITES!BG24</f>
        <v>0</v>
      </c>
      <c r="AI25" s="57" t="str">
        <f ca="1">IF(NOW() &lt; CALENDARIO!$K24, "🔒", PALPITES!BI24 &amp; " x " &amp; PALPITES!BJ24)</f>
        <v>🔒</v>
      </c>
      <c r="AJ25" s="57">
        <f>PALPITES!BK24</f>
        <v>0</v>
      </c>
    </row>
    <row r="26" spans="1:36" ht="12.75">
      <c r="A26" s="58">
        <f>CALENDARIO!A25</f>
        <v>24</v>
      </c>
      <c r="B26" s="59">
        <f>CALENDARIO!B25</f>
        <v>46190</v>
      </c>
      <c r="C26" s="60">
        <f>CALENDARIO!C25</f>
        <v>0.875</v>
      </c>
      <c r="D26" s="61" t="str">
        <f>CALENDARIO!D25</f>
        <v>Uzbequistão</v>
      </c>
      <c r="E26" s="58">
        <f>CALENDARIO!E25</f>
        <v>0</v>
      </c>
      <c r="F26" s="58" t="str">
        <f>CALENDARIO!F25</f>
        <v>x</v>
      </c>
      <c r="G26" s="58">
        <f>CALENDARIO!G25</f>
        <v>0</v>
      </c>
      <c r="H26" s="61" t="str">
        <f>CALENDARIO!H25</f>
        <v>Colômbia</v>
      </c>
      <c r="I26" s="56" t="str">
        <f ca="1">IF(NOW() &lt; CALENDARIO!$K25, "🔒", PALPITES!I25 &amp; " x " &amp; PALPITES!J25)</f>
        <v>🔒</v>
      </c>
      <c r="J26" s="56">
        <f>PALPITES!K25</f>
        <v>0</v>
      </c>
      <c r="K26" s="57" t="str">
        <f ca="1">IF(NOW() &lt; CALENDARIO!$K25, "🔒", PALPITES!M25 &amp; " x " &amp; PALPITES!N25)</f>
        <v>🔒</v>
      </c>
      <c r="L26" s="57">
        <f>PALPITES!O25</f>
        <v>0</v>
      </c>
      <c r="M26" s="56" t="str">
        <f ca="1">IF(NOW() &lt; CALENDARIO!$K25, "🔒", PALPITES!Q25 &amp; " x " &amp; PALPITES!R25)</f>
        <v>🔒</v>
      </c>
      <c r="N26" s="56">
        <f>PALPITES!S25</f>
        <v>0</v>
      </c>
      <c r="O26" s="57" t="str">
        <f ca="1">IF(NOW() &lt; CALENDARIO!$K25, "🔒", PALPITES!U25 &amp; " x " &amp; PALPITES!V25)</f>
        <v>🔒</v>
      </c>
      <c r="P26" s="57">
        <f>PALPITES!W25</f>
        <v>0</v>
      </c>
      <c r="Q26" s="56" t="str">
        <f ca="1">IF(NOW() &lt; CALENDARIO!$K25, "🔒", PALPITES!Y25 &amp; " x " &amp; PALPITES!Z25)</f>
        <v>🔒</v>
      </c>
      <c r="R26" s="56">
        <f>PALPITES!AA25</f>
        <v>0</v>
      </c>
      <c r="S26" s="57" t="str">
        <f ca="1">IF(NOW() &lt; CALENDARIO!$K25, "🔒", PALPITES!AC25 &amp; " x " &amp; PALPITES!AD25)</f>
        <v>🔒</v>
      </c>
      <c r="T26" s="57">
        <f>PALPITES!AE25</f>
        <v>0</v>
      </c>
      <c r="U26" s="56" t="str">
        <f ca="1">IF(NOW() &lt; CALENDARIO!$K25, "🔒", PALPITES!AG25 &amp; " x " &amp; PALPITES!AH25)</f>
        <v>🔒</v>
      </c>
      <c r="V26" s="56">
        <f>PALPITES!AI25</f>
        <v>0</v>
      </c>
      <c r="W26" s="57" t="str">
        <f ca="1">IF(NOW() &lt; CALENDARIO!$K25, "🔒", PALPITES!AK25 &amp; " x " &amp; PALPITES!AL25)</f>
        <v>🔒</v>
      </c>
      <c r="X26" s="57">
        <f>PALPITES!AM25</f>
        <v>0</v>
      </c>
      <c r="Y26" s="56" t="str">
        <f ca="1">IF(NOW() &lt; CALENDARIO!$K25, "🔒", PALPITES!AO25 &amp; " x " &amp; PALPITES!AP25)</f>
        <v>🔒</v>
      </c>
      <c r="Z26" s="56">
        <f>PALPITES!AQ25</f>
        <v>0</v>
      </c>
      <c r="AA26" s="57" t="str">
        <f ca="1">IF(NOW() &lt; CALENDARIO!$K25, "🔒", PALPITES!AS25 &amp; " x " &amp; PALPITES!AT25)</f>
        <v>🔒</v>
      </c>
      <c r="AB26" s="57">
        <f>PALPITES!AU25</f>
        <v>0</v>
      </c>
      <c r="AC26" s="56" t="str">
        <f ca="1">IF(NOW() &lt; CALENDARIO!$K25, "🔒", PALPITES!AW25 &amp; " x " &amp; PALPITES!AX25)</f>
        <v>🔒</v>
      </c>
      <c r="AD26" s="56">
        <f>PALPITES!AY25</f>
        <v>0</v>
      </c>
      <c r="AE26" s="57" t="str">
        <f ca="1">IF(NOW() &lt; CALENDARIO!$K25, "🔒", PALPITES!BA25 &amp; " x " &amp; PALPITES!BB25)</f>
        <v>🔒</v>
      </c>
      <c r="AF26" s="57">
        <f>PALPITES!BC25</f>
        <v>0</v>
      </c>
      <c r="AG26" s="56" t="str">
        <f ca="1">IF(NOW() &lt; CALENDARIO!$K25, "🔒", PALPITES!BE25 &amp; " x " &amp; PALPITES!BF25)</f>
        <v>🔒</v>
      </c>
      <c r="AH26" s="56">
        <f>PALPITES!BG25</f>
        <v>0</v>
      </c>
      <c r="AI26" s="57" t="str">
        <f ca="1">IF(NOW() &lt; CALENDARIO!$K25, "🔒", PALPITES!BI25 &amp; " x " &amp; PALPITES!BJ25)</f>
        <v>🔒</v>
      </c>
      <c r="AJ26" s="57">
        <f>PALPITES!BK25</f>
        <v>0</v>
      </c>
    </row>
    <row r="27" spans="1:36" ht="12.75">
      <c r="A27" s="58">
        <f>CALENDARIO!A26</f>
        <v>25</v>
      </c>
      <c r="B27" s="59">
        <f>CALENDARIO!B26</f>
        <v>46191</v>
      </c>
      <c r="C27" s="60">
        <f>CALENDARIO!C26</f>
        <v>0.54166666666666663</v>
      </c>
      <c r="D27" s="61" t="str">
        <f>CALENDARIO!D26</f>
        <v>República Tcheca</v>
      </c>
      <c r="E27" s="58">
        <f>CALENDARIO!E26</f>
        <v>0</v>
      </c>
      <c r="F27" s="58" t="str">
        <f>CALENDARIO!F26</f>
        <v>x</v>
      </c>
      <c r="G27" s="58">
        <f>CALENDARIO!G26</f>
        <v>0</v>
      </c>
      <c r="H27" s="61" t="str">
        <f>CALENDARIO!H26</f>
        <v>África do Sul</v>
      </c>
      <c r="I27" s="56" t="str">
        <f ca="1">IF(NOW() &lt; CALENDARIO!$K26, "🔒", PALPITES!I26 &amp; " x " &amp; PALPITES!J26)</f>
        <v>🔒</v>
      </c>
      <c r="J27" s="56">
        <f>PALPITES!K26</f>
        <v>0</v>
      </c>
      <c r="K27" s="57" t="str">
        <f ca="1">IF(NOW() &lt; CALENDARIO!$K26, "🔒", PALPITES!M26 &amp; " x " &amp; PALPITES!N26)</f>
        <v>🔒</v>
      </c>
      <c r="L27" s="57">
        <f>PALPITES!O26</f>
        <v>0</v>
      </c>
      <c r="M27" s="56" t="str">
        <f ca="1">IF(NOW() &lt; CALENDARIO!$K26, "🔒", PALPITES!Q26 &amp; " x " &amp; PALPITES!R26)</f>
        <v>🔒</v>
      </c>
      <c r="N27" s="56">
        <f>PALPITES!S26</f>
        <v>0</v>
      </c>
      <c r="O27" s="57" t="str">
        <f ca="1">IF(NOW() &lt; CALENDARIO!$K26, "🔒", PALPITES!U26 &amp; " x " &amp; PALPITES!V26)</f>
        <v>🔒</v>
      </c>
      <c r="P27" s="57">
        <f>PALPITES!W26</f>
        <v>0</v>
      </c>
      <c r="Q27" s="56" t="str">
        <f ca="1">IF(NOW() &lt; CALENDARIO!$K26, "🔒", PALPITES!Y26 &amp; " x " &amp; PALPITES!Z26)</f>
        <v>🔒</v>
      </c>
      <c r="R27" s="56">
        <f>PALPITES!AA26</f>
        <v>0</v>
      </c>
      <c r="S27" s="57" t="str">
        <f ca="1">IF(NOW() &lt; CALENDARIO!$K26, "🔒", PALPITES!AC26 &amp; " x " &amp; PALPITES!AD26)</f>
        <v>🔒</v>
      </c>
      <c r="T27" s="57">
        <f>PALPITES!AE26</f>
        <v>0</v>
      </c>
      <c r="U27" s="56" t="str">
        <f ca="1">IF(NOW() &lt; CALENDARIO!$K26, "🔒", PALPITES!AG26 &amp; " x " &amp; PALPITES!AH26)</f>
        <v>🔒</v>
      </c>
      <c r="V27" s="56">
        <f>PALPITES!AI26</f>
        <v>0</v>
      </c>
      <c r="W27" s="57" t="str">
        <f ca="1">IF(NOW() &lt; CALENDARIO!$K26, "🔒", PALPITES!AK26 &amp; " x " &amp; PALPITES!AL26)</f>
        <v>🔒</v>
      </c>
      <c r="X27" s="57">
        <f>PALPITES!AM26</f>
        <v>0</v>
      </c>
      <c r="Y27" s="56" t="str">
        <f ca="1">IF(NOW() &lt; CALENDARIO!$K26, "🔒", PALPITES!AO26 &amp; " x " &amp; PALPITES!AP26)</f>
        <v>🔒</v>
      </c>
      <c r="Z27" s="56">
        <f>PALPITES!AQ26</f>
        <v>0</v>
      </c>
      <c r="AA27" s="57" t="str">
        <f ca="1">IF(NOW() &lt; CALENDARIO!$K26, "🔒", PALPITES!AS26 &amp; " x " &amp; PALPITES!AT26)</f>
        <v>🔒</v>
      </c>
      <c r="AB27" s="57">
        <f>PALPITES!AU26</f>
        <v>0</v>
      </c>
      <c r="AC27" s="56" t="str">
        <f ca="1">IF(NOW() &lt; CALENDARIO!$K26, "🔒", PALPITES!AW26 &amp; " x " &amp; PALPITES!AX26)</f>
        <v>🔒</v>
      </c>
      <c r="AD27" s="56">
        <f>PALPITES!AY26</f>
        <v>0</v>
      </c>
      <c r="AE27" s="57" t="str">
        <f ca="1">IF(NOW() &lt; CALENDARIO!$K26, "🔒", PALPITES!BA26 &amp; " x " &amp; PALPITES!BB26)</f>
        <v>🔒</v>
      </c>
      <c r="AF27" s="57">
        <f>PALPITES!BC26</f>
        <v>0</v>
      </c>
      <c r="AG27" s="56" t="str">
        <f ca="1">IF(NOW() &lt; CALENDARIO!$K26, "🔒", PALPITES!BE26 &amp; " x " &amp; PALPITES!BF26)</f>
        <v>🔒</v>
      </c>
      <c r="AH27" s="56">
        <f>PALPITES!BG26</f>
        <v>0</v>
      </c>
      <c r="AI27" s="57" t="str">
        <f ca="1">IF(NOW() &lt; CALENDARIO!$K26, "🔒", PALPITES!BI26 &amp; " x " &amp; PALPITES!BJ26)</f>
        <v>🔒</v>
      </c>
      <c r="AJ27" s="57">
        <f>PALPITES!BK26</f>
        <v>0</v>
      </c>
    </row>
    <row r="28" spans="1:36" ht="12.75">
      <c r="A28" s="58">
        <f>CALENDARIO!A27</f>
        <v>26</v>
      </c>
      <c r="B28" s="59">
        <f>CALENDARIO!B27</f>
        <v>46191</v>
      </c>
      <c r="C28" s="60">
        <f>CALENDARIO!C27</f>
        <v>0.66666666666666663</v>
      </c>
      <c r="D28" s="61" t="str">
        <f>CALENDARIO!D27</f>
        <v>Suíça</v>
      </c>
      <c r="E28" s="58">
        <f>CALENDARIO!E27</f>
        <v>0</v>
      </c>
      <c r="F28" s="58" t="str">
        <f>CALENDARIO!F27</f>
        <v>x</v>
      </c>
      <c r="G28" s="58">
        <f>CALENDARIO!G27</f>
        <v>0</v>
      </c>
      <c r="H28" s="61" t="str">
        <f>CALENDARIO!H27</f>
        <v>Bósnia e Herzegovina</v>
      </c>
      <c r="I28" s="56" t="str">
        <f ca="1">IF(NOW() &lt; CALENDARIO!$K27, "🔒", PALPITES!I27 &amp; " x " &amp; PALPITES!J27)</f>
        <v>🔒</v>
      </c>
      <c r="J28" s="56">
        <f>PALPITES!K27</f>
        <v>0</v>
      </c>
      <c r="K28" s="57" t="str">
        <f ca="1">IF(NOW() &lt; CALENDARIO!$K27, "🔒", PALPITES!M27 &amp; " x " &amp; PALPITES!N27)</f>
        <v>🔒</v>
      </c>
      <c r="L28" s="57">
        <f>PALPITES!O27</f>
        <v>0</v>
      </c>
      <c r="M28" s="56" t="str">
        <f ca="1">IF(NOW() &lt; CALENDARIO!$K27, "🔒", PALPITES!Q27 &amp; " x " &amp; PALPITES!R27)</f>
        <v>🔒</v>
      </c>
      <c r="N28" s="56">
        <f>PALPITES!S27</f>
        <v>0</v>
      </c>
      <c r="O28" s="57" t="str">
        <f ca="1">IF(NOW() &lt; CALENDARIO!$K27, "🔒", PALPITES!U27 &amp; " x " &amp; PALPITES!V27)</f>
        <v>🔒</v>
      </c>
      <c r="P28" s="57">
        <f>PALPITES!W27</f>
        <v>0</v>
      </c>
      <c r="Q28" s="56" t="str">
        <f ca="1">IF(NOW() &lt; CALENDARIO!$K27, "🔒", PALPITES!Y27 &amp; " x " &amp; PALPITES!Z27)</f>
        <v>🔒</v>
      </c>
      <c r="R28" s="56">
        <f>PALPITES!AA27</f>
        <v>0</v>
      </c>
      <c r="S28" s="57" t="str">
        <f ca="1">IF(NOW() &lt; CALENDARIO!$K27, "🔒", PALPITES!AC27 &amp; " x " &amp; PALPITES!AD27)</f>
        <v>🔒</v>
      </c>
      <c r="T28" s="57">
        <f>PALPITES!AE27</f>
        <v>0</v>
      </c>
      <c r="U28" s="56" t="str">
        <f ca="1">IF(NOW() &lt; CALENDARIO!$K27, "🔒", PALPITES!AG27 &amp; " x " &amp; PALPITES!AH27)</f>
        <v>🔒</v>
      </c>
      <c r="V28" s="56">
        <f>PALPITES!AI27</f>
        <v>0</v>
      </c>
      <c r="W28" s="57" t="str">
        <f ca="1">IF(NOW() &lt; CALENDARIO!$K27, "🔒", PALPITES!AK27 &amp; " x " &amp; PALPITES!AL27)</f>
        <v>🔒</v>
      </c>
      <c r="X28" s="57">
        <f>PALPITES!AM27</f>
        <v>0</v>
      </c>
      <c r="Y28" s="56" t="str">
        <f ca="1">IF(NOW() &lt; CALENDARIO!$K27, "🔒", PALPITES!AO27 &amp; " x " &amp; PALPITES!AP27)</f>
        <v>🔒</v>
      </c>
      <c r="Z28" s="56">
        <f>PALPITES!AQ27</f>
        <v>0</v>
      </c>
      <c r="AA28" s="57" t="str">
        <f ca="1">IF(NOW() &lt; CALENDARIO!$K27, "🔒", PALPITES!AS27 &amp; " x " &amp; PALPITES!AT27)</f>
        <v>🔒</v>
      </c>
      <c r="AB28" s="57">
        <f>PALPITES!AU27</f>
        <v>0</v>
      </c>
      <c r="AC28" s="56" t="str">
        <f ca="1">IF(NOW() &lt; CALENDARIO!$K27, "🔒", PALPITES!AW27 &amp; " x " &amp; PALPITES!AX27)</f>
        <v>🔒</v>
      </c>
      <c r="AD28" s="56">
        <f>PALPITES!AY27</f>
        <v>0</v>
      </c>
      <c r="AE28" s="57" t="str">
        <f ca="1">IF(NOW() &lt; CALENDARIO!$K27, "🔒", PALPITES!BA27 &amp; " x " &amp; PALPITES!BB27)</f>
        <v>🔒</v>
      </c>
      <c r="AF28" s="57">
        <f>PALPITES!BC27</f>
        <v>0</v>
      </c>
      <c r="AG28" s="56" t="str">
        <f ca="1">IF(NOW() &lt; CALENDARIO!$K27, "🔒", PALPITES!BE27 &amp; " x " &amp; PALPITES!BF27)</f>
        <v>🔒</v>
      </c>
      <c r="AH28" s="56">
        <f>PALPITES!BG27</f>
        <v>0</v>
      </c>
      <c r="AI28" s="57" t="str">
        <f ca="1">IF(NOW() &lt; CALENDARIO!$K27, "🔒", PALPITES!BI27 &amp; " x " &amp; PALPITES!BJ27)</f>
        <v>🔒</v>
      </c>
      <c r="AJ28" s="57">
        <f>PALPITES!BK27</f>
        <v>0</v>
      </c>
    </row>
    <row r="29" spans="1:36" ht="12.75">
      <c r="A29" s="58">
        <f>CALENDARIO!A28</f>
        <v>27</v>
      </c>
      <c r="B29" s="59">
        <f>CALENDARIO!B28</f>
        <v>46191</v>
      </c>
      <c r="C29" s="60">
        <f>CALENDARIO!C28</f>
        <v>0.79166666666666663</v>
      </c>
      <c r="D29" s="61" t="str">
        <f>CALENDARIO!D28</f>
        <v>Canadá</v>
      </c>
      <c r="E29" s="58">
        <f>CALENDARIO!E28</f>
        <v>0</v>
      </c>
      <c r="F29" s="58" t="str">
        <f>CALENDARIO!F28</f>
        <v>x</v>
      </c>
      <c r="G29" s="58">
        <f>CALENDARIO!G28</f>
        <v>0</v>
      </c>
      <c r="H29" s="61" t="str">
        <f>CALENDARIO!H28</f>
        <v>Catar</v>
      </c>
      <c r="I29" s="56" t="str">
        <f ca="1">IF(NOW() &lt; CALENDARIO!$K28, "🔒", PALPITES!I28 &amp; " x " &amp; PALPITES!J28)</f>
        <v>🔒</v>
      </c>
      <c r="J29" s="56">
        <f>PALPITES!K28</f>
        <v>0</v>
      </c>
      <c r="K29" s="57" t="str">
        <f ca="1">IF(NOW() &lt; CALENDARIO!$K28, "🔒", PALPITES!M28 &amp; " x " &amp; PALPITES!N28)</f>
        <v>🔒</v>
      </c>
      <c r="L29" s="57">
        <f>PALPITES!O28</f>
        <v>0</v>
      </c>
      <c r="M29" s="56" t="str">
        <f ca="1">IF(NOW() &lt; CALENDARIO!$K28, "🔒", PALPITES!Q28 &amp; " x " &amp; PALPITES!R28)</f>
        <v>🔒</v>
      </c>
      <c r="N29" s="56">
        <f>PALPITES!S28</f>
        <v>0</v>
      </c>
      <c r="O29" s="57" t="str">
        <f ca="1">IF(NOW() &lt; CALENDARIO!$K28, "🔒", PALPITES!U28 &amp; " x " &amp; PALPITES!V28)</f>
        <v>🔒</v>
      </c>
      <c r="P29" s="57">
        <f>PALPITES!W28</f>
        <v>0</v>
      </c>
      <c r="Q29" s="56" t="str">
        <f ca="1">IF(NOW() &lt; CALENDARIO!$K28, "🔒", PALPITES!Y28 &amp; " x " &amp; PALPITES!Z28)</f>
        <v>🔒</v>
      </c>
      <c r="R29" s="56">
        <f>PALPITES!AA28</f>
        <v>0</v>
      </c>
      <c r="S29" s="57" t="str">
        <f ca="1">IF(NOW() &lt; CALENDARIO!$K28, "🔒", PALPITES!AC28 &amp; " x " &amp; PALPITES!AD28)</f>
        <v>🔒</v>
      </c>
      <c r="T29" s="57">
        <f>PALPITES!AE28</f>
        <v>0</v>
      </c>
      <c r="U29" s="56" t="str">
        <f ca="1">IF(NOW() &lt; CALENDARIO!$K28, "🔒", PALPITES!AG28 &amp; " x " &amp; PALPITES!AH28)</f>
        <v>🔒</v>
      </c>
      <c r="V29" s="56">
        <f>PALPITES!AI28</f>
        <v>0</v>
      </c>
      <c r="W29" s="57" t="str">
        <f ca="1">IF(NOW() &lt; CALENDARIO!$K28, "🔒", PALPITES!AK28 &amp; " x " &amp; PALPITES!AL28)</f>
        <v>🔒</v>
      </c>
      <c r="X29" s="57">
        <f>PALPITES!AM28</f>
        <v>0</v>
      </c>
      <c r="Y29" s="56" t="str">
        <f ca="1">IF(NOW() &lt; CALENDARIO!$K28, "🔒", PALPITES!AO28 &amp; " x " &amp; PALPITES!AP28)</f>
        <v>🔒</v>
      </c>
      <c r="Z29" s="56">
        <f>PALPITES!AQ28</f>
        <v>0</v>
      </c>
      <c r="AA29" s="57" t="str">
        <f ca="1">IF(NOW() &lt; CALENDARIO!$K28, "🔒", PALPITES!AS28 &amp; " x " &amp; PALPITES!AT28)</f>
        <v>🔒</v>
      </c>
      <c r="AB29" s="57">
        <f>PALPITES!AU28</f>
        <v>0</v>
      </c>
      <c r="AC29" s="56" t="str">
        <f ca="1">IF(NOW() &lt; CALENDARIO!$K28, "🔒", PALPITES!AW28 &amp; " x " &amp; PALPITES!AX28)</f>
        <v>🔒</v>
      </c>
      <c r="AD29" s="56">
        <f>PALPITES!AY28</f>
        <v>0</v>
      </c>
      <c r="AE29" s="57" t="str">
        <f ca="1">IF(NOW() &lt; CALENDARIO!$K28, "🔒", PALPITES!BA28 &amp; " x " &amp; PALPITES!BB28)</f>
        <v>🔒</v>
      </c>
      <c r="AF29" s="57">
        <f>PALPITES!BC28</f>
        <v>0</v>
      </c>
      <c r="AG29" s="56" t="str">
        <f ca="1">IF(NOW() &lt; CALENDARIO!$K28, "🔒", PALPITES!BE28 &amp; " x " &amp; PALPITES!BF28)</f>
        <v>🔒</v>
      </c>
      <c r="AH29" s="56">
        <f>PALPITES!BG28</f>
        <v>0</v>
      </c>
      <c r="AI29" s="57" t="str">
        <f ca="1">IF(NOW() &lt; CALENDARIO!$K28, "🔒", PALPITES!BI28 &amp; " x " &amp; PALPITES!BJ28)</f>
        <v>🔒</v>
      </c>
      <c r="AJ29" s="57">
        <f>PALPITES!BK28</f>
        <v>0</v>
      </c>
    </row>
    <row r="30" spans="1:36" ht="12.75">
      <c r="A30" s="58">
        <f>CALENDARIO!A29</f>
        <v>28</v>
      </c>
      <c r="B30" s="59">
        <f>CALENDARIO!B29</f>
        <v>46191</v>
      </c>
      <c r="C30" s="60">
        <f>CALENDARIO!C29</f>
        <v>0.91666666666666663</v>
      </c>
      <c r="D30" s="61" t="str">
        <f>CALENDARIO!D29</f>
        <v>México</v>
      </c>
      <c r="E30" s="58">
        <f>CALENDARIO!E29</f>
        <v>0</v>
      </c>
      <c r="F30" s="58" t="str">
        <f>CALENDARIO!F29</f>
        <v>x</v>
      </c>
      <c r="G30" s="58">
        <f>CALENDARIO!G29</f>
        <v>0</v>
      </c>
      <c r="H30" s="61" t="str">
        <f>CALENDARIO!H29</f>
        <v>República da Coreia</v>
      </c>
      <c r="I30" s="56" t="str">
        <f ca="1">IF(NOW() &lt; CALENDARIO!$K29, "🔒", PALPITES!I29 &amp; " x " &amp; PALPITES!J29)</f>
        <v>🔒</v>
      </c>
      <c r="J30" s="56">
        <f>PALPITES!K29</f>
        <v>0</v>
      </c>
      <c r="K30" s="57" t="str">
        <f ca="1">IF(NOW() &lt; CALENDARIO!$K29, "🔒", PALPITES!M29 &amp; " x " &amp; PALPITES!N29)</f>
        <v>🔒</v>
      </c>
      <c r="L30" s="57">
        <f>PALPITES!O29</f>
        <v>0</v>
      </c>
      <c r="M30" s="56" t="str">
        <f ca="1">IF(NOW() &lt; CALENDARIO!$K29, "🔒", PALPITES!Q29 &amp; " x " &amp; PALPITES!R29)</f>
        <v>🔒</v>
      </c>
      <c r="N30" s="56">
        <f>PALPITES!S29</f>
        <v>0</v>
      </c>
      <c r="O30" s="57" t="str">
        <f ca="1">IF(NOW() &lt; CALENDARIO!$K29, "🔒", PALPITES!U29 &amp; " x " &amp; PALPITES!V29)</f>
        <v>🔒</v>
      </c>
      <c r="P30" s="57">
        <f>PALPITES!W29</f>
        <v>0</v>
      </c>
      <c r="Q30" s="56" t="str">
        <f ca="1">IF(NOW() &lt; CALENDARIO!$K29, "🔒", PALPITES!Y29 &amp; " x " &amp; PALPITES!Z29)</f>
        <v>🔒</v>
      </c>
      <c r="R30" s="56">
        <f>PALPITES!AA29</f>
        <v>0</v>
      </c>
      <c r="S30" s="57" t="str">
        <f ca="1">IF(NOW() &lt; CALENDARIO!$K29, "🔒", PALPITES!AC29 &amp; " x " &amp; PALPITES!AD29)</f>
        <v>🔒</v>
      </c>
      <c r="T30" s="57">
        <f>PALPITES!AE29</f>
        <v>0</v>
      </c>
      <c r="U30" s="56" t="str">
        <f ca="1">IF(NOW() &lt; CALENDARIO!$K29, "🔒", PALPITES!AG29 &amp; " x " &amp; PALPITES!AH29)</f>
        <v>🔒</v>
      </c>
      <c r="V30" s="56">
        <f>PALPITES!AI29</f>
        <v>0</v>
      </c>
      <c r="W30" s="57" t="str">
        <f ca="1">IF(NOW() &lt; CALENDARIO!$K29, "🔒", PALPITES!AK29 &amp; " x " &amp; PALPITES!AL29)</f>
        <v>🔒</v>
      </c>
      <c r="X30" s="57">
        <f>PALPITES!AM29</f>
        <v>0</v>
      </c>
      <c r="Y30" s="56" t="str">
        <f ca="1">IF(NOW() &lt; CALENDARIO!$K29, "🔒", PALPITES!AO29 &amp; " x " &amp; PALPITES!AP29)</f>
        <v>🔒</v>
      </c>
      <c r="Z30" s="56">
        <f>PALPITES!AQ29</f>
        <v>0</v>
      </c>
      <c r="AA30" s="57" t="str">
        <f ca="1">IF(NOW() &lt; CALENDARIO!$K29, "🔒", PALPITES!AS29 &amp; " x " &amp; PALPITES!AT29)</f>
        <v>🔒</v>
      </c>
      <c r="AB30" s="57">
        <f>PALPITES!AU29</f>
        <v>0</v>
      </c>
      <c r="AC30" s="56" t="str">
        <f ca="1">IF(NOW() &lt; CALENDARIO!$K29, "🔒", PALPITES!AW29 &amp; " x " &amp; PALPITES!AX29)</f>
        <v>🔒</v>
      </c>
      <c r="AD30" s="56">
        <f>PALPITES!AY29</f>
        <v>0</v>
      </c>
      <c r="AE30" s="57" t="str">
        <f ca="1">IF(NOW() &lt; CALENDARIO!$K29, "🔒", PALPITES!BA29 &amp; " x " &amp; PALPITES!BB29)</f>
        <v>🔒</v>
      </c>
      <c r="AF30" s="57">
        <f>PALPITES!BC29</f>
        <v>0</v>
      </c>
      <c r="AG30" s="56" t="str">
        <f ca="1">IF(NOW() &lt; CALENDARIO!$K29, "🔒", PALPITES!BE29 &amp; " x " &amp; PALPITES!BF29)</f>
        <v>🔒</v>
      </c>
      <c r="AH30" s="56">
        <f>PALPITES!BG29</f>
        <v>0</v>
      </c>
      <c r="AI30" s="57" t="str">
        <f ca="1">IF(NOW() &lt; CALENDARIO!$K29, "🔒", PALPITES!BI29 &amp; " x " &amp; PALPITES!BJ29)</f>
        <v>🔒</v>
      </c>
      <c r="AJ30" s="57">
        <f>PALPITES!BK29</f>
        <v>0</v>
      </c>
    </row>
    <row r="31" spans="1:36" ht="12.75">
      <c r="A31" s="58">
        <f>CALENDARIO!A30</f>
        <v>29</v>
      </c>
      <c r="B31" s="59">
        <f>CALENDARIO!B30</f>
        <v>46192</v>
      </c>
      <c r="C31" s="60">
        <f>CALENDARIO!C30</f>
        <v>0</v>
      </c>
      <c r="D31" s="61" t="str">
        <f>CALENDARIO!D30</f>
        <v>Turquia</v>
      </c>
      <c r="E31" s="58">
        <f>CALENDARIO!E30</f>
        <v>0</v>
      </c>
      <c r="F31" s="58" t="str">
        <f>CALENDARIO!F30</f>
        <v>x</v>
      </c>
      <c r="G31" s="58">
        <f>CALENDARIO!G30</f>
        <v>0</v>
      </c>
      <c r="H31" s="61" t="str">
        <f>CALENDARIO!H30</f>
        <v>Paraguai</v>
      </c>
      <c r="I31" s="56" t="str">
        <f ca="1">IF(NOW() &lt; CALENDARIO!$K30, "🔒", PALPITES!I30 &amp; " x " &amp; PALPITES!J30)</f>
        <v>🔒</v>
      </c>
      <c r="J31" s="56">
        <f>PALPITES!K30</f>
        <v>0</v>
      </c>
      <c r="K31" s="57" t="str">
        <f ca="1">IF(NOW() &lt; CALENDARIO!$K30, "🔒", PALPITES!M30 &amp; " x " &amp; PALPITES!N30)</f>
        <v>🔒</v>
      </c>
      <c r="L31" s="57">
        <f>PALPITES!O30</f>
        <v>0</v>
      </c>
      <c r="M31" s="56" t="str">
        <f ca="1">IF(NOW() &lt; CALENDARIO!$K30, "🔒", PALPITES!Q30 &amp; " x " &amp; PALPITES!R30)</f>
        <v>🔒</v>
      </c>
      <c r="N31" s="56">
        <f>PALPITES!S30</f>
        <v>0</v>
      </c>
      <c r="O31" s="57" t="str">
        <f ca="1">IF(NOW() &lt; CALENDARIO!$K30, "🔒", PALPITES!U30 &amp; " x " &amp; PALPITES!V30)</f>
        <v>🔒</v>
      </c>
      <c r="P31" s="57">
        <f>PALPITES!W30</f>
        <v>0</v>
      </c>
      <c r="Q31" s="56" t="str">
        <f ca="1">IF(NOW() &lt; CALENDARIO!$K30, "🔒", PALPITES!Y30 &amp; " x " &amp; PALPITES!Z30)</f>
        <v>🔒</v>
      </c>
      <c r="R31" s="56">
        <f>PALPITES!AA30</f>
        <v>0</v>
      </c>
      <c r="S31" s="57" t="str">
        <f ca="1">IF(NOW() &lt; CALENDARIO!$K30, "🔒", PALPITES!AC30 &amp; " x " &amp; PALPITES!AD30)</f>
        <v>🔒</v>
      </c>
      <c r="T31" s="57">
        <f>PALPITES!AE30</f>
        <v>0</v>
      </c>
      <c r="U31" s="56" t="str">
        <f ca="1">IF(NOW() &lt; CALENDARIO!$K30, "🔒", PALPITES!AG30 &amp; " x " &amp; PALPITES!AH30)</f>
        <v>🔒</v>
      </c>
      <c r="V31" s="56">
        <f>PALPITES!AI30</f>
        <v>0</v>
      </c>
      <c r="W31" s="57" t="str">
        <f ca="1">IF(NOW() &lt; CALENDARIO!$K30, "🔒", PALPITES!AK30 &amp; " x " &amp; PALPITES!AL30)</f>
        <v>🔒</v>
      </c>
      <c r="X31" s="57">
        <f>PALPITES!AM30</f>
        <v>0</v>
      </c>
      <c r="Y31" s="56" t="str">
        <f ca="1">IF(NOW() &lt; CALENDARIO!$K30, "🔒", PALPITES!AO30 &amp; " x " &amp; PALPITES!AP30)</f>
        <v>🔒</v>
      </c>
      <c r="Z31" s="56">
        <f>PALPITES!AQ30</f>
        <v>0</v>
      </c>
      <c r="AA31" s="57" t="str">
        <f ca="1">IF(NOW() &lt; CALENDARIO!$K30, "🔒", PALPITES!AS30 &amp; " x " &amp; PALPITES!AT30)</f>
        <v>🔒</v>
      </c>
      <c r="AB31" s="57">
        <f>PALPITES!AU30</f>
        <v>0</v>
      </c>
      <c r="AC31" s="56" t="str">
        <f ca="1">IF(NOW() &lt; CALENDARIO!$K30, "🔒", PALPITES!AW30 &amp; " x " &amp; PALPITES!AX30)</f>
        <v>🔒</v>
      </c>
      <c r="AD31" s="56">
        <f>PALPITES!AY30</f>
        <v>0</v>
      </c>
      <c r="AE31" s="57" t="str">
        <f ca="1">IF(NOW() &lt; CALENDARIO!$K30, "🔒", PALPITES!BA30 &amp; " x " &amp; PALPITES!BB30)</f>
        <v>🔒</v>
      </c>
      <c r="AF31" s="57">
        <f>PALPITES!BC30</f>
        <v>0</v>
      </c>
      <c r="AG31" s="56" t="str">
        <f ca="1">IF(NOW() &lt; CALENDARIO!$K30, "🔒", PALPITES!BE30 &amp; " x " &amp; PALPITES!BF30)</f>
        <v>🔒</v>
      </c>
      <c r="AH31" s="56">
        <f>PALPITES!BG30</f>
        <v>0</v>
      </c>
      <c r="AI31" s="57" t="str">
        <f ca="1">IF(NOW() &lt; CALENDARIO!$K30, "🔒", PALPITES!BI30 &amp; " x " &amp; PALPITES!BJ30)</f>
        <v>🔒</v>
      </c>
      <c r="AJ31" s="57">
        <f>PALPITES!BK30</f>
        <v>0</v>
      </c>
    </row>
    <row r="32" spans="1:36" ht="12.75">
      <c r="A32" s="58">
        <f>CALENDARIO!A31</f>
        <v>30</v>
      </c>
      <c r="B32" s="59">
        <f>CALENDARIO!B31</f>
        <v>46192</v>
      </c>
      <c r="C32" s="60">
        <f>CALENDARIO!C31</f>
        <v>0.66666666666666663</v>
      </c>
      <c r="D32" s="61" t="str">
        <f>CALENDARIO!D31</f>
        <v>Estados Unidos</v>
      </c>
      <c r="E32" s="58">
        <f>CALENDARIO!E31</f>
        <v>0</v>
      </c>
      <c r="F32" s="58" t="str">
        <f>CALENDARIO!F31</f>
        <v>x</v>
      </c>
      <c r="G32" s="58">
        <f>CALENDARIO!G31</f>
        <v>0</v>
      </c>
      <c r="H32" s="61" t="str">
        <f>CALENDARIO!H31</f>
        <v>Austrália</v>
      </c>
      <c r="I32" s="56" t="str">
        <f ca="1">IF(NOW() &lt; CALENDARIO!$K31, "🔒", PALPITES!I31 &amp; " x " &amp; PALPITES!J31)</f>
        <v>🔒</v>
      </c>
      <c r="J32" s="56">
        <f>PALPITES!K31</f>
        <v>0</v>
      </c>
      <c r="K32" s="57" t="str">
        <f ca="1">IF(NOW() &lt; CALENDARIO!$K31, "🔒", PALPITES!M31 &amp; " x " &amp; PALPITES!N31)</f>
        <v>🔒</v>
      </c>
      <c r="L32" s="57">
        <f>PALPITES!O31</f>
        <v>0</v>
      </c>
      <c r="M32" s="56" t="str">
        <f ca="1">IF(NOW() &lt; CALENDARIO!$K31, "🔒", PALPITES!Q31 &amp; " x " &amp; PALPITES!R31)</f>
        <v>🔒</v>
      </c>
      <c r="N32" s="56">
        <f>PALPITES!S31</f>
        <v>0</v>
      </c>
      <c r="O32" s="57" t="str">
        <f ca="1">IF(NOW() &lt; CALENDARIO!$K31, "🔒", PALPITES!U31 &amp; " x " &amp; PALPITES!V31)</f>
        <v>🔒</v>
      </c>
      <c r="P32" s="57">
        <f>PALPITES!W31</f>
        <v>0</v>
      </c>
      <c r="Q32" s="56" t="str">
        <f ca="1">IF(NOW() &lt; CALENDARIO!$K31, "🔒", PALPITES!Y31 &amp; " x " &amp; PALPITES!Z31)</f>
        <v>🔒</v>
      </c>
      <c r="R32" s="56">
        <f>PALPITES!AA31</f>
        <v>0</v>
      </c>
      <c r="S32" s="57" t="str">
        <f ca="1">IF(NOW() &lt; CALENDARIO!$K31, "🔒", PALPITES!AC31 &amp; " x " &amp; PALPITES!AD31)</f>
        <v>🔒</v>
      </c>
      <c r="T32" s="57">
        <f>PALPITES!AE31</f>
        <v>0</v>
      </c>
      <c r="U32" s="56" t="str">
        <f ca="1">IF(NOW() &lt; CALENDARIO!$K31, "🔒", PALPITES!AG31 &amp; " x " &amp; PALPITES!AH31)</f>
        <v>🔒</v>
      </c>
      <c r="V32" s="56">
        <f>PALPITES!AI31</f>
        <v>0</v>
      </c>
      <c r="W32" s="57" t="str">
        <f ca="1">IF(NOW() &lt; CALENDARIO!$K31, "🔒", PALPITES!AK31 &amp; " x " &amp; PALPITES!AL31)</f>
        <v>🔒</v>
      </c>
      <c r="X32" s="57">
        <f>PALPITES!AM31</f>
        <v>0</v>
      </c>
      <c r="Y32" s="56" t="str">
        <f ca="1">IF(NOW() &lt; CALENDARIO!$K31, "🔒", PALPITES!AO31 &amp; " x " &amp; PALPITES!AP31)</f>
        <v>🔒</v>
      </c>
      <c r="Z32" s="56">
        <f>PALPITES!AQ31</f>
        <v>0</v>
      </c>
      <c r="AA32" s="57" t="str">
        <f ca="1">IF(NOW() &lt; CALENDARIO!$K31, "🔒", PALPITES!AS31 &amp; " x " &amp; PALPITES!AT31)</f>
        <v>🔒</v>
      </c>
      <c r="AB32" s="57">
        <f>PALPITES!AU31</f>
        <v>0</v>
      </c>
      <c r="AC32" s="56" t="str">
        <f ca="1">IF(NOW() &lt; CALENDARIO!$K31, "🔒", PALPITES!AW31 &amp; " x " &amp; PALPITES!AX31)</f>
        <v>🔒</v>
      </c>
      <c r="AD32" s="56">
        <f>PALPITES!AY31</f>
        <v>0</v>
      </c>
      <c r="AE32" s="57" t="str">
        <f ca="1">IF(NOW() &lt; CALENDARIO!$K31, "🔒", PALPITES!BA31 &amp; " x " &amp; PALPITES!BB31)</f>
        <v>🔒</v>
      </c>
      <c r="AF32" s="57">
        <f>PALPITES!BC31</f>
        <v>0</v>
      </c>
      <c r="AG32" s="56" t="str">
        <f ca="1">IF(NOW() &lt; CALENDARIO!$K31, "🔒", PALPITES!BE31 &amp; " x " &amp; PALPITES!BF31)</f>
        <v>🔒</v>
      </c>
      <c r="AH32" s="56">
        <f>PALPITES!BG31</f>
        <v>0</v>
      </c>
      <c r="AI32" s="57" t="str">
        <f ca="1">IF(NOW() &lt; CALENDARIO!$K31, "🔒", PALPITES!BI31 &amp; " x " &amp; PALPITES!BJ31)</f>
        <v>🔒</v>
      </c>
      <c r="AJ32" s="57">
        <f>PALPITES!BK31</f>
        <v>0</v>
      </c>
    </row>
    <row r="33" spans="1:36" ht="12.75">
      <c r="A33" s="58">
        <f>CALENDARIO!A32</f>
        <v>31</v>
      </c>
      <c r="B33" s="59">
        <f>CALENDARIO!B32</f>
        <v>46192</v>
      </c>
      <c r="C33" s="60">
        <f>CALENDARIO!C32</f>
        <v>0.79166666666666663</v>
      </c>
      <c r="D33" s="61" t="str">
        <f>CALENDARIO!D32</f>
        <v>Escócia</v>
      </c>
      <c r="E33" s="58">
        <f>CALENDARIO!E32</f>
        <v>0</v>
      </c>
      <c r="F33" s="58" t="str">
        <f>CALENDARIO!F32</f>
        <v>x</v>
      </c>
      <c r="G33" s="58">
        <f>CALENDARIO!G32</f>
        <v>0</v>
      </c>
      <c r="H33" s="61" t="str">
        <f>CALENDARIO!H32</f>
        <v>Marrocos</v>
      </c>
      <c r="I33" s="56" t="str">
        <f ca="1">IF(NOW() &lt; CALENDARIO!$K32, "🔒", PALPITES!I32 &amp; " x " &amp; PALPITES!J32)</f>
        <v>🔒</v>
      </c>
      <c r="J33" s="56">
        <f>PALPITES!K32</f>
        <v>0</v>
      </c>
      <c r="K33" s="57" t="str">
        <f ca="1">IF(NOW() &lt; CALENDARIO!$K32, "🔒", PALPITES!M32 &amp; " x " &amp; PALPITES!N32)</f>
        <v>🔒</v>
      </c>
      <c r="L33" s="57">
        <f>PALPITES!O32</f>
        <v>0</v>
      </c>
      <c r="M33" s="56" t="str">
        <f ca="1">IF(NOW() &lt; CALENDARIO!$K32, "🔒", PALPITES!Q32 &amp; " x " &amp; PALPITES!R32)</f>
        <v>🔒</v>
      </c>
      <c r="N33" s="56">
        <f>PALPITES!S32</f>
        <v>0</v>
      </c>
      <c r="O33" s="57" t="str">
        <f ca="1">IF(NOW() &lt; CALENDARIO!$K32, "🔒", PALPITES!U32 &amp; " x " &amp; PALPITES!V32)</f>
        <v>🔒</v>
      </c>
      <c r="P33" s="57">
        <f>PALPITES!W32</f>
        <v>0</v>
      </c>
      <c r="Q33" s="56" t="str">
        <f ca="1">IF(NOW() &lt; CALENDARIO!$K32, "🔒", PALPITES!Y32 &amp; " x " &amp; PALPITES!Z32)</f>
        <v>🔒</v>
      </c>
      <c r="R33" s="56">
        <f>PALPITES!AA32</f>
        <v>0</v>
      </c>
      <c r="S33" s="57" t="str">
        <f ca="1">IF(NOW() &lt; CALENDARIO!$K32, "🔒", PALPITES!AC32 &amp; " x " &amp; PALPITES!AD32)</f>
        <v>🔒</v>
      </c>
      <c r="T33" s="57">
        <f>PALPITES!AE32</f>
        <v>0</v>
      </c>
      <c r="U33" s="56" t="str">
        <f ca="1">IF(NOW() &lt; CALENDARIO!$K32, "🔒", PALPITES!AG32 &amp; " x " &amp; PALPITES!AH32)</f>
        <v>🔒</v>
      </c>
      <c r="V33" s="56">
        <f>PALPITES!AI32</f>
        <v>0</v>
      </c>
      <c r="W33" s="57" t="str">
        <f ca="1">IF(NOW() &lt; CALENDARIO!$K32, "🔒", PALPITES!AK32 &amp; " x " &amp; PALPITES!AL32)</f>
        <v>🔒</v>
      </c>
      <c r="X33" s="57">
        <f>PALPITES!AM32</f>
        <v>0</v>
      </c>
      <c r="Y33" s="56" t="str">
        <f ca="1">IF(NOW() &lt; CALENDARIO!$K32, "🔒", PALPITES!AO32 &amp; " x " &amp; PALPITES!AP32)</f>
        <v>🔒</v>
      </c>
      <c r="Z33" s="56">
        <f>PALPITES!AQ32</f>
        <v>0</v>
      </c>
      <c r="AA33" s="57" t="str">
        <f ca="1">IF(NOW() &lt; CALENDARIO!$K32, "🔒", PALPITES!AS32 &amp; " x " &amp; PALPITES!AT32)</f>
        <v>🔒</v>
      </c>
      <c r="AB33" s="57">
        <f>PALPITES!AU32</f>
        <v>0</v>
      </c>
      <c r="AC33" s="56" t="str">
        <f ca="1">IF(NOW() &lt; CALENDARIO!$K32, "🔒", PALPITES!AW32 &amp; " x " &amp; PALPITES!AX32)</f>
        <v>🔒</v>
      </c>
      <c r="AD33" s="56">
        <f>PALPITES!AY32</f>
        <v>0</v>
      </c>
      <c r="AE33" s="57" t="str">
        <f ca="1">IF(NOW() &lt; CALENDARIO!$K32, "🔒", PALPITES!BA32 &amp; " x " &amp; PALPITES!BB32)</f>
        <v>🔒</v>
      </c>
      <c r="AF33" s="57">
        <f>PALPITES!BC32</f>
        <v>0</v>
      </c>
      <c r="AG33" s="56" t="str">
        <f ca="1">IF(NOW() &lt; CALENDARIO!$K32, "🔒", PALPITES!BE32 &amp; " x " &amp; PALPITES!BF32)</f>
        <v>🔒</v>
      </c>
      <c r="AH33" s="56">
        <f>PALPITES!BG32</f>
        <v>0</v>
      </c>
      <c r="AI33" s="57" t="str">
        <f ca="1">IF(NOW() &lt; CALENDARIO!$K32, "🔒", PALPITES!BI32 &amp; " x " &amp; PALPITES!BJ32)</f>
        <v>🔒</v>
      </c>
      <c r="AJ33" s="57">
        <f>PALPITES!BK32</f>
        <v>0</v>
      </c>
    </row>
    <row r="34" spans="1:36" ht="12.75">
      <c r="A34" s="58">
        <f>CALENDARIO!A33</f>
        <v>32</v>
      </c>
      <c r="B34" s="59">
        <f>CALENDARIO!B33</f>
        <v>46192</v>
      </c>
      <c r="C34" s="60">
        <f>CALENDARIO!C33</f>
        <v>0.89583333333333337</v>
      </c>
      <c r="D34" s="61" t="str">
        <f>CALENDARIO!D33</f>
        <v>Brasil</v>
      </c>
      <c r="E34" s="58">
        <f>CALENDARIO!E33</f>
        <v>0</v>
      </c>
      <c r="F34" s="58" t="str">
        <f>CALENDARIO!F33</f>
        <v>x</v>
      </c>
      <c r="G34" s="58">
        <f>CALENDARIO!G33</f>
        <v>0</v>
      </c>
      <c r="H34" s="61" t="str">
        <f>CALENDARIO!H33</f>
        <v>Haiti</v>
      </c>
      <c r="I34" s="56" t="str">
        <f ca="1">IF(NOW() &lt; CALENDARIO!$K33, "🔒", PALPITES!I33 &amp; " x " &amp; PALPITES!J33)</f>
        <v>🔒</v>
      </c>
      <c r="J34" s="56">
        <f>PALPITES!K33</f>
        <v>0</v>
      </c>
      <c r="K34" s="57" t="str">
        <f ca="1">IF(NOW() &lt; CALENDARIO!$K33, "🔒", PALPITES!M33 &amp; " x " &amp; PALPITES!N33)</f>
        <v>🔒</v>
      </c>
      <c r="L34" s="57">
        <f>PALPITES!O33</f>
        <v>0</v>
      </c>
      <c r="M34" s="56" t="str">
        <f ca="1">IF(NOW() &lt; CALENDARIO!$K33, "🔒", PALPITES!Q33 &amp; " x " &amp; PALPITES!R33)</f>
        <v>🔒</v>
      </c>
      <c r="N34" s="56">
        <f>PALPITES!S33</f>
        <v>0</v>
      </c>
      <c r="O34" s="57" t="str">
        <f ca="1">IF(NOW() &lt; CALENDARIO!$K33, "🔒", PALPITES!U33 &amp; " x " &amp; PALPITES!V33)</f>
        <v>🔒</v>
      </c>
      <c r="P34" s="57">
        <f>PALPITES!W33</f>
        <v>0</v>
      </c>
      <c r="Q34" s="56" t="str">
        <f ca="1">IF(NOW() &lt; CALENDARIO!$K33, "🔒", PALPITES!Y33 &amp; " x " &amp; PALPITES!Z33)</f>
        <v>🔒</v>
      </c>
      <c r="R34" s="56">
        <f>PALPITES!AA33</f>
        <v>0</v>
      </c>
      <c r="S34" s="57" t="str">
        <f ca="1">IF(NOW() &lt; CALENDARIO!$K33, "🔒", PALPITES!AC33 &amp; " x " &amp; PALPITES!AD33)</f>
        <v>🔒</v>
      </c>
      <c r="T34" s="57">
        <f>PALPITES!AE33</f>
        <v>0</v>
      </c>
      <c r="U34" s="56" t="str">
        <f ca="1">IF(NOW() &lt; CALENDARIO!$K33, "🔒", PALPITES!AG33 &amp; " x " &amp; PALPITES!AH33)</f>
        <v>🔒</v>
      </c>
      <c r="V34" s="56">
        <f>PALPITES!AI33</f>
        <v>0</v>
      </c>
      <c r="W34" s="57" t="str">
        <f ca="1">IF(NOW() &lt; CALENDARIO!$K33, "🔒", PALPITES!AK33 &amp; " x " &amp; PALPITES!AL33)</f>
        <v>🔒</v>
      </c>
      <c r="X34" s="57">
        <f>PALPITES!AM33</f>
        <v>0</v>
      </c>
      <c r="Y34" s="56" t="str">
        <f ca="1">IF(NOW() &lt; CALENDARIO!$K33, "🔒", PALPITES!AO33 &amp; " x " &amp; PALPITES!AP33)</f>
        <v>🔒</v>
      </c>
      <c r="Z34" s="56">
        <f>PALPITES!AQ33</f>
        <v>0</v>
      </c>
      <c r="AA34" s="57" t="str">
        <f ca="1">IF(NOW() &lt; CALENDARIO!$K33, "🔒", PALPITES!AS33 &amp; " x " &amp; PALPITES!AT33)</f>
        <v>🔒</v>
      </c>
      <c r="AB34" s="57">
        <f>PALPITES!AU33</f>
        <v>0</v>
      </c>
      <c r="AC34" s="56" t="str">
        <f ca="1">IF(NOW() &lt; CALENDARIO!$K33, "🔒", PALPITES!AW33 &amp; " x " &amp; PALPITES!AX33)</f>
        <v>🔒</v>
      </c>
      <c r="AD34" s="56">
        <f>PALPITES!AY33</f>
        <v>0</v>
      </c>
      <c r="AE34" s="57" t="str">
        <f ca="1">IF(NOW() &lt; CALENDARIO!$K33, "🔒", PALPITES!BA33 &amp; " x " &amp; PALPITES!BB33)</f>
        <v>🔒</v>
      </c>
      <c r="AF34" s="57">
        <f>PALPITES!BC33</f>
        <v>0</v>
      </c>
      <c r="AG34" s="56" t="str">
        <f ca="1">IF(NOW() &lt; CALENDARIO!$K33, "🔒", PALPITES!BE33 &amp; " x " &amp; PALPITES!BF33)</f>
        <v>🔒</v>
      </c>
      <c r="AH34" s="56">
        <f>PALPITES!BG33</f>
        <v>0</v>
      </c>
      <c r="AI34" s="57" t="str">
        <f ca="1">IF(NOW() &lt; CALENDARIO!$K33, "🔒", PALPITES!BI33 &amp; " x " &amp; PALPITES!BJ33)</f>
        <v>🔒</v>
      </c>
      <c r="AJ34" s="57">
        <f>PALPITES!BK33</f>
        <v>0</v>
      </c>
    </row>
    <row r="35" spans="1:36" ht="12.75">
      <c r="A35" s="58">
        <f>CALENDARIO!A34</f>
        <v>33</v>
      </c>
      <c r="B35" s="59">
        <f>CALENDARIO!B34</f>
        <v>46193</v>
      </c>
      <c r="C35" s="60">
        <f>CALENDARIO!C34</f>
        <v>0.95833333333333337</v>
      </c>
      <c r="D35" s="61" t="str">
        <f>CALENDARIO!D34</f>
        <v>Tunísia</v>
      </c>
      <c r="E35" s="58">
        <f>CALENDARIO!E34</f>
        <v>0</v>
      </c>
      <c r="F35" s="58" t="str">
        <f>CALENDARIO!F34</f>
        <v>x</v>
      </c>
      <c r="G35" s="58">
        <f>CALENDARIO!G34</f>
        <v>0</v>
      </c>
      <c r="H35" s="61" t="str">
        <f>CALENDARIO!H34</f>
        <v>Japão</v>
      </c>
      <c r="I35" s="56" t="str">
        <f ca="1">IF(NOW() &lt; CALENDARIO!$K34, "🔒", PALPITES!I34 &amp; " x " &amp; PALPITES!J34)</f>
        <v>🔒</v>
      </c>
      <c r="J35" s="56">
        <f>PALPITES!K34</f>
        <v>0</v>
      </c>
      <c r="K35" s="57" t="str">
        <f ca="1">IF(NOW() &lt; CALENDARIO!$K34, "🔒", PALPITES!M34 &amp; " x " &amp; PALPITES!N34)</f>
        <v>🔒</v>
      </c>
      <c r="L35" s="57">
        <f>PALPITES!O34</f>
        <v>0</v>
      </c>
      <c r="M35" s="56" t="str">
        <f ca="1">IF(NOW() &lt; CALENDARIO!$K34, "🔒", PALPITES!Q34 &amp; " x " &amp; PALPITES!R34)</f>
        <v>🔒</v>
      </c>
      <c r="N35" s="56">
        <f>PALPITES!S34</f>
        <v>0</v>
      </c>
      <c r="O35" s="57" t="str">
        <f ca="1">IF(NOW() &lt; CALENDARIO!$K34, "🔒", PALPITES!U34 &amp; " x " &amp; PALPITES!V34)</f>
        <v>🔒</v>
      </c>
      <c r="P35" s="57">
        <f>PALPITES!W34</f>
        <v>0</v>
      </c>
      <c r="Q35" s="56" t="str">
        <f ca="1">IF(NOW() &lt; CALENDARIO!$K34, "🔒", PALPITES!Y34 &amp; " x " &amp; PALPITES!Z34)</f>
        <v>🔒</v>
      </c>
      <c r="R35" s="56">
        <f>PALPITES!AA34</f>
        <v>0</v>
      </c>
      <c r="S35" s="57" t="str">
        <f ca="1">IF(NOW() &lt; CALENDARIO!$K34, "🔒", PALPITES!AC34 &amp; " x " &amp; PALPITES!AD34)</f>
        <v>🔒</v>
      </c>
      <c r="T35" s="57">
        <f>PALPITES!AE34</f>
        <v>0</v>
      </c>
      <c r="U35" s="56" t="str">
        <f ca="1">IF(NOW() &lt; CALENDARIO!$K34, "🔒", PALPITES!AG34 &amp; " x " &amp; PALPITES!AH34)</f>
        <v>🔒</v>
      </c>
      <c r="V35" s="56">
        <f>PALPITES!AI34</f>
        <v>0</v>
      </c>
      <c r="W35" s="57" t="str">
        <f ca="1">IF(NOW() &lt; CALENDARIO!$K34, "🔒", PALPITES!AK34 &amp; " x " &amp; PALPITES!AL34)</f>
        <v>🔒</v>
      </c>
      <c r="X35" s="57">
        <f>PALPITES!AM34</f>
        <v>0</v>
      </c>
      <c r="Y35" s="56" t="str">
        <f ca="1">IF(NOW() &lt; CALENDARIO!$K34, "🔒", PALPITES!AO34 &amp; " x " &amp; PALPITES!AP34)</f>
        <v>🔒</v>
      </c>
      <c r="Z35" s="56">
        <f>PALPITES!AQ34</f>
        <v>0</v>
      </c>
      <c r="AA35" s="57" t="str">
        <f ca="1">IF(NOW() &lt; CALENDARIO!$K34, "🔒", PALPITES!AS34 &amp; " x " &amp; PALPITES!AT34)</f>
        <v>🔒</v>
      </c>
      <c r="AB35" s="57">
        <f>PALPITES!AU34</f>
        <v>0</v>
      </c>
      <c r="AC35" s="56" t="str">
        <f ca="1">IF(NOW() &lt; CALENDARIO!$K34, "🔒", PALPITES!AW34 &amp; " x " &amp; PALPITES!AX34)</f>
        <v>🔒</v>
      </c>
      <c r="AD35" s="56">
        <f>PALPITES!AY34</f>
        <v>0</v>
      </c>
      <c r="AE35" s="57" t="str">
        <f ca="1">IF(NOW() &lt; CALENDARIO!$K34, "🔒", PALPITES!BA34 &amp; " x " &amp; PALPITES!BB34)</f>
        <v>🔒</v>
      </c>
      <c r="AF35" s="57">
        <f>PALPITES!BC34</f>
        <v>0</v>
      </c>
      <c r="AG35" s="56" t="str">
        <f ca="1">IF(NOW() &lt; CALENDARIO!$K34, "🔒", PALPITES!BE34 &amp; " x " &amp; PALPITES!BF34)</f>
        <v>🔒</v>
      </c>
      <c r="AH35" s="56">
        <f>PALPITES!BG34</f>
        <v>0</v>
      </c>
      <c r="AI35" s="57" t="str">
        <f ca="1">IF(NOW() &lt; CALENDARIO!$K34, "🔒", PALPITES!BI34 &amp; " x " &amp; PALPITES!BJ34)</f>
        <v>🔒</v>
      </c>
      <c r="AJ35" s="57">
        <f>PALPITES!BK34</f>
        <v>0</v>
      </c>
    </row>
    <row r="36" spans="1:36" ht="12.75">
      <c r="A36" s="58">
        <f>CALENDARIO!A35</f>
        <v>34</v>
      </c>
      <c r="B36" s="59">
        <f>CALENDARIO!B35</f>
        <v>46193</v>
      </c>
      <c r="C36" s="60">
        <f>CALENDARIO!C35</f>
        <v>0.58333333333333337</v>
      </c>
      <c r="D36" s="61" t="str">
        <f>CALENDARIO!D35</f>
        <v>Holanda</v>
      </c>
      <c r="E36" s="58">
        <f>CALENDARIO!E35</f>
        <v>0</v>
      </c>
      <c r="F36" s="58" t="str">
        <f>CALENDARIO!F35</f>
        <v>x</v>
      </c>
      <c r="G36" s="58">
        <f>CALENDARIO!G35</f>
        <v>0</v>
      </c>
      <c r="H36" s="61" t="str">
        <f>CALENDARIO!H35</f>
        <v>Suécia</v>
      </c>
      <c r="I36" s="56" t="str">
        <f ca="1">IF(NOW() &lt; CALENDARIO!$K35, "🔒", PALPITES!I35 &amp; " x " &amp; PALPITES!J35)</f>
        <v>🔒</v>
      </c>
      <c r="J36" s="56">
        <f>PALPITES!K35</f>
        <v>0</v>
      </c>
      <c r="K36" s="57" t="str">
        <f ca="1">IF(NOW() &lt; CALENDARIO!$K35, "🔒", PALPITES!M35 &amp; " x " &amp; PALPITES!N35)</f>
        <v>🔒</v>
      </c>
      <c r="L36" s="57">
        <f>PALPITES!O35</f>
        <v>0</v>
      </c>
      <c r="M36" s="56" t="str">
        <f ca="1">IF(NOW() &lt; CALENDARIO!$K35, "🔒", PALPITES!Q35 &amp; " x " &amp; PALPITES!R35)</f>
        <v>🔒</v>
      </c>
      <c r="N36" s="56">
        <f>PALPITES!S35</f>
        <v>0</v>
      </c>
      <c r="O36" s="57" t="str">
        <f ca="1">IF(NOW() &lt; CALENDARIO!$K35, "🔒", PALPITES!U35 &amp; " x " &amp; PALPITES!V35)</f>
        <v>🔒</v>
      </c>
      <c r="P36" s="57">
        <f>PALPITES!W35</f>
        <v>0</v>
      </c>
      <c r="Q36" s="56" t="str">
        <f ca="1">IF(NOW() &lt; CALENDARIO!$K35, "🔒", PALPITES!Y35 &amp; " x " &amp; PALPITES!Z35)</f>
        <v>🔒</v>
      </c>
      <c r="R36" s="56">
        <f>PALPITES!AA35</f>
        <v>0</v>
      </c>
      <c r="S36" s="57" t="str">
        <f ca="1">IF(NOW() &lt; CALENDARIO!$K35, "🔒", PALPITES!AC35 &amp; " x " &amp; PALPITES!AD35)</f>
        <v>🔒</v>
      </c>
      <c r="T36" s="57">
        <f>PALPITES!AE35</f>
        <v>0</v>
      </c>
      <c r="U36" s="56" t="str">
        <f ca="1">IF(NOW() &lt; CALENDARIO!$K35, "🔒", PALPITES!AG35 &amp; " x " &amp; PALPITES!AH35)</f>
        <v>🔒</v>
      </c>
      <c r="V36" s="56">
        <f>PALPITES!AI35</f>
        <v>0</v>
      </c>
      <c r="W36" s="57" t="str">
        <f ca="1">IF(NOW() &lt; CALENDARIO!$K35, "🔒", PALPITES!AK35 &amp; " x " &amp; PALPITES!AL35)</f>
        <v>🔒</v>
      </c>
      <c r="X36" s="57">
        <f>PALPITES!AM35</f>
        <v>0</v>
      </c>
      <c r="Y36" s="56" t="str">
        <f ca="1">IF(NOW() &lt; CALENDARIO!$K35, "🔒", PALPITES!AO35 &amp; " x " &amp; PALPITES!AP35)</f>
        <v>🔒</v>
      </c>
      <c r="Z36" s="56">
        <f>PALPITES!AQ35</f>
        <v>0</v>
      </c>
      <c r="AA36" s="57" t="str">
        <f ca="1">IF(NOW() &lt; CALENDARIO!$K35, "🔒", PALPITES!AS35 &amp; " x " &amp; PALPITES!AT35)</f>
        <v>🔒</v>
      </c>
      <c r="AB36" s="57">
        <f>PALPITES!AU35</f>
        <v>0</v>
      </c>
      <c r="AC36" s="56" t="str">
        <f ca="1">IF(NOW() &lt; CALENDARIO!$K35, "🔒", PALPITES!AW35 &amp; " x " &amp; PALPITES!AX35)</f>
        <v>🔒</v>
      </c>
      <c r="AD36" s="56">
        <f>PALPITES!AY35</f>
        <v>0</v>
      </c>
      <c r="AE36" s="57" t="str">
        <f ca="1">IF(NOW() &lt; CALENDARIO!$K35, "🔒", PALPITES!BA35 &amp; " x " &amp; PALPITES!BB35)</f>
        <v>🔒</v>
      </c>
      <c r="AF36" s="57">
        <f>PALPITES!BC35</f>
        <v>0</v>
      </c>
      <c r="AG36" s="56" t="str">
        <f ca="1">IF(NOW() &lt; CALENDARIO!$K35, "🔒", PALPITES!BE35 &amp; " x " &amp; PALPITES!BF35)</f>
        <v>🔒</v>
      </c>
      <c r="AH36" s="56">
        <f>PALPITES!BG35</f>
        <v>0</v>
      </c>
      <c r="AI36" s="57" t="str">
        <f ca="1">IF(NOW() &lt; CALENDARIO!$K35, "🔒", PALPITES!BI35 &amp; " x " &amp; PALPITES!BJ35)</f>
        <v>🔒</v>
      </c>
      <c r="AJ36" s="57">
        <f>PALPITES!BK35</f>
        <v>0</v>
      </c>
    </row>
    <row r="37" spans="1:36" ht="12.75">
      <c r="A37" s="58">
        <f>CALENDARIO!A36</f>
        <v>35</v>
      </c>
      <c r="B37" s="59">
        <f>CALENDARIO!B36</f>
        <v>46193</v>
      </c>
      <c r="C37" s="60">
        <f>CALENDARIO!C36</f>
        <v>0.70833333333333337</v>
      </c>
      <c r="D37" s="61" t="str">
        <f>CALENDARIO!D36</f>
        <v>Alemanha</v>
      </c>
      <c r="E37" s="58">
        <f>CALENDARIO!E36</f>
        <v>0</v>
      </c>
      <c r="F37" s="58" t="str">
        <f>CALENDARIO!F36</f>
        <v>x</v>
      </c>
      <c r="G37" s="58">
        <f>CALENDARIO!G36</f>
        <v>0</v>
      </c>
      <c r="H37" s="61" t="str">
        <f>CALENDARIO!H36</f>
        <v>Costa do Marfim</v>
      </c>
      <c r="I37" s="56" t="str">
        <f ca="1">IF(NOW() &lt; CALENDARIO!$K36, "🔒", PALPITES!I36 &amp; " x " &amp; PALPITES!J36)</f>
        <v>🔒</v>
      </c>
      <c r="J37" s="56">
        <f>PALPITES!K36</f>
        <v>0</v>
      </c>
      <c r="K37" s="57" t="str">
        <f ca="1">IF(NOW() &lt; CALENDARIO!$K36, "🔒", PALPITES!M36 &amp; " x " &amp; PALPITES!N36)</f>
        <v>🔒</v>
      </c>
      <c r="L37" s="57">
        <f>PALPITES!O36</f>
        <v>0</v>
      </c>
      <c r="M37" s="56" t="str">
        <f ca="1">IF(NOW() &lt; CALENDARIO!$K36, "🔒", PALPITES!Q36 &amp; " x " &amp; PALPITES!R36)</f>
        <v>🔒</v>
      </c>
      <c r="N37" s="56">
        <f>PALPITES!S36</f>
        <v>0</v>
      </c>
      <c r="O37" s="57" t="str">
        <f ca="1">IF(NOW() &lt; CALENDARIO!$K36, "🔒", PALPITES!U36 &amp; " x " &amp; PALPITES!V36)</f>
        <v>🔒</v>
      </c>
      <c r="P37" s="57">
        <f>PALPITES!W36</f>
        <v>0</v>
      </c>
      <c r="Q37" s="56" t="str">
        <f ca="1">IF(NOW() &lt; CALENDARIO!$K36, "🔒", PALPITES!Y36 &amp; " x " &amp; PALPITES!Z36)</f>
        <v>🔒</v>
      </c>
      <c r="R37" s="56">
        <f>PALPITES!AA36</f>
        <v>0</v>
      </c>
      <c r="S37" s="57" t="str">
        <f ca="1">IF(NOW() &lt; CALENDARIO!$K36, "🔒", PALPITES!AC36 &amp; " x " &amp; PALPITES!AD36)</f>
        <v>🔒</v>
      </c>
      <c r="T37" s="57">
        <f>PALPITES!AE36</f>
        <v>0</v>
      </c>
      <c r="U37" s="56" t="str">
        <f ca="1">IF(NOW() &lt; CALENDARIO!$K36, "🔒", PALPITES!AG36 &amp; " x " &amp; PALPITES!AH36)</f>
        <v>🔒</v>
      </c>
      <c r="V37" s="56">
        <f>PALPITES!AI36</f>
        <v>0</v>
      </c>
      <c r="W37" s="57" t="str">
        <f ca="1">IF(NOW() &lt; CALENDARIO!$K36, "🔒", PALPITES!AK36 &amp; " x " &amp; PALPITES!AL36)</f>
        <v>🔒</v>
      </c>
      <c r="X37" s="57">
        <f>PALPITES!AM36</f>
        <v>0</v>
      </c>
      <c r="Y37" s="56" t="str">
        <f ca="1">IF(NOW() &lt; CALENDARIO!$K36, "🔒", PALPITES!AO36 &amp; " x " &amp; PALPITES!AP36)</f>
        <v>🔒</v>
      </c>
      <c r="Z37" s="56">
        <f>PALPITES!AQ36</f>
        <v>0</v>
      </c>
      <c r="AA37" s="57" t="str">
        <f ca="1">IF(NOW() &lt; CALENDARIO!$K36, "🔒", PALPITES!AS36 &amp; " x " &amp; PALPITES!AT36)</f>
        <v>🔒</v>
      </c>
      <c r="AB37" s="57">
        <f>PALPITES!AU36</f>
        <v>0</v>
      </c>
      <c r="AC37" s="56" t="str">
        <f ca="1">IF(NOW() &lt; CALENDARIO!$K36, "🔒", PALPITES!AW36 &amp; " x " &amp; PALPITES!AX36)</f>
        <v>🔒</v>
      </c>
      <c r="AD37" s="56">
        <f>PALPITES!AY36</f>
        <v>0</v>
      </c>
      <c r="AE37" s="57" t="str">
        <f ca="1">IF(NOW() &lt; CALENDARIO!$K36, "🔒", PALPITES!BA36 &amp; " x " &amp; PALPITES!BB36)</f>
        <v>🔒</v>
      </c>
      <c r="AF37" s="57">
        <f>PALPITES!BC36</f>
        <v>0</v>
      </c>
      <c r="AG37" s="56" t="str">
        <f ca="1">IF(NOW() &lt; CALENDARIO!$K36, "🔒", PALPITES!BE36 &amp; " x " &amp; PALPITES!BF36)</f>
        <v>🔒</v>
      </c>
      <c r="AH37" s="56">
        <f>PALPITES!BG36</f>
        <v>0</v>
      </c>
      <c r="AI37" s="57" t="str">
        <f ca="1">IF(NOW() &lt; CALENDARIO!$K36, "🔒", PALPITES!BI36 &amp; " x " &amp; PALPITES!BJ36)</f>
        <v>🔒</v>
      </c>
      <c r="AJ37" s="57">
        <f>PALPITES!BK36</f>
        <v>0</v>
      </c>
    </row>
    <row r="38" spans="1:36" ht="12.75">
      <c r="A38" s="58">
        <f>CALENDARIO!A37</f>
        <v>36</v>
      </c>
      <c r="B38" s="59">
        <f>CALENDARIO!B37</f>
        <v>46193</v>
      </c>
      <c r="C38" s="60">
        <f>CALENDARIO!C37</f>
        <v>0.875</v>
      </c>
      <c r="D38" s="61" t="str">
        <f>CALENDARIO!D37</f>
        <v>Equador</v>
      </c>
      <c r="E38" s="58">
        <f>CALENDARIO!E37</f>
        <v>0</v>
      </c>
      <c r="F38" s="58" t="str">
        <f>CALENDARIO!F37</f>
        <v>x</v>
      </c>
      <c r="G38" s="58">
        <f>CALENDARIO!G37</f>
        <v>0</v>
      </c>
      <c r="H38" s="61" t="str">
        <f>CALENDARIO!H37</f>
        <v>Curaçau</v>
      </c>
      <c r="I38" s="56" t="str">
        <f ca="1">IF(NOW() &lt; CALENDARIO!$K37, "🔒", PALPITES!I37 &amp; " x " &amp; PALPITES!J37)</f>
        <v>🔒</v>
      </c>
      <c r="J38" s="56">
        <f>PALPITES!K37</f>
        <v>0</v>
      </c>
      <c r="K38" s="57" t="str">
        <f ca="1">IF(NOW() &lt; CALENDARIO!$K37, "🔒", PALPITES!M37 &amp; " x " &amp; PALPITES!N37)</f>
        <v>🔒</v>
      </c>
      <c r="L38" s="57">
        <f>PALPITES!O37</f>
        <v>0</v>
      </c>
      <c r="M38" s="56" t="str">
        <f ca="1">IF(NOW() &lt; CALENDARIO!$K37, "🔒", PALPITES!Q37 &amp; " x " &amp; PALPITES!R37)</f>
        <v>🔒</v>
      </c>
      <c r="N38" s="56">
        <f>PALPITES!S37</f>
        <v>0</v>
      </c>
      <c r="O38" s="57" t="str">
        <f ca="1">IF(NOW() &lt; CALENDARIO!$K37, "🔒", PALPITES!U37 &amp; " x " &amp; PALPITES!V37)</f>
        <v>🔒</v>
      </c>
      <c r="P38" s="57">
        <f>PALPITES!W37</f>
        <v>0</v>
      </c>
      <c r="Q38" s="56" t="str">
        <f ca="1">IF(NOW() &lt; CALENDARIO!$K37, "🔒", PALPITES!Y37 &amp; " x " &amp; PALPITES!Z37)</f>
        <v>🔒</v>
      </c>
      <c r="R38" s="56">
        <f>PALPITES!AA37</f>
        <v>0</v>
      </c>
      <c r="S38" s="57" t="str">
        <f ca="1">IF(NOW() &lt; CALENDARIO!$K37, "🔒", PALPITES!AC37 &amp; " x " &amp; PALPITES!AD37)</f>
        <v>🔒</v>
      </c>
      <c r="T38" s="57">
        <f>PALPITES!AE37</f>
        <v>0</v>
      </c>
      <c r="U38" s="56" t="str">
        <f ca="1">IF(NOW() &lt; CALENDARIO!$K37, "🔒", PALPITES!AG37 &amp; " x " &amp; PALPITES!AH37)</f>
        <v>🔒</v>
      </c>
      <c r="V38" s="56">
        <f>PALPITES!AI37</f>
        <v>0</v>
      </c>
      <c r="W38" s="57" t="str">
        <f ca="1">IF(NOW() &lt; CALENDARIO!$K37, "🔒", PALPITES!AK37 &amp; " x " &amp; PALPITES!AL37)</f>
        <v>🔒</v>
      </c>
      <c r="X38" s="57">
        <f>PALPITES!AM37</f>
        <v>0</v>
      </c>
      <c r="Y38" s="56" t="str">
        <f ca="1">IF(NOW() &lt; CALENDARIO!$K37, "🔒", PALPITES!AO37 &amp; " x " &amp; PALPITES!AP37)</f>
        <v>🔒</v>
      </c>
      <c r="Z38" s="56">
        <f>PALPITES!AQ37</f>
        <v>0</v>
      </c>
      <c r="AA38" s="57" t="str">
        <f ca="1">IF(NOW() &lt; CALENDARIO!$K37, "🔒", PALPITES!AS37 &amp; " x " &amp; PALPITES!AT37)</f>
        <v>🔒</v>
      </c>
      <c r="AB38" s="57">
        <f>PALPITES!AU37</f>
        <v>0</v>
      </c>
      <c r="AC38" s="56" t="str">
        <f ca="1">IF(NOW() &lt; CALENDARIO!$K37, "🔒", PALPITES!AW37 &amp; " x " &amp; PALPITES!AX37)</f>
        <v>🔒</v>
      </c>
      <c r="AD38" s="56">
        <f>PALPITES!AY37</f>
        <v>0</v>
      </c>
      <c r="AE38" s="57" t="str">
        <f ca="1">IF(NOW() &lt; CALENDARIO!$K37, "🔒", PALPITES!BA37 &amp; " x " &amp; PALPITES!BB37)</f>
        <v>🔒</v>
      </c>
      <c r="AF38" s="57">
        <f>PALPITES!BC37</f>
        <v>0</v>
      </c>
      <c r="AG38" s="56" t="str">
        <f ca="1">IF(NOW() &lt; CALENDARIO!$K37, "🔒", PALPITES!BE37 &amp; " x " &amp; PALPITES!BF37)</f>
        <v>🔒</v>
      </c>
      <c r="AH38" s="56">
        <f>PALPITES!BG37</f>
        <v>0</v>
      </c>
      <c r="AI38" s="57" t="str">
        <f ca="1">IF(NOW() &lt; CALENDARIO!$K37, "🔒", PALPITES!BI37 &amp; " x " &amp; PALPITES!BJ37)</f>
        <v>🔒</v>
      </c>
      <c r="AJ38" s="57">
        <f>PALPITES!BK37</f>
        <v>0</v>
      </c>
    </row>
    <row r="39" spans="1:36" ht="12.75">
      <c r="A39" s="58">
        <f>CALENDARIO!A38</f>
        <v>37</v>
      </c>
      <c r="B39" s="59">
        <f>CALENDARIO!B38</f>
        <v>46194</v>
      </c>
      <c r="C39" s="60">
        <f>CALENDARIO!C38</f>
        <v>0.54166666666666663</v>
      </c>
      <c r="D39" s="61" t="str">
        <f>CALENDARIO!D38</f>
        <v>Espanha</v>
      </c>
      <c r="E39" s="58">
        <f>CALENDARIO!E38</f>
        <v>0</v>
      </c>
      <c r="F39" s="58" t="str">
        <f>CALENDARIO!F38</f>
        <v>x</v>
      </c>
      <c r="G39" s="58">
        <f>CALENDARIO!G38</f>
        <v>0</v>
      </c>
      <c r="H39" s="61" t="str">
        <f>CALENDARIO!H38</f>
        <v>Arábia Saudita</v>
      </c>
      <c r="I39" s="56" t="str">
        <f ca="1">IF(NOW() &lt; CALENDARIO!$K38, "🔒", PALPITES!I38 &amp; " x " &amp; PALPITES!J38)</f>
        <v>🔒</v>
      </c>
      <c r="J39" s="56">
        <f>PALPITES!K38</f>
        <v>0</v>
      </c>
      <c r="K39" s="57" t="str">
        <f ca="1">IF(NOW() &lt; CALENDARIO!$K38, "🔒", PALPITES!M38 &amp; " x " &amp; PALPITES!N38)</f>
        <v>🔒</v>
      </c>
      <c r="L39" s="57">
        <f>PALPITES!O38</f>
        <v>0</v>
      </c>
      <c r="M39" s="56" t="str">
        <f ca="1">IF(NOW() &lt; CALENDARIO!$K38, "🔒", PALPITES!Q38 &amp; " x " &amp; PALPITES!R38)</f>
        <v>🔒</v>
      </c>
      <c r="N39" s="56">
        <f>PALPITES!S38</f>
        <v>0</v>
      </c>
      <c r="O39" s="57" t="str">
        <f ca="1">IF(NOW() &lt; CALENDARIO!$K38, "🔒", PALPITES!U38 &amp; " x " &amp; PALPITES!V38)</f>
        <v>🔒</v>
      </c>
      <c r="P39" s="57">
        <f>PALPITES!W38</f>
        <v>0</v>
      </c>
      <c r="Q39" s="56" t="str">
        <f ca="1">IF(NOW() &lt; CALENDARIO!$K38, "🔒", PALPITES!Y38 &amp; " x " &amp; PALPITES!Z38)</f>
        <v>🔒</v>
      </c>
      <c r="R39" s="56">
        <f>PALPITES!AA38</f>
        <v>0</v>
      </c>
      <c r="S39" s="57" t="str">
        <f ca="1">IF(NOW() &lt; CALENDARIO!$K38, "🔒", PALPITES!AC38 &amp; " x " &amp; PALPITES!AD38)</f>
        <v>🔒</v>
      </c>
      <c r="T39" s="57">
        <f>PALPITES!AE38</f>
        <v>0</v>
      </c>
      <c r="U39" s="56" t="str">
        <f ca="1">IF(NOW() &lt; CALENDARIO!$K38, "🔒", PALPITES!AG38 &amp; " x " &amp; PALPITES!AH38)</f>
        <v>🔒</v>
      </c>
      <c r="V39" s="56">
        <f>PALPITES!AI38</f>
        <v>0</v>
      </c>
      <c r="W39" s="57" t="str">
        <f ca="1">IF(NOW() &lt; CALENDARIO!$K38, "🔒", PALPITES!AK38 &amp; " x " &amp; PALPITES!AL38)</f>
        <v>🔒</v>
      </c>
      <c r="X39" s="57">
        <f>PALPITES!AM38</f>
        <v>0</v>
      </c>
      <c r="Y39" s="56" t="str">
        <f ca="1">IF(NOW() &lt; CALENDARIO!$K38, "🔒", PALPITES!AO38 &amp; " x " &amp; PALPITES!AP38)</f>
        <v>🔒</v>
      </c>
      <c r="Z39" s="56">
        <f>PALPITES!AQ38</f>
        <v>0</v>
      </c>
      <c r="AA39" s="57" t="str">
        <f ca="1">IF(NOW() &lt; CALENDARIO!$K38, "🔒", PALPITES!AS38 &amp; " x " &amp; PALPITES!AT38)</f>
        <v>🔒</v>
      </c>
      <c r="AB39" s="57">
        <f>PALPITES!AU38</f>
        <v>0</v>
      </c>
      <c r="AC39" s="56" t="str">
        <f ca="1">IF(NOW() &lt; CALENDARIO!$K38, "🔒", PALPITES!AW38 &amp; " x " &amp; PALPITES!AX38)</f>
        <v>🔒</v>
      </c>
      <c r="AD39" s="56">
        <f>PALPITES!AY38</f>
        <v>0</v>
      </c>
      <c r="AE39" s="57" t="str">
        <f ca="1">IF(NOW() &lt; CALENDARIO!$K38, "🔒", PALPITES!BA38 &amp; " x " &amp; PALPITES!BB38)</f>
        <v>🔒</v>
      </c>
      <c r="AF39" s="57">
        <f>PALPITES!BC38</f>
        <v>0</v>
      </c>
      <c r="AG39" s="56" t="str">
        <f ca="1">IF(NOW() &lt; CALENDARIO!$K38, "🔒", PALPITES!BE38 &amp; " x " &amp; PALPITES!BF38)</f>
        <v>🔒</v>
      </c>
      <c r="AH39" s="56">
        <f>PALPITES!BG38</f>
        <v>0</v>
      </c>
      <c r="AI39" s="57" t="str">
        <f ca="1">IF(NOW() &lt; CALENDARIO!$K38, "🔒", PALPITES!BI38 &amp; " x " &amp; PALPITES!BJ38)</f>
        <v>🔒</v>
      </c>
      <c r="AJ39" s="57">
        <f>PALPITES!BK38</f>
        <v>0</v>
      </c>
    </row>
    <row r="40" spans="1:36" ht="12.75">
      <c r="A40" s="58">
        <f>CALENDARIO!A39</f>
        <v>38</v>
      </c>
      <c r="B40" s="59">
        <f>CALENDARIO!B39</f>
        <v>46194</v>
      </c>
      <c r="C40" s="60">
        <f>CALENDARIO!C39</f>
        <v>0.66666666666666663</v>
      </c>
      <c r="D40" s="61" t="str">
        <f>CALENDARIO!D39</f>
        <v>Bélgica</v>
      </c>
      <c r="E40" s="58">
        <f>CALENDARIO!E39</f>
        <v>0</v>
      </c>
      <c r="F40" s="58" t="str">
        <f>CALENDARIO!F39</f>
        <v>x</v>
      </c>
      <c r="G40" s="58">
        <f>CALENDARIO!G39</f>
        <v>0</v>
      </c>
      <c r="H40" s="61" t="str">
        <f>CALENDARIO!H39</f>
        <v>Irã</v>
      </c>
      <c r="I40" s="56" t="str">
        <f ca="1">IF(NOW() &lt; CALENDARIO!$K39, "🔒", PALPITES!I39 &amp; " x " &amp; PALPITES!J39)</f>
        <v>🔒</v>
      </c>
      <c r="J40" s="56">
        <f>PALPITES!K39</f>
        <v>0</v>
      </c>
      <c r="K40" s="57" t="str">
        <f ca="1">IF(NOW() &lt; CALENDARIO!$K39, "🔒", PALPITES!M39 &amp; " x " &amp; PALPITES!N39)</f>
        <v>🔒</v>
      </c>
      <c r="L40" s="57">
        <f>PALPITES!O39</f>
        <v>0</v>
      </c>
      <c r="M40" s="56" t="str">
        <f ca="1">IF(NOW() &lt; CALENDARIO!$K39, "🔒", PALPITES!Q39 &amp; " x " &amp; PALPITES!R39)</f>
        <v>🔒</v>
      </c>
      <c r="N40" s="56">
        <f>PALPITES!S39</f>
        <v>0</v>
      </c>
      <c r="O40" s="57" t="str">
        <f ca="1">IF(NOW() &lt; CALENDARIO!$K39, "🔒", PALPITES!U39 &amp; " x " &amp; PALPITES!V39)</f>
        <v>🔒</v>
      </c>
      <c r="P40" s="57">
        <f>PALPITES!W39</f>
        <v>0</v>
      </c>
      <c r="Q40" s="56" t="str">
        <f ca="1">IF(NOW() &lt; CALENDARIO!$K39, "🔒", PALPITES!Y39 &amp; " x " &amp; PALPITES!Z39)</f>
        <v>🔒</v>
      </c>
      <c r="R40" s="56">
        <f>PALPITES!AA39</f>
        <v>0</v>
      </c>
      <c r="S40" s="57" t="str">
        <f ca="1">IF(NOW() &lt; CALENDARIO!$K39, "🔒", PALPITES!AC39 &amp; " x " &amp; PALPITES!AD39)</f>
        <v>🔒</v>
      </c>
      <c r="T40" s="57">
        <f>PALPITES!AE39</f>
        <v>0</v>
      </c>
      <c r="U40" s="56" t="str">
        <f ca="1">IF(NOW() &lt; CALENDARIO!$K39, "🔒", PALPITES!AG39 &amp; " x " &amp; PALPITES!AH39)</f>
        <v>🔒</v>
      </c>
      <c r="V40" s="56">
        <f>PALPITES!AI39</f>
        <v>0</v>
      </c>
      <c r="W40" s="57" t="str">
        <f ca="1">IF(NOW() &lt; CALENDARIO!$K39, "🔒", PALPITES!AK39 &amp; " x " &amp; PALPITES!AL39)</f>
        <v>🔒</v>
      </c>
      <c r="X40" s="57">
        <f>PALPITES!AM39</f>
        <v>0</v>
      </c>
      <c r="Y40" s="56" t="str">
        <f ca="1">IF(NOW() &lt; CALENDARIO!$K39, "🔒", PALPITES!AO39 &amp; " x " &amp; PALPITES!AP39)</f>
        <v>🔒</v>
      </c>
      <c r="Z40" s="56">
        <f>PALPITES!AQ39</f>
        <v>0</v>
      </c>
      <c r="AA40" s="57" t="str">
        <f ca="1">IF(NOW() &lt; CALENDARIO!$K39, "🔒", PALPITES!AS39 &amp; " x " &amp; PALPITES!AT39)</f>
        <v>🔒</v>
      </c>
      <c r="AB40" s="57">
        <f>PALPITES!AU39</f>
        <v>0</v>
      </c>
      <c r="AC40" s="56" t="str">
        <f ca="1">IF(NOW() &lt; CALENDARIO!$K39, "🔒", PALPITES!AW39 &amp; " x " &amp; PALPITES!AX39)</f>
        <v>🔒</v>
      </c>
      <c r="AD40" s="56">
        <f>PALPITES!AY39</f>
        <v>0</v>
      </c>
      <c r="AE40" s="57" t="str">
        <f ca="1">IF(NOW() &lt; CALENDARIO!$K39, "🔒", PALPITES!BA39 &amp; " x " &amp; PALPITES!BB39)</f>
        <v>🔒</v>
      </c>
      <c r="AF40" s="57">
        <f>PALPITES!BC39</f>
        <v>0</v>
      </c>
      <c r="AG40" s="56" t="str">
        <f ca="1">IF(NOW() &lt; CALENDARIO!$K39, "🔒", PALPITES!BE39 &amp; " x " &amp; PALPITES!BF39)</f>
        <v>🔒</v>
      </c>
      <c r="AH40" s="56">
        <f>PALPITES!BG39</f>
        <v>0</v>
      </c>
      <c r="AI40" s="57" t="str">
        <f ca="1">IF(NOW() &lt; CALENDARIO!$K39, "🔒", PALPITES!BI39 &amp; " x " &amp; PALPITES!BJ39)</f>
        <v>🔒</v>
      </c>
      <c r="AJ40" s="57">
        <f>PALPITES!BK39</f>
        <v>0</v>
      </c>
    </row>
    <row r="41" spans="1:36" ht="12.75">
      <c r="A41" s="58">
        <f>CALENDARIO!A40</f>
        <v>39</v>
      </c>
      <c r="B41" s="59">
        <f>CALENDARIO!B40</f>
        <v>46194</v>
      </c>
      <c r="C41" s="60">
        <f>CALENDARIO!C40</f>
        <v>0.79166666666666663</v>
      </c>
      <c r="D41" s="61" t="str">
        <f>CALENDARIO!D40</f>
        <v>Uruguai</v>
      </c>
      <c r="E41" s="58">
        <f>CALENDARIO!E40</f>
        <v>0</v>
      </c>
      <c r="F41" s="58" t="str">
        <f>CALENDARIO!F40</f>
        <v>x</v>
      </c>
      <c r="G41" s="58">
        <f>CALENDARIO!G40</f>
        <v>0</v>
      </c>
      <c r="H41" s="61" t="str">
        <f>CALENDARIO!H40</f>
        <v>Cabo Verde</v>
      </c>
      <c r="I41" s="56" t="str">
        <f ca="1">IF(NOW() &lt; CALENDARIO!$K40, "🔒", PALPITES!I40 &amp; " x " &amp; PALPITES!J40)</f>
        <v>🔒</v>
      </c>
      <c r="J41" s="56">
        <f>PALPITES!K40</f>
        <v>0</v>
      </c>
      <c r="K41" s="57" t="str">
        <f ca="1">IF(NOW() &lt; CALENDARIO!$K40, "🔒", PALPITES!M40 &amp; " x " &amp; PALPITES!N40)</f>
        <v>🔒</v>
      </c>
      <c r="L41" s="57">
        <f>PALPITES!O40</f>
        <v>0</v>
      </c>
      <c r="M41" s="56" t="str">
        <f ca="1">IF(NOW() &lt; CALENDARIO!$K40, "🔒", PALPITES!Q40 &amp; " x " &amp; PALPITES!R40)</f>
        <v>🔒</v>
      </c>
      <c r="N41" s="56">
        <f>PALPITES!S40</f>
        <v>0</v>
      </c>
      <c r="O41" s="57" t="str">
        <f ca="1">IF(NOW() &lt; CALENDARIO!$K40, "🔒", PALPITES!U40 &amp; " x " &amp; PALPITES!V40)</f>
        <v>🔒</v>
      </c>
      <c r="P41" s="57">
        <f>PALPITES!W40</f>
        <v>0</v>
      </c>
      <c r="Q41" s="56" t="str">
        <f ca="1">IF(NOW() &lt; CALENDARIO!$K40, "🔒", PALPITES!Y40 &amp; " x " &amp; PALPITES!Z40)</f>
        <v>🔒</v>
      </c>
      <c r="R41" s="56">
        <f>PALPITES!AA40</f>
        <v>0</v>
      </c>
      <c r="S41" s="57" t="str">
        <f ca="1">IF(NOW() &lt; CALENDARIO!$K40, "🔒", PALPITES!AC40 &amp; " x " &amp; PALPITES!AD40)</f>
        <v>🔒</v>
      </c>
      <c r="T41" s="57">
        <f>PALPITES!AE40</f>
        <v>0</v>
      </c>
      <c r="U41" s="56" t="str">
        <f ca="1">IF(NOW() &lt; CALENDARIO!$K40, "🔒", PALPITES!AG40 &amp; " x " &amp; PALPITES!AH40)</f>
        <v>🔒</v>
      </c>
      <c r="V41" s="56">
        <f>PALPITES!AI40</f>
        <v>0</v>
      </c>
      <c r="W41" s="57" t="str">
        <f ca="1">IF(NOW() &lt; CALENDARIO!$K40, "🔒", PALPITES!AK40 &amp; " x " &amp; PALPITES!AL40)</f>
        <v>🔒</v>
      </c>
      <c r="X41" s="57">
        <f>PALPITES!AM40</f>
        <v>0</v>
      </c>
      <c r="Y41" s="56" t="str">
        <f ca="1">IF(NOW() &lt; CALENDARIO!$K40, "🔒", PALPITES!AO40 &amp; " x " &amp; PALPITES!AP40)</f>
        <v>🔒</v>
      </c>
      <c r="Z41" s="56">
        <f>PALPITES!AQ40</f>
        <v>0</v>
      </c>
      <c r="AA41" s="57" t="str">
        <f ca="1">IF(NOW() &lt; CALENDARIO!$K40, "🔒", PALPITES!AS40 &amp; " x " &amp; PALPITES!AT40)</f>
        <v>🔒</v>
      </c>
      <c r="AB41" s="57">
        <f>PALPITES!AU40</f>
        <v>0</v>
      </c>
      <c r="AC41" s="56" t="str">
        <f ca="1">IF(NOW() &lt; CALENDARIO!$K40, "🔒", PALPITES!AW40 &amp; " x " &amp; PALPITES!AX40)</f>
        <v>🔒</v>
      </c>
      <c r="AD41" s="56">
        <f>PALPITES!AY40</f>
        <v>0</v>
      </c>
      <c r="AE41" s="57" t="str">
        <f ca="1">IF(NOW() &lt; CALENDARIO!$K40, "🔒", PALPITES!BA40 &amp; " x " &amp; PALPITES!BB40)</f>
        <v>🔒</v>
      </c>
      <c r="AF41" s="57">
        <f>PALPITES!BC40</f>
        <v>0</v>
      </c>
      <c r="AG41" s="56" t="str">
        <f ca="1">IF(NOW() &lt; CALENDARIO!$K40, "🔒", PALPITES!BE40 &amp; " x " &amp; PALPITES!BF40)</f>
        <v>🔒</v>
      </c>
      <c r="AH41" s="56">
        <f>PALPITES!BG40</f>
        <v>0</v>
      </c>
      <c r="AI41" s="57" t="str">
        <f ca="1">IF(NOW() &lt; CALENDARIO!$K40, "🔒", PALPITES!BI40 &amp; " x " &amp; PALPITES!BJ40)</f>
        <v>🔒</v>
      </c>
      <c r="AJ41" s="57">
        <f>PALPITES!BK40</f>
        <v>0</v>
      </c>
    </row>
    <row r="42" spans="1:36" ht="12.75">
      <c r="A42" s="58">
        <f>CALENDARIO!A41</f>
        <v>40</v>
      </c>
      <c r="B42" s="59">
        <f>CALENDARIO!B41</f>
        <v>46194</v>
      </c>
      <c r="C42" s="60">
        <f>CALENDARIO!C41</f>
        <v>0.91666666666666663</v>
      </c>
      <c r="D42" s="61" t="str">
        <f>CALENDARIO!D41</f>
        <v>Nova Zelândia</v>
      </c>
      <c r="E42" s="58">
        <f>CALENDARIO!E41</f>
        <v>0</v>
      </c>
      <c r="F42" s="58" t="str">
        <f>CALENDARIO!F41</f>
        <v>x</v>
      </c>
      <c r="G42" s="58">
        <f>CALENDARIO!G41</f>
        <v>0</v>
      </c>
      <c r="H42" s="61" t="str">
        <f>CALENDARIO!H41</f>
        <v>Egito</v>
      </c>
      <c r="I42" s="56" t="str">
        <f ca="1">IF(NOW() &lt; CALENDARIO!$K41, "🔒", PALPITES!I41 &amp; " x " &amp; PALPITES!J41)</f>
        <v>🔒</v>
      </c>
      <c r="J42" s="56">
        <f>PALPITES!K41</f>
        <v>0</v>
      </c>
      <c r="K42" s="57" t="str">
        <f ca="1">IF(NOW() &lt; CALENDARIO!$K41, "🔒", PALPITES!M41 &amp; " x " &amp; PALPITES!N41)</f>
        <v>🔒</v>
      </c>
      <c r="L42" s="57">
        <f>PALPITES!O41</f>
        <v>0</v>
      </c>
      <c r="M42" s="56" t="str">
        <f ca="1">IF(NOW() &lt; CALENDARIO!$K41, "🔒", PALPITES!Q41 &amp; " x " &amp; PALPITES!R41)</f>
        <v>🔒</v>
      </c>
      <c r="N42" s="56">
        <f>PALPITES!S41</f>
        <v>0</v>
      </c>
      <c r="O42" s="57" t="str">
        <f ca="1">IF(NOW() &lt; CALENDARIO!$K41, "🔒", PALPITES!U41 &amp; " x " &amp; PALPITES!V41)</f>
        <v>🔒</v>
      </c>
      <c r="P42" s="57">
        <f>PALPITES!W41</f>
        <v>0</v>
      </c>
      <c r="Q42" s="56" t="str">
        <f ca="1">IF(NOW() &lt; CALENDARIO!$K41, "🔒", PALPITES!Y41 &amp; " x " &amp; PALPITES!Z41)</f>
        <v>🔒</v>
      </c>
      <c r="R42" s="56">
        <f>PALPITES!AA41</f>
        <v>0</v>
      </c>
      <c r="S42" s="57" t="str">
        <f ca="1">IF(NOW() &lt; CALENDARIO!$K41, "🔒", PALPITES!AC41 &amp; " x " &amp; PALPITES!AD41)</f>
        <v>🔒</v>
      </c>
      <c r="T42" s="57">
        <f>PALPITES!AE41</f>
        <v>0</v>
      </c>
      <c r="U42" s="56" t="str">
        <f ca="1">IF(NOW() &lt; CALENDARIO!$K41, "🔒", PALPITES!AG41 &amp; " x " &amp; PALPITES!AH41)</f>
        <v>🔒</v>
      </c>
      <c r="V42" s="56">
        <f>PALPITES!AI41</f>
        <v>0</v>
      </c>
      <c r="W42" s="57" t="str">
        <f ca="1">IF(NOW() &lt; CALENDARIO!$K41, "🔒", PALPITES!AK41 &amp; " x " &amp; PALPITES!AL41)</f>
        <v>🔒</v>
      </c>
      <c r="X42" s="57">
        <f>PALPITES!AM41</f>
        <v>0</v>
      </c>
      <c r="Y42" s="56" t="str">
        <f ca="1">IF(NOW() &lt; CALENDARIO!$K41, "🔒", PALPITES!AO41 &amp; " x " &amp; PALPITES!AP41)</f>
        <v>🔒</v>
      </c>
      <c r="Z42" s="56">
        <f>PALPITES!AQ41</f>
        <v>0</v>
      </c>
      <c r="AA42" s="57" t="str">
        <f ca="1">IF(NOW() &lt; CALENDARIO!$K41, "🔒", PALPITES!AS41 &amp; " x " &amp; PALPITES!AT41)</f>
        <v>🔒</v>
      </c>
      <c r="AB42" s="57">
        <f>PALPITES!AU41</f>
        <v>0</v>
      </c>
      <c r="AC42" s="56" t="str">
        <f ca="1">IF(NOW() &lt; CALENDARIO!$K41, "🔒", PALPITES!AW41 &amp; " x " &amp; PALPITES!AX41)</f>
        <v>🔒</v>
      </c>
      <c r="AD42" s="56">
        <f>PALPITES!AY41</f>
        <v>0</v>
      </c>
      <c r="AE42" s="57" t="str">
        <f ca="1">IF(NOW() &lt; CALENDARIO!$K41, "🔒", PALPITES!BA41 &amp; " x " &amp; PALPITES!BB41)</f>
        <v>🔒</v>
      </c>
      <c r="AF42" s="57">
        <f>PALPITES!BC41</f>
        <v>0</v>
      </c>
      <c r="AG42" s="56" t="str">
        <f ca="1">IF(NOW() &lt; CALENDARIO!$K41, "🔒", PALPITES!BE41 &amp; " x " &amp; PALPITES!BF41)</f>
        <v>🔒</v>
      </c>
      <c r="AH42" s="56">
        <f>PALPITES!BG41</f>
        <v>0</v>
      </c>
      <c r="AI42" s="57" t="str">
        <f ca="1">IF(NOW() &lt; CALENDARIO!$K41, "🔒", PALPITES!BI41 &amp; " x " &amp; PALPITES!BJ41)</f>
        <v>🔒</v>
      </c>
      <c r="AJ42" s="57">
        <f>PALPITES!BK41</f>
        <v>0</v>
      </c>
    </row>
    <row r="43" spans="1:36" ht="12.75">
      <c r="A43" s="58">
        <f>CALENDARIO!A42</f>
        <v>41</v>
      </c>
      <c r="B43" s="59">
        <f>CALENDARIO!B42</f>
        <v>46195</v>
      </c>
      <c r="C43" s="60">
        <f>CALENDARIO!C42</f>
        <v>0.58333333333333337</v>
      </c>
      <c r="D43" s="61" t="str">
        <f>CALENDARIO!D42</f>
        <v>Argentina</v>
      </c>
      <c r="E43" s="58">
        <f>CALENDARIO!E42</f>
        <v>0</v>
      </c>
      <c r="F43" s="58" t="str">
        <f>CALENDARIO!F42</f>
        <v>x</v>
      </c>
      <c r="G43" s="58">
        <f>CALENDARIO!G42</f>
        <v>0</v>
      </c>
      <c r="H43" s="61" t="str">
        <f>CALENDARIO!H42</f>
        <v>Áustria</v>
      </c>
      <c r="I43" s="56" t="str">
        <f ca="1">IF(NOW() &lt; CALENDARIO!$K42, "🔒", PALPITES!I42 &amp; " x " &amp; PALPITES!J42)</f>
        <v>🔒</v>
      </c>
      <c r="J43" s="56">
        <f>PALPITES!K42</f>
        <v>0</v>
      </c>
      <c r="K43" s="57" t="str">
        <f ca="1">IF(NOW() &lt; CALENDARIO!$K42, "🔒", PALPITES!M42 &amp; " x " &amp; PALPITES!N42)</f>
        <v>🔒</v>
      </c>
      <c r="L43" s="57">
        <f>PALPITES!O42</f>
        <v>0</v>
      </c>
      <c r="M43" s="56" t="str">
        <f ca="1">IF(NOW() &lt; CALENDARIO!$K42, "🔒", PALPITES!Q42 &amp; " x " &amp; PALPITES!R42)</f>
        <v>🔒</v>
      </c>
      <c r="N43" s="56">
        <f>PALPITES!S42</f>
        <v>0</v>
      </c>
      <c r="O43" s="57" t="str">
        <f ca="1">IF(NOW() &lt; CALENDARIO!$K42, "🔒", PALPITES!U42 &amp; " x " &amp; PALPITES!V42)</f>
        <v>🔒</v>
      </c>
      <c r="P43" s="57">
        <f>PALPITES!W42</f>
        <v>0</v>
      </c>
      <c r="Q43" s="56" t="str">
        <f ca="1">IF(NOW() &lt; CALENDARIO!$K42, "🔒", PALPITES!Y42 &amp; " x " &amp; PALPITES!Z42)</f>
        <v>🔒</v>
      </c>
      <c r="R43" s="56">
        <f>PALPITES!AA42</f>
        <v>0</v>
      </c>
      <c r="S43" s="57" t="str">
        <f ca="1">IF(NOW() &lt; CALENDARIO!$K42, "🔒", PALPITES!AC42 &amp; " x " &amp; PALPITES!AD42)</f>
        <v>🔒</v>
      </c>
      <c r="T43" s="57">
        <f>PALPITES!AE42</f>
        <v>0</v>
      </c>
      <c r="U43" s="56" t="str">
        <f ca="1">IF(NOW() &lt; CALENDARIO!$K42, "🔒", PALPITES!AG42 &amp; " x " &amp; PALPITES!AH42)</f>
        <v>🔒</v>
      </c>
      <c r="V43" s="56">
        <f>PALPITES!AI42</f>
        <v>0</v>
      </c>
      <c r="W43" s="57" t="str">
        <f ca="1">IF(NOW() &lt; CALENDARIO!$K42, "🔒", PALPITES!AK42 &amp; " x " &amp; PALPITES!AL42)</f>
        <v>🔒</v>
      </c>
      <c r="X43" s="57">
        <f>PALPITES!AM42</f>
        <v>0</v>
      </c>
      <c r="Y43" s="56" t="str">
        <f ca="1">IF(NOW() &lt; CALENDARIO!$K42, "🔒", PALPITES!AO42 &amp; " x " &amp; PALPITES!AP42)</f>
        <v>🔒</v>
      </c>
      <c r="Z43" s="56">
        <f>PALPITES!AQ42</f>
        <v>0</v>
      </c>
      <c r="AA43" s="57" t="str">
        <f ca="1">IF(NOW() &lt; CALENDARIO!$K42, "🔒", PALPITES!AS42 &amp; " x " &amp; PALPITES!AT42)</f>
        <v>🔒</v>
      </c>
      <c r="AB43" s="57">
        <f>PALPITES!AU42</f>
        <v>0</v>
      </c>
      <c r="AC43" s="56" t="str">
        <f ca="1">IF(NOW() &lt; CALENDARIO!$K42, "🔒", PALPITES!AW42 &amp; " x " &amp; PALPITES!AX42)</f>
        <v>🔒</v>
      </c>
      <c r="AD43" s="56">
        <f>PALPITES!AY42</f>
        <v>0</v>
      </c>
      <c r="AE43" s="57" t="str">
        <f ca="1">IF(NOW() &lt; CALENDARIO!$K42, "🔒", PALPITES!BA42 &amp; " x " &amp; PALPITES!BB42)</f>
        <v>🔒</v>
      </c>
      <c r="AF43" s="57">
        <f>PALPITES!BC42</f>
        <v>0</v>
      </c>
      <c r="AG43" s="56" t="str">
        <f ca="1">IF(NOW() &lt; CALENDARIO!$K42, "🔒", PALPITES!BE42 &amp; " x " &amp; PALPITES!BF42)</f>
        <v>🔒</v>
      </c>
      <c r="AH43" s="56">
        <f>PALPITES!BG42</f>
        <v>0</v>
      </c>
      <c r="AI43" s="57" t="str">
        <f ca="1">IF(NOW() &lt; CALENDARIO!$K42, "🔒", PALPITES!BI42 &amp; " x " &amp; PALPITES!BJ42)</f>
        <v>🔒</v>
      </c>
      <c r="AJ43" s="57">
        <f>PALPITES!BK42</f>
        <v>0</v>
      </c>
    </row>
    <row r="44" spans="1:36" ht="12.75">
      <c r="A44" s="58">
        <f>CALENDARIO!A43</f>
        <v>42</v>
      </c>
      <c r="B44" s="59">
        <f>CALENDARIO!B43</f>
        <v>46195</v>
      </c>
      <c r="C44" s="60">
        <f>CALENDARIO!C43</f>
        <v>0.75</v>
      </c>
      <c r="D44" s="61" t="str">
        <f>CALENDARIO!D43</f>
        <v>França</v>
      </c>
      <c r="E44" s="58">
        <f>CALENDARIO!E43</f>
        <v>0</v>
      </c>
      <c r="F44" s="58" t="str">
        <f>CALENDARIO!F43</f>
        <v>x</v>
      </c>
      <c r="G44" s="58">
        <f>CALENDARIO!G43</f>
        <v>0</v>
      </c>
      <c r="H44" s="61" t="str">
        <f>CALENDARIO!H43</f>
        <v>Iraque</v>
      </c>
      <c r="I44" s="56" t="str">
        <f ca="1">IF(NOW() &lt; CALENDARIO!$K43, "🔒", PALPITES!I43 &amp; " x " &amp; PALPITES!J43)</f>
        <v>🔒</v>
      </c>
      <c r="J44" s="56">
        <f>PALPITES!K43</f>
        <v>0</v>
      </c>
      <c r="K44" s="57" t="str">
        <f ca="1">IF(NOW() &lt; CALENDARIO!$K43, "🔒", PALPITES!M43 &amp; " x " &amp; PALPITES!N43)</f>
        <v>🔒</v>
      </c>
      <c r="L44" s="57">
        <f>PALPITES!O43</f>
        <v>0</v>
      </c>
      <c r="M44" s="56" t="str">
        <f ca="1">IF(NOW() &lt; CALENDARIO!$K43, "🔒", PALPITES!Q43 &amp; " x " &amp; PALPITES!R43)</f>
        <v>🔒</v>
      </c>
      <c r="N44" s="56">
        <f>PALPITES!S43</f>
        <v>0</v>
      </c>
      <c r="O44" s="57" t="str">
        <f ca="1">IF(NOW() &lt; CALENDARIO!$K43, "🔒", PALPITES!U43 &amp; " x " &amp; PALPITES!V43)</f>
        <v>🔒</v>
      </c>
      <c r="P44" s="57">
        <f>PALPITES!W43</f>
        <v>0</v>
      </c>
      <c r="Q44" s="56" t="str">
        <f ca="1">IF(NOW() &lt; CALENDARIO!$K43, "🔒", PALPITES!Y43 &amp; " x " &amp; PALPITES!Z43)</f>
        <v>🔒</v>
      </c>
      <c r="R44" s="56">
        <f>PALPITES!AA43</f>
        <v>0</v>
      </c>
      <c r="S44" s="57" t="str">
        <f ca="1">IF(NOW() &lt; CALENDARIO!$K43, "🔒", PALPITES!AC43 &amp; " x " &amp; PALPITES!AD43)</f>
        <v>🔒</v>
      </c>
      <c r="T44" s="57">
        <f>PALPITES!AE43</f>
        <v>0</v>
      </c>
      <c r="U44" s="56" t="str">
        <f ca="1">IF(NOW() &lt; CALENDARIO!$K43, "🔒", PALPITES!AG43 &amp; " x " &amp; PALPITES!AH43)</f>
        <v>🔒</v>
      </c>
      <c r="V44" s="56">
        <f>PALPITES!AI43</f>
        <v>0</v>
      </c>
      <c r="W44" s="57" t="str">
        <f ca="1">IF(NOW() &lt; CALENDARIO!$K43, "🔒", PALPITES!AK43 &amp; " x " &amp; PALPITES!AL43)</f>
        <v>🔒</v>
      </c>
      <c r="X44" s="57">
        <f>PALPITES!AM43</f>
        <v>0</v>
      </c>
      <c r="Y44" s="56" t="str">
        <f ca="1">IF(NOW() &lt; CALENDARIO!$K43, "🔒", PALPITES!AO43 &amp; " x " &amp; PALPITES!AP43)</f>
        <v>🔒</v>
      </c>
      <c r="Z44" s="56">
        <f>PALPITES!AQ43</f>
        <v>0</v>
      </c>
      <c r="AA44" s="57" t="str">
        <f ca="1">IF(NOW() &lt; CALENDARIO!$K43, "🔒", PALPITES!AS43 &amp; " x " &amp; PALPITES!AT43)</f>
        <v>🔒</v>
      </c>
      <c r="AB44" s="57">
        <f>PALPITES!AU43</f>
        <v>0</v>
      </c>
      <c r="AC44" s="56" t="str">
        <f ca="1">IF(NOW() &lt; CALENDARIO!$K43, "🔒", PALPITES!AW43 &amp; " x " &amp; PALPITES!AX43)</f>
        <v>🔒</v>
      </c>
      <c r="AD44" s="56">
        <f>PALPITES!AY43</f>
        <v>0</v>
      </c>
      <c r="AE44" s="57" t="str">
        <f ca="1">IF(NOW() &lt; CALENDARIO!$K43, "🔒", PALPITES!BA43 &amp; " x " &amp; PALPITES!BB43)</f>
        <v>🔒</v>
      </c>
      <c r="AF44" s="57">
        <f>PALPITES!BC43</f>
        <v>0</v>
      </c>
      <c r="AG44" s="56" t="str">
        <f ca="1">IF(NOW() &lt; CALENDARIO!$K43, "🔒", PALPITES!BE43 &amp; " x " &amp; PALPITES!BF43)</f>
        <v>🔒</v>
      </c>
      <c r="AH44" s="56">
        <f>PALPITES!BG43</f>
        <v>0</v>
      </c>
      <c r="AI44" s="57" t="str">
        <f ca="1">IF(NOW() &lt; CALENDARIO!$K43, "🔒", PALPITES!BI43 &amp; " x " &amp; PALPITES!BJ43)</f>
        <v>🔒</v>
      </c>
      <c r="AJ44" s="57">
        <f>PALPITES!BK43</f>
        <v>0</v>
      </c>
    </row>
    <row r="45" spans="1:36" ht="12.75">
      <c r="A45" s="58">
        <f>CALENDARIO!A44</f>
        <v>43</v>
      </c>
      <c r="B45" s="59">
        <f>CALENDARIO!B44</f>
        <v>46195</v>
      </c>
      <c r="C45" s="60">
        <f>CALENDARIO!C44</f>
        <v>0.875</v>
      </c>
      <c r="D45" s="61" t="str">
        <f>CALENDARIO!D44</f>
        <v>Noruega</v>
      </c>
      <c r="E45" s="58">
        <f>CALENDARIO!E44</f>
        <v>0</v>
      </c>
      <c r="F45" s="58" t="str">
        <f>CALENDARIO!F44</f>
        <v>x</v>
      </c>
      <c r="G45" s="58">
        <f>CALENDARIO!G44</f>
        <v>0</v>
      </c>
      <c r="H45" s="61" t="str">
        <f>CALENDARIO!H44</f>
        <v>Senegal</v>
      </c>
      <c r="I45" s="56" t="str">
        <f ca="1">IF(NOW() &lt; CALENDARIO!$K44, "🔒", PALPITES!I44 &amp; " x " &amp; PALPITES!J44)</f>
        <v>🔒</v>
      </c>
      <c r="J45" s="56">
        <f>PALPITES!K44</f>
        <v>0</v>
      </c>
      <c r="K45" s="57" t="str">
        <f ca="1">IF(NOW() &lt; CALENDARIO!$K44, "🔒", PALPITES!M44 &amp; " x " &amp; PALPITES!N44)</f>
        <v>🔒</v>
      </c>
      <c r="L45" s="57">
        <f>PALPITES!O44</f>
        <v>0</v>
      </c>
      <c r="M45" s="56" t="str">
        <f ca="1">IF(NOW() &lt; CALENDARIO!$K44, "🔒", PALPITES!Q44 &amp; " x " &amp; PALPITES!R44)</f>
        <v>🔒</v>
      </c>
      <c r="N45" s="56">
        <f>PALPITES!S44</f>
        <v>0</v>
      </c>
      <c r="O45" s="57" t="str">
        <f ca="1">IF(NOW() &lt; CALENDARIO!$K44, "🔒", PALPITES!U44 &amp; " x " &amp; PALPITES!V44)</f>
        <v>🔒</v>
      </c>
      <c r="P45" s="57">
        <f>PALPITES!W44</f>
        <v>0</v>
      </c>
      <c r="Q45" s="56" t="str">
        <f ca="1">IF(NOW() &lt; CALENDARIO!$K44, "🔒", PALPITES!Y44 &amp; " x " &amp; PALPITES!Z44)</f>
        <v>🔒</v>
      </c>
      <c r="R45" s="56">
        <f>PALPITES!AA44</f>
        <v>0</v>
      </c>
      <c r="S45" s="57" t="str">
        <f ca="1">IF(NOW() &lt; CALENDARIO!$K44, "🔒", PALPITES!AC44 &amp; " x " &amp; PALPITES!AD44)</f>
        <v>🔒</v>
      </c>
      <c r="T45" s="57">
        <f>PALPITES!AE44</f>
        <v>0</v>
      </c>
      <c r="U45" s="56" t="str">
        <f ca="1">IF(NOW() &lt; CALENDARIO!$K44, "🔒", PALPITES!AG44 &amp; " x " &amp; PALPITES!AH44)</f>
        <v>🔒</v>
      </c>
      <c r="V45" s="56">
        <f>PALPITES!AI44</f>
        <v>0</v>
      </c>
      <c r="W45" s="57" t="str">
        <f ca="1">IF(NOW() &lt; CALENDARIO!$K44, "🔒", PALPITES!AK44 &amp; " x " &amp; PALPITES!AL44)</f>
        <v>🔒</v>
      </c>
      <c r="X45" s="57">
        <f>PALPITES!AM44</f>
        <v>0</v>
      </c>
      <c r="Y45" s="56" t="str">
        <f ca="1">IF(NOW() &lt; CALENDARIO!$K44, "🔒", PALPITES!AO44 &amp; " x " &amp; PALPITES!AP44)</f>
        <v>🔒</v>
      </c>
      <c r="Z45" s="56">
        <f>PALPITES!AQ44</f>
        <v>0</v>
      </c>
      <c r="AA45" s="57" t="str">
        <f ca="1">IF(NOW() &lt; CALENDARIO!$K44, "🔒", PALPITES!AS44 &amp; " x " &amp; PALPITES!AT44)</f>
        <v>🔒</v>
      </c>
      <c r="AB45" s="57">
        <f>PALPITES!AU44</f>
        <v>0</v>
      </c>
      <c r="AC45" s="56" t="str">
        <f ca="1">IF(NOW() &lt; CALENDARIO!$K44, "🔒", PALPITES!AW44 &amp; " x " &amp; PALPITES!AX44)</f>
        <v>🔒</v>
      </c>
      <c r="AD45" s="56">
        <f>PALPITES!AY44</f>
        <v>0</v>
      </c>
      <c r="AE45" s="57" t="str">
        <f ca="1">IF(NOW() &lt; CALENDARIO!$K44, "🔒", PALPITES!BA44 &amp; " x " &amp; PALPITES!BB44)</f>
        <v>🔒</v>
      </c>
      <c r="AF45" s="57">
        <f>PALPITES!BC44</f>
        <v>0</v>
      </c>
      <c r="AG45" s="56" t="str">
        <f ca="1">IF(NOW() &lt; CALENDARIO!$K44, "🔒", PALPITES!BE44 &amp; " x " &amp; PALPITES!BF44)</f>
        <v>🔒</v>
      </c>
      <c r="AH45" s="56">
        <f>PALPITES!BG44</f>
        <v>0</v>
      </c>
      <c r="AI45" s="57" t="str">
        <f ca="1">IF(NOW() &lt; CALENDARIO!$K44, "🔒", PALPITES!BI44 &amp; " x " &amp; PALPITES!BJ44)</f>
        <v>🔒</v>
      </c>
      <c r="AJ45" s="57">
        <f>PALPITES!BK44</f>
        <v>0</v>
      </c>
    </row>
    <row r="46" spans="1:36" ht="12.75">
      <c r="A46" s="58">
        <f>CALENDARIO!A45</f>
        <v>44</v>
      </c>
      <c r="B46" s="59">
        <f>CALENDARIO!B45</f>
        <v>46196</v>
      </c>
      <c r="C46" s="60">
        <f>CALENDARIO!C45</f>
        <v>0</v>
      </c>
      <c r="D46" s="61" t="str">
        <f>CALENDARIO!D45</f>
        <v>Jordânia</v>
      </c>
      <c r="E46" s="58">
        <f>CALENDARIO!E45</f>
        <v>0</v>
      </c>
      <c r="F46" s="58" t="str">
        <f>CALENDARIO!F45</f>
        <v>x</v>
      </c>
      <c r="G46" s="58">
        <f>CALENDARIO!G45</f>
        <v>0</v>
      </c>
      <c r="H46" s="61" t="str">
        <f>CALENDARIO!H45</f>
        <v>Argélia</v>
      </c>
      <c r="I46" s="56" t="str">
        <f ca="1">IF(NOW() &lt; CALENDARIO!$K45, "🔒", PALPITES!I45 &amp; " x " &amp; PALPITES!J45)</f>
        <v>🔒</v>
      </c>
      <c r="J46" s="56">
        <f>PALPITES!K45</f>
        <v>0</v>
      </c>
      <c r="K46" s="57" t="str">
        <f ca="1">IF(NOW() &lt; CALENDARIO!$K45, "🔒", PALPITES!M45 &amp; " x " &amp; PALPITES!N45)</f>
        <v>🔒</v>
      </c>
      <c r="L46" s="57">
        <f>PALPITES!O45</f>
        <v>0</v>
      </c>
      <c r="M46" s="56" t="str">
        <f ca="1">IF(NOW() &lt; CALENDARIO!$K45, "🔒", PALPITES!Q45 &amp; " x " &amp; PALPITES!R45)</f>
        <v>🔒</v>
      </c>
      <c r="N46" s="56">
        <f>PALPITES!S45</f>
        <v>0</v>
      </c>
      <c r="O46" s="57" t="str">
        <f ca="1">IF(NOW() &lt; CALENDARIO!$K45, "🔒", PALPITES!U45 &amp; " x " &amp; PALPITES!V45)</f>
        <v>🔒</v>
      </c>
      <c r="P46" s="57">
        <f>PALPITES!W45</f>
        <v>0</v>
      </c>
      <c r="Q46" s="56" t="str">
        <f ca="1">IF(NOW() &lt; CALENDARIO!$K45, "🔒", PALPITES!Y45 &amp; " x " &amp; PALPITES!Z45)</f>
        <v>🔒</v>
      </c>
      <c r="R46" s="56">
        <f>PALPITES!AA45</f>
        <v>0</v>
      </c>
      <c r="S46" s="57" t="str">
        <f ca="1">IF(NOW() &lt; CALENDARIO!$K45, "🔒", PALPITES!AC45 &amp; " x " &amp; PALPITES!AD45)</f>
        <v>🔒</v>
      </c>
      <c r="T46" s="57">
        <f>PALPITES!AE45</f>
        <v>0</v>
      </c>
      <c r="U46" s="56" t="str">
        <f ca="1">IF(NOW() &lt; CALENDARIO!$K45, "🔒", PALPITES!AG45 &amp; " x " &amp; PALPITES!AH45)</f>
        <v>🔒</v>
      </c>
      <c r="V46" s="56">
        <f>PALPITES!AI45</f>
        <v>0</v>
      </c>
      <c r="W46" s="57" t="str">
        <f ca="1">IF(NOW() &lt; CALENDARIO!$K45, "🔒", PALPITES!AK45 &amp; " x " &amp; PALPITES!AL45)</f>
        <v>🔒</v>
      </c>
      <c r="X46" s="57">
        <f>PALPITES!AM45</f>
        <v>0</v>
      </c>
      <c r="Y46" s="56" t="str">
        <f ca="1">IF(NOW() &lt; CALENDARIO!$K45, "🔒", PALPITES!AO45 &amp; " x " &amp; PALPITES!AP45)</f>
        <v>🔒</v>
      </c>
      <c r="Z46" s="56">
        <f>PALPITES!AQ45</f>
        <v>0</v>
      </c>
      <c r="AA46" s="57" t="str">
        <f ca="1">IF(NOW() &lt; CALENDARIO!$K45, "🔒", PALPITES!AS45 &amp; " x " &amp; PALPITES!AT45)</f>
        <v>🔒</v>
      </c>
      <c r="AB46" s="57">
        <f>PALPITES!AU45</f>
        <v>0</v>
      </c>
      <c r="AC46" s="56" t="str">
        <f ca="1">IF(NOW() &lt; CALENDARIO!$K45, "🔒", PALPITES!AW45 &amp; " x " &amp; PALPITES!AX45)</f>
        <v>🔒</v>
      </c>
      <c r="AD46" s="56">
        <f>PALPITES!AY45</f>
        <v>0</v>
      </c>
      <c r="AE46" s="57" t="str">
        <f ca="1">IF(NOW() &lt; CALENDARIO!$K45, "🔒", PALPITES!BA45 &amp; " x " &amp; PALPITES!BB45)</f>
        <v>🔒</v>
      </c>
      <c r="AF46" s="57">
        <f>PALPITES!BC45</f>
        <v>0</v>
      </c>
      <c r="AG46" s="56" t="str">
        <f ca="1">IF(NOW() &lt; CALENDARIO!$K45, "🔒", PALPITES!BE45 &amp; " x " &amp; PALPITES!BF45)</f>
        <v>🔒</v>
      </c>
      <c r="AH46" s="56">
        <f>PALPITES!BG45</f>
        <v>0</v>
      </c>
      <c r="AI46" s="57" t="str">
        <f ca="1">IF(NOW() &lt; CALENDARIO!$K45, "🔒", PALPITES!BI45 &amp; " x " &amp; PALPITES!BJ45)</f>
        <v>🔒</v>
      </c>
      <c r="AJ46" s="57">
        <f>PALPITES!BK45</f>
        <v>0</v>
      </c>
    </row>
    <row r="47" spans="1:36" ht="12.75">
      <c r="A47" s="58">
        <f>CALENDARIO!A46</f>
        <v>45</v>
      </c>
      <c r="B47" s="59">
        <f>CALENDARIO!B46</f>
        <v>46196</v>
      </c>
      <c r="C47" s="60">
        <f>CALENDARIO!C46</f>
        <v>0.58333333333333337</v>
      </c>
      <c r="D47" s="61" t="str">
        <f>CALENDARIO!D46</f>
        <v>Portugal</v>
      </c>
      <c r="E47" s="58">
        <f>CALENDARIO!E46</f>
        <v>0</v>
      </c>
      <c r="F47" s="58" t="str">
        <f>CALENDARIO!F46</f>
        <v>x</v>
      </c>
      <c r="G47" s="58">
        <f>CALENDARIO!G46</f>
        <v>0</v>
      </c>
      <c r="H47" s="61" t="str">
        <f>CALENDARIO!H46</f>
        <v>Uzbequistão</v>
      </c>
      <c r="I47" s="56" t="str">
        <f ca="1">IF(NOW() &lt; CALENDARIO!$K46, "🔒", PALPITES!I46 &amp; " x " &amp; PALPITES!J46)</f>
        <v>🔒</v>
      </c>
      <c r="J47" s="56">
        <f>PALPITES!K46</f>
        <v>0</v>
      </c>
      <c r="K47" s="57" t="str">
        <f ca="1">IF(NOW() &lt; CALENDARIO!$K46, "🔒", PALPITES!M46 &amp; " x " &amp; PALPITES!N46)</f>
        <v>🔒</v>
      </c>
      <c r="L47" s="57">
        <f>PALPITES!O46</f>
        <v>0</v>
      </c>
      <c r="M47" s="56" t="str">
        <f ca="1">IF(NOW() &lt; CALENDARIO!$K46, "🔒", PALPITES!Q46 &amp; " x " &amp; PALPITES!R46)</f>
        <v>🔒</v>
      </c>
      <c r="N47" s="56">
        <f>PALPITES!S46</f>
        <v>0</v>
      </c>
      <c r="O47" s="57" t="str">
        <f ca="1">IF(NOW() &lt; CALENDARIO!$K46, "🔒", PALPITES!U46 &amp; " x " &amp; PALPITES!V46)</f>
        <v>🔒</v>
      </c>
      <c r="P47" s="57">
        <f>PALPITES!W46</f>
        <v>0</v>
      </c>
      <c r="Q47" s="56" t="str">
        <f ca="1">IF(NOW() &lt; CALENDARIO!$K46, "🔒", PALPITES!Y46 &amp; " x " &amp; PALPITES!Z46)</f>
        <v>🔒</v>
      </c>
      <c r="R47" s="56">
        <f>PALPITES!AA46</f>
        <v>0</v>
      </c>
      <c r="S47" s="57" t="str">
        <f ca="1">IF(NOW() &lt; CALENDARIO!$K46, "🔒", PALPITES!AC46 &amp; " x " &amp; PALPITES!AD46)</f>
        <v>🔒</v>
      </c>
      <c r="T47" s="57">
        <f>PALPITES!AE46</f>
        <v>0</v>
      </c>
      <c r="U47" s="56" t="str">
        <f ca="1">IF(NOW() &lt; CALENDARIO!$K46, "🔒", PALPITES!AG46 &amp; " x " &amp; PALPITES!AH46)</f>
        <v>🔒</v>
      </c>
      <c r="V47" s="56">
        <f>PALPITES!AI46</f>
        <v>0</v>
      </c>
      <c r="W47" s="57" t="str">
        <f ca="1">IF(NOW() &lt; CALENDARIO!$K46, "🔒", PALPITES!AK46 &amp; " x " &amp; PALPITES!AL46)</f>
        <v>🔒</v>
      </c>
      <c r="X47" s="57">
        <f>PALPITES!AM46</f>
        <v>0</v>
      </c>
      <c r="Y47" s="56" t="str">
        <f ca="1">IF(NOW() &lt; CALENDARIO!$K46, "🔒", PALPITES!AO46 &amp; " x " &amp; PALPITES!AP46)</f>
        <v>🔒</v>
      </c>
      <c r="Z47" s="56">
        <f>PALPITES!AQ46</f>
        <v>0</v>
      </c>
      <c r="AA47" s="57" t="str">
        <f ca="1">IF(NOW() &lt; CALENDARIO!$K46, "🔒", PALPITES!AS46 &amp; " x " &amp; PALPITES!AT46)</f>
        <v>🔒</v>
      </c>
      <c r="AB47" s="57">
        <f>PALPITES!AU46</f>
        <v>0</v>
      </c>
      <c r="AC47" s="56" t="str">
        <f ca="1">IF(NOW() &lt; CALENDARIO!$K46, "🔒", PALPITES!AW46 &amp; " x " &amp; PALPITES!AX46)</f>
        <v>🔒</v>
      </c>
      <c r="AD47" s="56">
        <f>PALPITES!AY46</f>
        <v>0</v>
      </c>
      <c r="AE47" s="57" t="str">
        <f ca="1">IF(NOW() &lt; CALENDARIO!$K46, "🔒", PALPITES!BA46 &amp; " x " &amp; PALPITES!BB46)</f>
        <v>🔒</v>
      </c>
      <c r="AF47" s="57">
        <f>PALPITES!BC46</f>
        <v>0</v>
      </c>
      <c r="AG47" s="56" t="str">
        <f ca="1">IF(NOW() &lt; CALENDARIO!$K46, "🔒", PALPITES!BE46 &amp; " x " &amp; PALPITES!BF46)</f>
        <v>🔒</v>
      </c>
      <c r="AH47" s="56">
        <f>PALPITES!BG46</f>
        <v>0</v>
      </c>
      <c r="AI47" s="57" t="str">
        <f ca="1">IF(NOW() &lt; CALENDARIO!$K46, "🔒", PALPITES!BI46 &amp; " x " &amp; PALPITES!BJ46)</f>
        <v>🔒</v>
      </c>
      <c r="AJ47" s="57">
        <f>PALPITES!BK46</f>
        <v>0</v>
      </c>
    </row>
    <row r="48" spans="1:36" ht="12.75">
      <c r="A48" s="58">
        <f>CALENDARIO!A47</f>
        <v>46</v>
      </c>
      <c r="B48" s="59">
        <f>CALENDARIO!B47</f>
        <v>46196</v>
      </c>
      <c r="C48" s="60">
        <f>CALENDARIO!C47</f>
        <v>0.70833333333333337</v>
      </c>
      <c r="D48" s="61" t="str">
        <f>CALENDARIO!D47</f>
        <v>Inglaterra</v>
      </c>
      <c r="E48" s="58">
        <f>CALENDARIO!E47</f>
        <v>0</v>
      </c>
      <c r="F48" s="58" t="str">
        <f>CALENDARIO!F47</f>
        <v>x</v>
      </c>
      <c r="G48" s="58">
        <f>CALENDARIO!G47</f>
        <v>0</v>
      </c>
      <c r="H48" s="61" t="str">
        <f>CALENDARIO!H47</f>
        <v>Gana</v>
      </c>
      <c r="I48" s="56" t="str">
        <f ca="1">IF(NOW() &lt; CALENDARIO!$K47, "🔒", PALPITES!I47 &amp; " x " &amp; PALPITES!J47)</f>
        <v>🔒</v>
      </c>
      <c r="J48" s="56">
        <f>PALPITES!K47</f>
        <v>0</v>
      </c>
      <c r="K48" s="57" t="str">
        <f ca="1">IF(NOW() &lt; CALENDARIO!$K47, "🔒", PALPITES!M47 &amp; " x " &amp; PALPITES!N47)</f>
        <v>🔒</v>
      </c>
      <c r="L48" s="57">
        <f>PALPITES!O47</f>
        <v>0</v>
      </c>
      <c r="M48" s="56" t="str">
        <f ca="1">IF(NOW() &lt; CALENDARIO!$K47, "🔒", PALPITES!Q47 &amp; " x " &amp; PALPITES!R47)</f>
        <v>🔒</v>
      </c>
      <c r="N48" s="56">
        <f>PALPITES!S47</f>
        <v>0</v>
      </c>
      <c r="O48" s="57" t="str">
        <f ca="1">IF(NOW() &lt; CALENDARIO!$K47, "🔒", PALPITES!U47 &amp; " x " &amp; PALPITES!V47)</f>
        <v>🔒</v>
      </c>
      <c r="P48" s="57">
        <f>PALPITES!W47</f>
        <v>0</v>
      </c>
      <c r="Q48" s="56" t="str">
        <f ca="1">IF(NOW() &lt; CALENDARIO!$K47, "🔒", PALPITES!Y47 &amp; " x " &amp; PALPITES!Z47)</f>
        <v>🔒</v>
      </c>
      <c r="R48" s="56">
        <f>PALPITES!AA47</f>
        <v>0</v>
      </c>
      <c r="S48" s="57" t="str">
        <f ca="1">IF(NOW() &lt; CALENDARIO!$K47, "🔒", PALPITES!AC47 &amp; " x " &amp; PALPITES!AD47)</f>
        <v>🔒</v>
      </c>
      <c r="T48" s="57">
        <f>PALPITES!AE47</f>
        <v>0</v>
      </c>
      <c r="U48" s="56" t="str">
        <f ca="1">IF(NOW() &lt; CALENDARIO!$K47, "🔒", PALPITES!AG47 &amp; " x " &amp; PALPITES!AH47)</f>
        <v>🔒</v>
      </c>
      <c r="V48" s="56">
        <f>PALPITES!AI47</f>
        <v>0</v>
      </c>
      <c r="W48" s="57" t="str">
        <f ca="1">IF(NOW() &lt; CALENDARIO!$K47, "🔒", PALPITES!AK47 &amp; " x " &amp; PALPITES!AL47)</f>
        <v>🔒</v>
      </c>
      <c r="X48" s="57">
        <f>PALPITES!AM47</f>
        <v>0</v>
      </c>
      <c r="Y48" s="56" t="str">
        <f ca="1">IF(NOW() &lt; CALENDARIO!$K47, "🔒", PALPITES!AO47 &amp; " x " &amp; PALPITES!AP47)</f>
        <v>🔒</v>
      </c>
      <c r="Z48" s="56">
        <f>PALPITES!AQ47</f>
        <v>0</v>
      </c>
      <c r="AA48" s="57" t="str">
        <f ca="1">IF(NOW() &lt; CALENDARIO!$K47, "🔒", PALPITES!AS47 &amp; " x " &amp; PALPITES!AT47)</f>
        <v>🔒</v>
      </c>
      <c r="AB48" s="57">
        <f>PALPITES!AU47</f>
        <v>0</v>
      </c>
      <c r="AC48" s="56" t="str">
        <f ca="1">IF(NOW() &lt; CALENDARIO!$K47, "🔒", PALPITES!AW47 &amp; " x " &amp; PALPITES!AX47)</f>
        <v>🔒</v>
      </c>
      <c r="AD48" s="56">
        <f>PALPITES!AY47</f>
        <v>0</v>
      </c>
      <c r="AE48" s="57" t="str">
        <f ca="1">IF(NOW() &lt; CALENDARIO!$K47, "🔒", PALPITES!BA47 &amp; " x " &amp; PALPITES!BB47)</f>
        <v>🔒</v>
      </c>
      <c r="AF48" s="57">
        <f>PALPITES!BC47</f>
        <v>0</v>
      </c>
      <c r="AG48" s="56" t="str">
        <f ca="1">IF(NOW() &lt; CALENDARIO!$K47, "🔒", PALPITES!BE47 &amp; " x " &amp; PALPITES!BF47)</f>
        <v>🔒</v>
      </c>
      <c r="AH48" s="56">
        <f>PALPITES!BG47</f>
        <v>0</v>
      </c>
      <c r="AI48" s="57" t="str">
        <f ca="1">IF(NOW() &lt; CALENDARIO!$K47, "🔒", PALPITES!BI47 &amp; " x " &amp; PALPITES!BJ47)</f>
        <v>🔒</v>
      </c>
      <c r="AJ48" s="57">
        <f>PALPITES!BK47</f>
        <v>0</v>
      </c>
    </row>
    <row r="49" spans="1:36" ht="12.75">
      <c r="A49" s="58">
        <f>CALENDARIO!A48</f>
        <v>47</v>
      </c>
      <c r="B49" s="59">
        <f>CALENDARIO!B48</f>
        <v>46196</v>
      </c>
      <c r="C49" s="60">
        <f>CALENDARIO!C48</f>
        <v>0.83333333333333337</v>
      </c>
      <c r="D49" s="61" t="str">
        <f>CALENDARIO!D48</f>
        <v>Panamá</v>
      </c>
      <c r="E49" s="58">
        <f>CALENDARIO!E48</f>
        <v>0</v>
      </c>
      <c r="F49" s="58" t="str">
        <f>CALENDARIO!F48</f>
        <v>x</v>
      </c>
      <c r="G49" s="58">
        <f>CALENDARIO!G48</f>
        <v>0</v>
      </c>
      <c r="H49" s="61" t="str">
        <f>CALENDARIO!H48</f>
        <v>Croácia</v>
      </c>
      <c r="I49" s="56" t="str">
        <f ca="1">IF(NOW() &lt; CALENDARIO!$K48, "🔒", PALPITES!I48 &amp; " x " &amp; PALPITES!J48)</f>
        <v>🔒</v>
      </c>
      <c r="J49" s="56">
        <f>PALPITES!K48</f>
        <v>0</v>
      </c>
      <c r="K49" s="57" t="str">
        <f ca="1">IF(NOW() &lt; CALENDARIO!$K48, "🔒", PALPITES!M48 &amp; " x " &amp; PALPITES!N48)</f>
        <v>🔒</v>
      </c>
      <c r="L49" s="57">
        <f>PALPITES!O48</f>
        <v>0</v>
      </c>
      <c r="M49" s="56" t="str">
        <f ca="1">IF(NOW() &lt; CALENDARIO!$K48, "🔒", PALPITES!Q48 &amp; " x " &amp; PALPITES!R48)</f>
        <v>🔒</v>
      </c>
      <c r="N49" s="56">
        <f>PALPITES!S48</f>
        <v>0</v>
      </c>
      <c r="O49" s="57" t="str">
        <f ca="1">IF(NOW() &lt; CALENDARIO!$K48, "🔒", PALPITES!U48 &amp; " x " &amp; PALPITES!V48)</f>
        <v>🔒</v>
      </c>
      <c r="P49" s="57">
        <f>PALPITES!W48</f>
        <v>0</v>
      </c>
      <c r="Q49" s="56" t="str">
        <f ca="1">IF(NOW() &lt; CALENDARIO!$K48, "🔒", PALPITES!Y48 &amp; " x " &amp; PALPITES!Z48)</f>
        <v>🔒</v>
      </c>
      <c r="R49" s="56">
        <f>PALPITES!AA48</f>
        <v>0</v>
      </c>
      <c r="S49" s="57" t="str">
        <f ca="1">IF(NOW() &lt; CALENDARIO!$K48, "🔒", PALPITES!AC48 &amp; " x " &amp; PALPITES!AD48)</f>
        <v>🔒</v>
      </c>
      <c r="T49" s="57">
        <f>PALPITES!AE48</f>
        <v>0</v>
      </c>
      <c r="U49" s="56" t="str">
        <f ca="1">IF(NOW() &lt; CALENDARIO!$K48, "🔒", PALPITES!AG48 &amp; " x " &amp; PALPITES!AH48)</f>
        <v>🔒</v>
      </c>
      <c r="V49" s="56">
        <f>PALPITES!AI48</f>
        <v>0</v>
      </c>
      <c r="W49" s="57" t="str">
        <f ca="1">IF(NOW() &lt; CALENDARIO!$K48, "🔒", PALPITES!AK48 &amp; " x " &amp; PALPITES!AL48)</f>
        <v>🔒</v>
      </c>
      <c r="X49" s="57">
        <f>PALPITES!AM48</f>
        <v>0</v>
      </c>
      <c r="Y49" s="56" t="str">
        <f ca="1">IF(NOW() &lt; CALENDARIO!$K48, "🔒", PALPITES!AO48 &amp; " x " &amp; PALPITES!AP48)</f>
        <v>🔒</v>
      </c>
      <c r="Z49" s="56">
        <f>PALPITES!AQ48</f>
        <v>0</v>
      </c>
      <c r="AA49" s="57" t="str">
        <f ca="1">IF(NOW() &lt; CALENDARIO!$K48, "🔒", PALPITES!AS48 &amp; " x " &amp; PALPITES!AT48)</f>
        <v>🔒</v>
      </c>
      <c r="AB49" s="57">
        <f>PALPITES!AU48</f>
        <v>0</v>
      </c>
      <c r="AC49" s="56" t="str">
        <f ca="1">IF(NOW() &lt; CALENDARIO!$K48, "🔒", PALPITES!AW48 &amp; " x " &amp; PALPITES!AX48)</f>
        <v>🔒</v>
      </c>
      <c r="AD49" s="56">
        <f>PALPITES!AY48</f>
        <v>0</v>
      </c>
      <c r="AE49" s="57" t="str">
        <f ca="1">IF(NOW() &lt; CALENDARIO!$K48, "🔒", PALPITES!BA48 &amp; " x " &amp; PALPITES!BB48)</f>
        <v>🔒</v>
      </c>
      <c r="AF49" s="57">
        <f>PALPITES!BC48</f>
        <v>0</v>
      </c>
      <c r="AG49" s="56" t="str">
        <f ca="1">IF(NOW() &lt; CALENDARIO!$K48, "🔒", PALPITES!BE48 &amp; " x " &amp; PALPITES!BF48)</f>
        <v>🔒</v>
      </c>
      <c r="AH49" s="56">
        <f>PALPITES!BG48</f>
        <v>0</v>
      </c>
      <c r="AI49" s="57" t="str">
        <f ca="1">IF(NOW() &lt; CALENDARIO!$K48, "🔒", PALPITES!BI48 &amp; " x " &amp; PALPITES!BJ48)</f>
        <v>🔒</v>
      </c>
      <c r="AJ49" s="57">
        <f>PALPITES!BK48</f>
        <v>0</v>
      </c>
    </row>
    <row r="50" spans="1:36" ht="12.75">
      <c r="A50" s="58">
        <f>CALENDARIO!A49</f>
        <v>48</v>
      </c>
      <c r="B50" s="59">
        <f>CALENDARIO!B49</f>
        <v>46196</v>
      </c>
      <c r="C50" s="60">
        <f>CALENDARIO!C49</f>
        <v>0.95833333333333337</v>
      </c>
      <c r="D50" s="61" t="str">
        <f>CALENDARIO!D49</f>
        <v>Colômbia</v>
      </c>
      <c r="E50" s="58">
        <f>CALENDARIO!E49</f>
        <v>0</v>
      </c>
      <c r="F50" s="58" t="str">
        <f>CALENDARIO!F49</f>
        <v>x</v>
      </c>
      <c r="G50" s="58">
        <f>CALENDARIO!G49</f>
        <v>0</v>
      </c>
      <c r="H50" s="61" t="str">
        <f>CALENDARIO!H49</f>
        <v>Rep. Dem. do Congo</v>
      </c>
      <c r="I50" s="56" t="str">
        <f ca="1">IF(NOW() &lt; CALENDARIO!$K49, "🔒", PALPITES!I49 &amp; " x " &amp; PALPITES!J49)</f>
        <v>🔒</v>
      </c>
      <c r="J50" s="56">
        <f>PALPITES!K49</f>
        <v>0</v>
      </c>
      <c r="K50" s="57" t="str">
        <f ca="1">IF(NOW() &lt; CALENDARIO!$K49, "🔒", PALPITES!M49 &amp; " x " &amp; PALPITES!N49)</f>
        <v>🔒</v>
      </c>
      <c r="L50" s="57">
        <f>PALPITES!O49</f>
        <v>0</v>
      </c>
      <c r="M50" s="56" t="str">
        <f ca="1">IF(NOW() &lt; CALENDARIO!$K49, "🔒", PALPITES!Q49 &amp; " x " &amp; PALPITES!R49)</f>
        <v>🔒</v>
      </c>
      <c r="N50" s="56">
        <f>PALPITES!S49</f>
        <v>0</v>
      </c>
      <c r="O50" s="57" t="str">
        <f ca="1">IF(NOW() &lt; CALENDARIO!$K49, "🔒", PALPITES!U49 &amp; " x " &amp; PALPITES!V49)</f>
        <v>🔒</v>
      </c>
      <c r="P50" s="57">
        <f>PALPITES!W49</f>
        <v>0</v>
      </c>
      <c r="Q50" s="56" t="str">
        <f ca="1">IF(NOW() &lt; CALENDARIO!$K49, "🔒", PALPITES!Y49 &amp; " x " &amp; PALPITES!Z49)</f>
        <v>🔒</v>
      </c>
      <c r="R50" s="56">
        <f>PALPITES!AA49</f>
        <v>0</v>
      </c>
      <c r="S50" s="57" t="str">
        <f ca="1">IF(NOW() &lt; CALENDARIO!$K49, "🔒", PALPITES!AC49 &amp; " x " &amp; PALPITES!AD49)</f>
        <v>🔒</v>
      </c>
      <c r="T50" s="57">
        <f>PALPITES!AE49</f>
        <v>0</v>
      </c>
      <c r="U50" s="56" t="str">
        <f ca="1">IF(NOW() &lt; CALENDARIO!$K49, "🔒", PALPITES!AG49 &amp; " x " &amp; PALPITES!AH49)</f>
        <v>🔒</v>
      </c>
      <c r="V50" s="56">
        <f>PALPITES!AI49</f>
        <v>0</v>
      </c>
      <c r="W50" s="57" t="str">
        <f ca="1">IF(NOW() &lt; CALENDARIO!$K49, "🔒", PALPITES!AK49 &amp; " x " &amp; PALPITES!AL49)</f>
        <v>🔒</v>
      </c>
      <c r="X50" s="57">
        <f>PALPITES!AM49</f>
        <v>0</v>
      </c>
      <c r="Y50" s="56" t="str">
        <f ca="1">IF(NOW() &lt; CALENDARIO!$K49, "🔒", PALPITES!AO49 &amp; " x " &amp; PALPITES!AP49)</f>
        <v>🔒</v>
      </c>
      <c r="Z50" s="56">
        <f>PALPITES!AQ49</f>
        <v>0</v>
      </c>
      <c r="AA50" s="57" t="str">
        <f ca="1">IF(NOW() &lt; CALENDARIO!$K49, "🔒", PALPITES!AS49 &amp; " x " &amp; PALPITES!AT49)</f>
        <v>🔒</v>
      </c>
      <c r="AB50" s="57">
        <f>PALPITES!AU49</f>
        <v>0</v>
      </c>
      <c r="AC50" s="56" t="str">
        <f ca="1">IF(NOW() &lt; CALENDARIO!$K49, "🔒", PALPITES!AW49 &amp; " x " &amp; PALPITES!AX49)</f>
        <v>🔒</v>
      </c>
      <c r="AD50" s="56">
        <f>PALPITES!AY49</f>
        <v>0</v>
      </c>
      <c r="AE50" s="57" t="str">
        <f ca="1">IF(NOW() &lt; CALENDARIO!$K49, "🔒", PALPITES!BA49 &amp; " x " &amp; PALPITES!BB49)</f>
        <v>🔒</v>
      </c>
      <c r="AF50" s="57">
        <f>PALPITES!BC49</f>
        <v>0</v>
      </c>
      <c r="AG50" s="56" t="str">
        <f ca="1">IF(NOW() &lt; CALENDARIO!$K49, "🔒", PALPITES!BE49 &amp; " x " &amp; PALPITES!BF49)</f>
        <v>🔒</v>
      </c>
      <c r="AH50" s="56">
        <f>PALPITES!BG49</f>
        <v>0</v>
      </c>
      <c r="AI50" s="57" t="str">
        <f ca="1">IF(NOW() &lt; CALENDARIO!$K49, "🔒", PALPITES!BI49 &amp; " x " &amp; PALPITES!BJ49)</f>
        <v>🔒</v>
      </c>
      <c r="AJ50" s="57">
        <f>PALPITES!BK49</f>
        <v>0</v>
      </c>
    </row>
    <row r="51" spans="1:36" ht="12.75">
      <c r="A51" s="58">
        <f>CALENDARIO!A50</f>
        <v>49</v>
      </c>
      <c r="B51" s="59">
        <f>CALENDARIO!B50</f>
        <v>46197</v>
      </c>
      <c r="C51" s="60">
        <f>CALENDARIO!C50</f>
        <v>0.66666666666666663</v>
      </c>
      <c r="D51" s="61" t="str">
        <f>CALENDARIO!D50</f>
        <v>Suíça</v>
      </c>
      <c r="E51" s="58">
        <f>CALENDARIO!E50</f>
        <v>0</v>
      </c>
      <c r="F51" s="58" t="str">
        <f>CALENDARIO!F50</f>
        <v>x</v>
      </c>
      <c r="G51" s="58">
        <f>CALENDARIO!G50</f>
        <v>0</v>
      </c>
      <c r="H51" s="61" t="str">
        <f>CALENDARIO!H50</f>
        <v>Canadá</v>
      </c>
      <c r="I51" s="56" t="str">
        <f ca="1">IF(NOW() &lt; CALENDARIO!$K50, "🔒", PALPITES!I50 &amp; " x " &amp; PALPITES!J50)</f>
        <v>🔒</v>
      </c>
      <c r="J51" s="56">
        <f>PALPITES!K50</f>
        <v>0</v>
      </c>
      <c r="K51" s="57" t="str">
        <f ca="1">IF(NOW() &lt; CALENDARIO!$K50, "🔒", PALPITES!M50 &amp; " x " &amp; PALPITES!N50)</f>
        <v>🔒</v>
      </c>
      <c r="L51" s="57">
        <f>PALPITES!O50</f>
        <v>0</v>
      </c>
      <c r="M51" s="56" t="str">
        <f ca="1">IF(NOW() &lt; CALENDARIO!$K50, "🔒", PALPITES!Q50 &amp; " x " &amp; PALPITES!R50)</f>
        <v>🔒</v>
      </c>
      <c r="N51" s="56">
        <f>PALPITES!S50</f>
        <v>0</v>
      </c>
      <c r="O51" s="57" t="str">
        <f ca="1">IF(NOW() &lt; CALENDARIO!$K50, "🔒", PALPITES!U50 &amp; " x " &amp; PALPITES!V50)</f>
        <v>🔒</v>
      </c>
      <c r="P51" s="57">
        <f>PALPITES!W50</f>
        <v>0</v>
      </c>
      <c r="Q51" s="56" t="str">
        <f ca="1">IF(NOW() &lt; CALENDARIO!$K50, "🔒", PALPITES!Y50 &amp; " x " &amp; PALPITES!Z50)</f>
        <v>🔒</v>
      </c>
      <c r="R51" s="56">
        <f>PALPITES!AA50</f>
        <v>0</v>
      </c>
      <c r="S51" s="57" t="str">
        <f ca="1">IF(NOW() &lt; CALENDARIO!$K50, "🔒", PALPITES!AC50 &amp; " x " &amp; PALPITES!AD50)</f>
        <v>🔒</v>
      </c>
      <c r="T51" s="57">
        <f>PALPITES!AE50</f>
        <v>0</v>
      </c>
      <c r="U51" s="56" t="str">
        <f ca="1">IF(NOW() &lt; CALENDARIO!$K50, "🔒", PALPITES!AG50 &amp; " x " &amp; PALPITES!AH50)</f>
        <v>🔒</v>
      </c>
      <c r="V51" s="56">
        <f>PALPITES!AI50</f>
        <v>0</v>
      </c>
      <c r="W51" s="57" t="str">
        <f ca="1">IF(NOW() &lt; CALENDARIO!$K50, "🔒", PALPITES!AK50 &amp; " x " &amp; PALPITES!AL50)</f>
        <v>🔒</v>
      </c>
      <c r="X51" s="57">
        <f>PALPITES!AM50</f>
        <v>0</v>
      </c>
      <c r="Y51" s="56" t="str">
        <f ca="1">IF(NOW() &lt; CALENDARIO!$K50, "🔒", PALPITES!AO50 &amp; " x " &amp; PALPITES!AP50)</f>
        <v>🔒</v>
      </c>
      <c r="Z51" s="56">
        <f>PALPITES!AQ50</f>
        <v>0</v>
      </c>
      <c r="AA51" s="57" t="str">
        <f ca="1">IF(NOW() &lt; CALENDARIO!$K50, "🔒", PALPITES!AS50 &amp; " x " &amp; PALPITES!AT50)</f>
        <v>🔒</v>
      </c>
      <c r="AB51" s="57">
        <f>PALPITES!AU50</f>
        <v>0</v>
      </c>
      <c r="AC51" s="56" t="str">
        <f ca="1">IF(NOW() &lt; CALENDARIO!$K50, "🔒", PALPITES!AW50 &amp; " x " &amp; PALPITES!AX50)</f>
        <v>🔒</v>
      </c>
      <c r="AD51" s="56">
        <f>PALPITES!AY50</f>
        <v>0</v>
      </c>
      <c r="AE51" s="57" t="str">
        <f ca="1">IF(NOW() &lt; CALENDARIO!$K50, "🔒", PALPITES!BA50 &amp; " x " &amp; PALPITES!BB50)</f>
        <v>🔒</v>
      </c>
      <c r="AF51" s="57">
        <f>PALPITES!BC50</f>
        <v>0</v>
      </c>
      <c r="AG51" s="56" t="str">
        <f ca="1">IF(NOW() &lt; CALENDARIO!$K50, "🔒", PALPITES!BE50 &amp; " x " &amp; PALPITES!BF50)</f>
        <v>🔒</v>
      </c>
      <c r="AH51" s="56">
        <f>PALPITES!BG50</f>
        <v>0</v>
      </c>
      <c r="AI51" s="57" t="str">
        <f ca="1">IF(NOW() &lt; CALENDARIO!$K50, "🔒", PALPITES!BI50 &amp; " x " &amp; PALPITES!BJ50)</f>
        <v>🔒</v>
      </c>
      <c r="AJ51" s="57">
        <f>PALPITES!BK50</f>
        <v>0</v>
      </c>
    </row>
    <row r="52" spans="1:36" ht="12.75">
      <c r="A52" s="58">
        <f>CALENDARIO!A51</f>
        <v>50</v>
      </c>
      <c r="B52" s="59">
        <f>CALENDARIO!B51</f>
        <v>46197</v>
      </c>
      <c r="C52" s="60">
        <f>CALENDARIO!C51</f>
        <v>0.66666666666666663</v>
      </c>
      <c r="D52" s="61" t="str">
        <f>CALENDARIO!D51</f>
        <v>Bósnia e Herzegovina</v>
      </c>
      <c r="E52" s="58">
        <f>CALENDARIO!E51</f>
        <v>0</v>
      </c>
      <c r="F52" s="58" t="str">
        <f>CALENDARIO!F51</f>
        <v>x</v>
      </c>
      <c r="G52" s="58">
        <f>CALENDARIO!G51</f>
        <v>0</v>
      </c>
      <c r="H52" s="61" t="str">
        <f>CALENDARIO!H51</f>
        <v>Catar</v>
      </c>
      <c r="I52" s="56" t="str">
        <f ca="1">IF(NOW() &lt; CALENDARIO!$K51, "🔒", PALPITES!I51 &amp; " x " &amp; PALPITES!J51)</f>
        <v>🔒</v>
      </c>
      <c r="J52" s="56">
        <f>PALPITES!K51</f>
        <v>0</v>
      </c>
      <c r="K52" s="57" t="str">
        <f ca="1">IF(NOW() &lt; CALENDARIO!$K51, "🔒", PALPITES!M51 &amp; " x " &amp; PALPITES!N51)</f>
        <v>🔒</v>
      </c>
      <c r="L52" s="57">
        <f>PALPITES!O51</f>
        <v>0</v>
      </c>
      <c r="M52" s="56" t="str">
        <f ca="1">IF(NOW() &lt; CALENDARIO!$K51, "🔒", PALPITES!Q51 &amp; " x " &amp; PALPITES!R51)</f>
        <v>🔒</v>
      </c>
      <c r="N52" s="56">
        <f>PALPITES!S51</f>
        <v>0</v>
      </c>
      <c r="O52" s="57" t="str">
        <f ca="1">IF(NOW() &lt; CALENDARIO!$K51, "🔒", PALPITES!U51 &amp; " x " &amp; PALPITES!V51)</f>
        <v>🔒</v>
      </c>
      <c r="P52" s="57">
        <f>PALPITES!W51</f>
        <v>0</v>
      </c>
      <c r="Q52" s="56" t="str">
        <f ca="1">IF(NOW() &lt; CALENDARIO!$K51, "🔒", PALPITES!Y51 &amp; " x " &amp; PALPITES!Z51)</f>
        <v>🔒</v>
      </c>
      <c r="R52" s="56">
        <f>PALPITES!AA51</f>
        <v>0</v>
      </c>
      <c r="S52" s="57" t="str">
        <f ca="1">IF(NOW() &lt; CALENDARIO!$K51, "🔒", PALPITES!AC51 &amp; " x " &amp; PALPITES!AD51)</f>
        <v>🔒</v>
      </c>
      <c r="T52" s="57">
        <f>PALPITES!AE51</f>
        <v>0</v>
      </c>
      <c r="U52" s="56" t="str">
        <f ca="1">IF(NOW() &lt; CALENDARIO!$K51, "🔒", PALPITES!AG51 &amp; " x " &amp; PALPITES!AH51)</f>
        <v>🔒</v>
      </c>
      <c r="V52" s="56">
        <f>PALPITES!AI51</f>
        <v>0</v>
      </c>
      <c r="W52" s="57" t="str">
        <f ca="1">IF(NOW() &lt; CALENDARIO!$K51, "🔒", PALPITES!AK51 &amp; " x " &amp; PALPITES!AL51)</f>
        <v>🔒</v>
      </c>
      <c r="X52" s="57">
        <f>PALPITES!AM51</f>
        <v>0</v>
      </c>
      <c r="Y52" s="56" t="str">
        <f ca="1">IF(NOW() &lt; CALENDARIO!$K51, "🔒", PALPITES!AO51 &amp; " x " &amp; PALPITES!AP51)</f>
        <v>🔒</v>
      </c>
      <c r="Z52" s="56">
        <f>PALPITES!AQ51</f>
        <v>0</v>
      </c>
      <c r="AA52" s="57" t="str">
        <f ca="1">IF(NOW() &lt; CALENDARIO!$K51, "🔒", PALPITES!AS51 &amp; " x " &amp; PALPITES!AT51)</f>
        <v>🔒</v>
      </c>
      <c r="AB52" s="57">
        <f>PALPITES!AU51</f>
        <v>0</v>
      </c>
      <c r="AC52" s="56" t="str">
        <f ca="1">IF(NOW() &lt; CALENDARIO!$K51, "🔒", PALPITES!AW51 &amp; " x " &amp; PALPITES!AX51)</f>
        <v>🔒</v>
      </c>
      <c r="AD52" s="56">
        <f>PALPITES!AY51</f>
        <v>0</v>
      </c>
      <c r="AE52" s="57" t="str">
        <f ca="1">IF(NOW() &lt; CALENDARIO!$K51, "🔒", PALPITES!BA51 &amp; " x " &amp; PALPITES!BB51)</f>
        <v>🔒</v>
      </c>
      <c r="AF52" s="57">
        <f>PALPITES!BC51</f>
        <v>0</v>
      </c>
      <c r="AG52" s="56" t="str">
        <f ca="1">IF(NOW() &lt; CALENDARIO!$K51, "🔒", PALPITES!BE51 &amp; " x " &amp; PALPITES!BF51)</f>
        <v>🔒</v>
      </c>
      <c r="AH52" s="56">
        <f>PALPITES!BG51</f>
        <v>0</v>
      </c>
      <c r="AI52" s="57" t="str">
        <f ca="1">IF(NOW() &lt; CALENDARIO!$K51, "🔒", PALPITES!BI51 &amp; " x " &amp; PALPITES!BJ51)</f>
        <v>🔒</v>
      </c>
      <c r="AJ52" s="57">
        <f>PALPITES!BK51</f>
        <v>0</v>
      </c>
    </row>
    <row r="53" spans="1:36" ht="12.75">
      <c r="A53" s="58">
        <f>CALENDARIO!A52</f>
        <v>51</v>
      </c>
      <c r="B53" s="59">
        <f>CALENDARIO!B52</f>
        <v>46197</v>
      </c>
      <c r="C53" s="60">
        <f>CALENDARIO!C52</f>
        <v>0.79166666666666663</v>
      </c>
      <c r="D53" s="61" t="str">
        <f>CALENDARIO!D52</f>
        <v>Escócia</v>
      </c>
      <c r="E53" s="58">
        <f>CALENDARIO!E52</f>
        <v>0</v>
      </c>
      <c r="F53" s="58" t="str">
        <f>CALENDARIO!F52</f>
        <v>x</v>
      </c>
      <c r="G53" s="58">
        <f>CALENDARIO!G52</f>
        <v>0</v>
      </c>
      <c r="H53" s="61" t="str">
        <f>CALENDARIO!H52</f>
        <v>Brasil</v>
      </c>
      <c r="I53" s="56" t="str">
        <f ca="1">IF(NOW() &lt; CALENDARIO!$K52, "🔒", PALPITES!I52 &amp; " x " &amp; PALPITES!J52)</f>
        <v>🔒</v>
      </c>
      <c r="J53" s="56">
        <f>PALPITES!K52</f>
        <v>0</v>
      </c>
      <c r="K53" s="57" t="str">
        <f ca="1">IF(NOW() &lt; CALENDARIO!$K52, "🔒", PALPITES!M52 &amp; " x " &amp; PALPITES!N52)</f>
        <v>🔒</v>
      </c>
      <c r="L53" s="57">
        <f>PALPITES!O52</f>
        <v>0</v>
      </c>
      <c r="M53" s="56" t="str">
        <f ca="1">IF(NOW() &lt; CALENDARIO!$K52, "🔒", PALPITES!Q52 &amp; " x " &amp; PALPITES!R52)</f>
        <v>🔒</v>
      </c>
      <c r="N53" s="56">
        <f>PALPITES!S52</f>
        <v>0</v>
      </c>
      <c r="O53" s="57" t="str">
        <f ca="1">IF(NOW() &lt; CALENDARIO!$K52, "🔒", PALPITES!U52 &amp; " x " &amp; PALPITES!V52)</f>
        <v>🔒</v>
      </c>
      <c r="P53" s="57">
        <f>PALPITES!W52</f>
        <v>0</v>
      </c>
      <c r="Q53" s="56" t="str">
        <f ca="1">IF(NOW() &lt; CALENDARIO!$K52, "🔒", PALPITES!Y52 &amp; " x " &amp; PALPITES!Z52)</f>
        <v>🔒</v>
      </c>
      <c r="R53" s="56">
        <f>PALPITES!AA52</f>
        <v>0</v>
      </c>
      <c r="S53" s="57" t="str">
        <f ca="1">IF(NOW() &lt; CALENDARIO!$K52, "🔒", PALPITES!AC52 &amp; " x " &amp; PALPITES!AD52)</f>
        <v>🔒</v>
      </c>
      <c r="T53" s="57">
        <f>PALPITES!AE52</f>
        <v>0</v>
      </c>
      <c r="U53" s="56" t="str">
        <f ca="1">IF(NOW() &lt; CALENDARIO!$K52, "🔒", PALPITES!AG52 &amp; " x " &amp; PALPITES!AH52)</f>
        <v>🔒</v>
      </c>
      <c r="V53" s="56">
        <f>PALPITES!AI52</f>
        <v>0</v>
      </c>
      <c r="W53" s="57" t="str">
        <f ca="1">IF(NOW() &lt; CALENDARIO!$K52, "🔒", PALPITES!AK52 &amp; " x " &amp; PALPITES!AL52)</f>
        <v>🔒</v>
      </c>
      <c r="X53" s="57">
        <f>PALPITES!AM52</f>
        <v>0</v>
      </c>
      <c r="Y53" s="56" t="str">
        <f ca="1">IF(NOW() &lt; CALENDARIO!$K52, "🔒", PALPITES!AO52 &amp; " x " &amp; PALPITES!AP52)</f>
        <v>🔒</v>
      </c>
      <c r="Z53" s="56">
        <f>PALPITES!AQ52</f>
        <v>0</v>
      </c>
      <c r="AA53" s="57" t="str">
        <f ca="1">IF(NOW() &lt; CALENDARIO!$K52, "🔒", PALPITES!AS52 &amp; " x " &amp; PALPITES!AT52)</f>
        <v>🔒</v>
      </c>
      <c r="AB53" s="57">
        <f>PALPITES!AU52</f>
        <v>0</v>
      </c>
      <c r="AC53" s="56" t="str">
        <f ca="1">IF(NOW() &lt; CALENDARIO!$K52, "🔒", PALPITES!AW52 &amp; " x " &amp; PALPITES!AX52)</f>
        <v>🔒</v>
      </c>
      <c r="AD53" s="56">
        <f>PALPITES!AY52</f>
        <v>0</v>
      </c>
      <c r="AE53" s="57" t="str">
        <f ca="1">IF(NOW() &lt; CALENDARIO!$K52, "🔒", PALPITES!BA52 &amp; " x " &amp; PALPITES!BB52)</f>
        <v>🔒</v>
      </c>
      <c r="AF53" s="57">
        <f>PALPITES!BC52</f>
        <v>0</v>
      </c>
      <c r="AG53" s="56" t="str">
        <f ca="1">IF(NOW() &lt; CALENDARIO!$K52, "🔒", PALPITES!BE52 &amp; " x " &amp; PALPITES!BF52)</f>
        <v>🔒</v>
      </c>
      <c r="AH53" s="56">
        <f>PALPITES!BG52</f>
        <v>0</v>
      </c>
      <c r="AI53" s="57" t="str">
        <f ca="1">IF(NOW() &lt; CALENDARIO!$K52, "🔒", PALPITES!BI52 &amp; " x " &amp; PALPITES!BJ52)</f>
        <v>🔒</v>
      </c>
      <c r="AJ53" s="57">
        <f>PALPITES!BK52</f>
        <v>0</v>
      </c>
    </row>
    <row r="54" spans="1:36" ht="12.75">
      <c r="A54" s="58">
        <f>CALENDARIO!A53</f>
        <v>52</v>
      </c>
      <c r="B54" s="59">
        <f>CALENDARIO!B53</f>
        <v>46197</v>
      </c>
      <c r="C54" s="60">
        <f>CALENDARIO!C53</f>
        <v>0.79166666666666663</v>
      </c>
      <c r="D54" s="61" t="str">
        <f>CALENDARIO!D53</f>
        <v>Marrocos</v>
      </c>
      <c r="E54" s="58">
        <f>CALENDARIO!E53</f>
        <v>0</v>
      </c>
      <c r="F54" s="58" t="str">
        <f>CALENDARIO!F53</f>
        <v>x</v>
      </c>
      <c r="G54" s="58">
        <f>CALENDARIO!G53</f>
        <v>0</v>
      </c>
      <c r="H54" s="61" t="str">
        <f>CALENDARIO!H53</f>
        <v>Haiti</v>
      </c>
      <c r="I54" s="56" t="str">
        <f ca="1">IF(NOW() &lt; CALENDARIO!$K53, "🔒", PALPITES!I53 &amp; " x " &amp; PALPITES!J53)</f>
        <v>🔒</v>
      </c>
      <c r="J54" s="56">
        <f>PALPITES!K53</f>
        <v>0</v>
      </c>
      <c r="K54" s="57" t="str">
        <f ca="1">IF(NOW() &lt; CALENDARIO!$K53, "🔒", PALPITES!M53 &amp; " x " &amp; PALPITES!N53)</f>
        <v>🔒</v>
      </c>
      <c r="L54" s="57">
        <f>PALPITES!O53</f>
        <v>0</v>
      </c>
      <c r="M54" s="56" t="str">
        <f ca="1">IF(NOW() &lt; CALENDARIO!$K53, "🔒", PALPITES!Q53 &amp; " x " &amp; PALPITES!R53)</f>
        <v>🔒</v>
      </c>
      <c r="N54" s="56">
        <f>PALPITES!S53</f>
        <v>0</v>
      </c>
      <c r="O54" s="57" t="str">
        <f ca="1">IF(NOW() &lt; CALENDARIO!$K53, "🔒", PALPITES!U53 &amp; " x " &amp; PALPITES!V53)</f>
        <v>🔒</v>
      </c>
      <c r="P54" s="57">
        <f>PALPITES!W53</f>
        <v>0</v>
      </c>
      <c r="Q54" s="56" t="str">
        <f ca="1">IF(NOW() &lt; CALENDARIO!$K53, "🔒", PALPITES!Y53 &amp; " x " &amp; PALPITES!Z53)</f>
        <v>🔒</v>
      </c>
      <c r="R54" s="56">
        <f>PALPITES!AA53</f>
        <v>0</v>
      </c>
      <c r="S54" s="57" t="str">
        <f ca="1">IF(NOW() &lt; CALENDARIO!$K53, "🔒", PALPITES!AC53 &amp; " x " &amp; PALPITES!AD53)</f>
        <v>🔒</v>
      </c>
      <c r="T54" s="57">
        <f>PALPITES!AE53</f>
        <v>0</v>
      </c>
      <c r="U54" s="56" t="str">
        <f ca="1">IF(NOW() &lt; CALENDARIO!$K53, "🔒", PALPITES!AG53 &amp; " x " &amp; PALPITES!AH53)</f>
        <v>🔒</v>
      </c>
      <c r="V54" s="56">
        <f>PALPITES!AI53</f>
        <v>0</v>
      </c>
      <c r="W54" s="57" t="str">
        <f ca="1">IF(NOW() &lt; CALENDARIO!$K53, "🔒", PALPITES!AK53 &amp; " x " &amp; PALPITES!AL53)</f>
        <v>🔒</v>
      </c>
      <c r="X54" s="57">
        <f>PALPITES!AM53</f>
        <v>0</v>
      </c>
      <c r="Y54" s="56" t="str">
        <f ca="1">IF(NOW() &lt; CALENDARIO!$K53, "🔒", PALPITES!AO53 &amp; " x " &amp; PALPITES!AP53)</f>
        <v>🔒</v>
      </c>
      <c r="Z54" s="56">
        <f>PALPITES!AQ53</f>
        <v>0</v>
      </c>
      <c r="AA54" s="57" t="str">
        <f ca="1">IF(NOW() &lt; CALENDARIO!$K53, "🔒", PALPITES!AS53 &amp; " x " &amp; PALPITES!AT53)</f>
        <v>🔒</v>
      </c>
      <c r="AB54" s="57">
        <f>PALPITES!AU53</f>
        <v>0</v>
      </c>
      <c r="AC54" s="56" t="str">
        <f ca="1">IF(NOW() &lt; CALENDARIO!$K53, "🔒", PALPITES!AW53 &amp; " x " &amp; PALPITES!AX53)</f>
        <v>🔒</v>
      </c>
      <c r="AD54" s="56">
        <f>PALPITES!AY53</f>
        <v>0</v>
      </c>
      <c r="AE54" s="57" t="str">
        <f ca="1">IF(NOW() &lt; CALENDARIO!$K53, "🔒", PALPITES!BA53 &amp; " x " &amp; PALPITES!BB53)</f>
        <v>🔒</v>
      </c>
      <c r="AF54" s="57">
        <f>PALPITES!BC53</f>
        <v>0</v>
      </c>
      <c r="AG54" s="56" t="str">
        <f ca="1">IF(NOW() &lt; CALENDARIO!$K53, "🔒", PALPITES!BE53 &amp; " x " &amp; PALPITES!BF53)</f>
        <v>🔒</v>
      </c>
      <c r="AH54" s="56">
        <f>PALPITES!BG53</f>
        <v>0</v>
      </c>
      <c r="AI54" s="57" t="str">
        <f ca="1">IF(NOW() &lt; CALENDARIO!$K53, "🔒", PALPITES!BI53 &amp; " x " &amp; PALPITES!BJ53)</f>
        <v>🔒</v>
      </c>
      <c r="AJ54" s="57">
        <f>PALPITES!BK53</f>
        <v>0</v>
      </c>
    </row>
    <row r="55" spans="1:36" ht="12.75">
      <c r="A55" s="58">
        <f>CALENDARIO!A54</f>
        <v>53</v>
      </c>
      <c r="B55" s="59">
        <f>CALENDARIO!B54</f>
        <v>46197</v>
      </c>
      <c r="C55" s="60">
        <f>CALENDARIO!C54</f>
        <v>0.91666666666666663</v>
      </c>
      <c r="D55" s="61" t="str">
        <f>CALENDARIO!D54</f>
        <v>República Tcheca</v>
      </c>
      <c r="E55" s="58">
        <f>CALENDARIO!E54</f>
        <v>0</v>
      </c>
      <c r="F55" s="58" t="str">
        <f>CALENDARIO!F54</f>
        <v>x</v>
      </c>
      <c r="G55" s="58">
        <f>CALENDARIO!G54</f>
        <v>0</v>
      </c>
      <c r="H55" s="61" t="str">
        <f>CALENDARIO!H54</f>
        <v>México</v>
      </c>
      <c r="I55" s="56" t="str">
        <f ca="1">IF(NOW() &lt; CALENDARIO!$K54, "🔒", PALPITES!I54 &amp; " x " &amp; PALPITES!J54)</f>
        <v>🔒</v>
      </c>
      <c r="J55" s="56">
        <f>PALPITES!K54</f>
        <v>0</v>
      </c>
      <c r="K55" s="57" t="str">
        <f ca="1">IF(NOW() &lt; CALENDARIO!$K54, "🔒", PALPITES!M54 &amp; " x " &amp; PALPITES!N54)</f>
        <v>🔒</v>
      </c>
      <c r="L55" s="57">
        <f>PALPITES!O54</f>
        <v>0</v>
      </c>
      <c r="M55" s="56" t="str">
        <f ca="1">IF(NOW() &lt; CALENDARIO!$K54, "🔒", PALPITES!Q54 &amp; " x " &amp; PALPITES!R54)</f>
        <v>🔒</v>
      </c>
      <c r="N55" s="56">
        <f>PALPITES!S54</f>
        <v>0</v>
      </c>
      <c r="O55" s="57" t="str">
        <f ca="1">IF(NOW() &lt; CALENDARIO!$K54, "🔒", PALPITES!U54 &amp; " x " &amp; PALPITES!V54)</f>
        <v>🔒</v>
      </c>
      <c r="P55" s="57">
        <f>PALPITES!W54</f>
        <v>0</v>
      </c>
      <c r="Q55" s="56" t="str">
        <f ca="1">IF(NOW() &lt; CALENDARIO!$K54, "🔒", PALPITES!Y54 &amp; " x " &amp; PALPITES!Z54)</f>
        <v>🔒</v>
      </c>
      <c r="R55" s="56">
        <f>PALPITES!AA54</f>
        <v>0</v>
      </c>
      <c r="S55" s="57" t="str">
        <f ca="1">IF(NOW() &lt; CALENDARIO!$K54, "🔒", PALPITES!AC54 &amp; " x " &amp; PALPITES!AD54)</f>
        <v>🔒</v>
      </c>
      <c r="T55" s="57">
        <f>PALPITES!AE54</f>
        <v>0</v>
      </c>
      <c r="U55" s="56" t="str">
        <f ca="1">IF(NOW() &lt; CALENDARIO!$K54, "🔒", PALPITES!AG54 &amp; " x " &amp; PALPITES!AH54)</f>
        <v>🔒</v>
      </c>
      <c r="V55" s="56">
        <f>PALPITES!AI54</f>
        <v>0</v>
      </c>
      <c r="W55" s="57" t="str">
        <f ca="1">IF(NOW() &lt; CALENDARIO!$K54, "🔒", PALPITES!AK54 &amp; " x " &amp; PALPITES!AL54)</f>
        <v>🔒</v>
      </c>
      <c r="X55" s="57">
        <f>PALPITES!AM54</f>
        <v>0</v>
      </c>
      <c r="Y55" s="56" t="str">
        <f ca="1">IF(NOW() &lt; CALENDARIO!$K54, "🔒", PALPITES!AO54 &amp; " x " &amp; PALPITES!AP54)</f>
        <v>🔒</v>
      </c>
      <c r="Z55" s="56">
        <f>PALPITES!AQ54</f>
        <v>0</v>
      </c>
      <c r="AA55" s="57" t="str">
        <f ca="1">IF(NOW() &lt; CALENDARIO!$K54, "🔒", PALPITES!AS54 &amp; " x " &amp; PALPITES!AT54)</f>
        <v>🔒</v>
      </c>
      <c r="AB55" s="57">
        <f>PALPITES!AU54</f>
        <v>0</v>
      </c>
      <c r="AC55" s="56" t="str">
        <f ca="1">IF(NOW() &lt; CALENDARIO!$K54, "🔒", PALPITES!AW54 &amp; " x " &amp; PALPITES!AX54)</f>
        <v>🔒</v>
      </c>
      <c r="AD55" s="56">
        <f>PALPITES!AY54</f>
        <v>0</v>
      </c>
      <c r="AE55" s="57" t="str">
        <f ca="1">IF(NOW() &lt; CALENDARIO!$K54, "🔒", PALPITES!BA54 &amp; " x " &amp; PALPITES!BB54)</f>
        <v>🔒</v>
      </c>
      <c r="AF55" s="57">
        <f>PALPITES!BC54</f>
        <v>0</v>
      </c>
      <c r="AG55" s="56" t="str">
        <f ca="1">IF(NOW() &lt; CALENDARIO!$K54, "🔒", PALPITES!BE54 &amp; " x " &amp; PALPITES!BF54)</f>
        <v>🔒</v>
      </c>
      <c r="AH55" s="56">
        <f>PALPITES!BG54</f>
        <v>0</v>
      </c>
      <c r="AI55" s="57" t="str">
        <f ca="1">IF(NOW() &lt; CALENDARIO!$K54, "🔒", PALPITES!BI54 &amp; " x " &amp; PALPITES!BJ54)</f>
        <v>🔒</v>
      </c>
      <c r="AJ55" s="57">
        <f>PALPITES!BK54</f>
        <v>0</v>
      </c>
    </row>
    <row r="56" spans="1:36" ht="12.75">
      <c r="A56" s="58">
        <f>CALENDARIO!A55</f>
        <v>54</v>
      </c>
      <c r="B56" s="59">
        <f>CALENDARIO!B55</f>
        <v>46197</v>
      </c>
      <c r="C56" s="60">
        <f>CALENDARIO!C55</f>
        <v>0.91666666666666663</v>
      </c>
      <c r="D56" s="61" t="str">
        <f>CALENDARIO!D55</f>
        <v>África do Sul</v>
      </c>
      <c r="E56" s="58">
        <f>CALENDARIO!E55</f>
        <v>0</v>
      </c>
      <c r="F56" s="58" t="str">
        <f>CALENDARIO!F55</f>
        <v>x</v>
      </c>
      <c r="G56" s="58">
        <f>CALENDARIO!G55</f>
        <v>0</v>
      </c>
      <c r="H56" s="61" t="str">
        <f>CALENDARIO!H55</f>
        <v>República da Coreia</v>
      </c>
      <c r="I56" s="56" t="str">
        <f ca="1">IF(NOW() &lt; CALENDARIO!$K55, "🔒", PALPITES!I55 &amp; " x " &amp; PALPITES!J55)</f>
        <v>🔒</v>
      </c>
      <c r="J56" s="56">
        <f>PALPITES!K55</f>
        <v>0</v>
      </c>
      <c r="K56" s="57" t="str">
        <f ca="1">IF(NOW() &lt; CALENDARIO!$K55, "🔒", PALPITES!M55 &amp; " x " &amp; PALPITES!N55)</f>
        <v>🔒</v>
      </c>
      <c r="L56" s="57">
        <f>PALPITES!O55</f>
        <v>0</v>
      </c>
      <c r="M56" s="56" t="str">
        <f ca="1">IF(NOW() &lt; CALENDARIO!$K55, "🔒", PALPITES!Q55 &amp; " x " &amp; PALPITES!R55)</f>
        <v>🔒</v>
      </c>
      <c r="N56" s="56">
        <f>PALPITES!S55</f>
        <v>0</v>
      </c>
      <c r="O56" s="57" t="str">
        <f ca="1">IF(NOW() &lt; CALENDARIO!$K55, "🔒", PALPITES!U55 &amp; " x " &amp; PALPITES!V55)</f>
        <v>🔒</v>
      </c>
      <c r="P56" s="57">
        <f>PALPITES!W55</f>
        <v>0</v>
      </c>
      <c r="Q56" s="56" t="str">
        <f ca="1">IF(NOW() &lt; CALENDARIO!$K55, "🔒", PALPITES!Y55 &amp; " x " &amp; PALPITES!Z55)</f>
        <v>🔒</v>
      </c>
      <c r="R56" s="56">
        <f>PALPITES!AA55</f>
        <v>0</v>
      </c>
      <c r="S56" s="57" t="str">
        <f ca="1">IF(NOW() &lt; CALENDARIO!$K55, "🔒", PALPITES!AC55 &amp; " x " &amp; PALPITES!AD55)</f>
        <v>🔒</v>
      </c>
      <c r="T56" s="57">
        <f>PALPITES!AE55</f>
        <v>0</v>
      </c>
      <c r="U56" s="56" t="str">
        <f ca="1">IF(NOW() &lt; CALENDARIO!$K55, "🔒", PALPITES!AG55 &amp; " x " &amp; PALPITES!AH55)</f>
        <v>🔒</v>
      </c>
      <c r="V56" s="56">
        <f>PALPITES!AI55</f>
        <v>0</v>
      </c>
      <c r="W56" s="57" t="str">
        <f ca="1">IF(NOW() &lt; CALENDARIO!$K55, "🔒", PALPITES!AK55 &amp; " x " &amp; PALPITES!AL55)</f>
        <v>🔒</v>
      </c>
      <c r="X56" s="57">
        <f>PALPITES!AM55</f>
        <v>0</v>
      </c>
      <c r="Y56" s="56" t="str">
        <f ca="1">IF(NOW() &lt; CALENDARIO!$K55, "🔒", PALPITES!AO55 &amp; " x " &amp; PALPITES!AP55)</f>
        <v>🔒</v>
      </c>
      <c r="Z56" s="56">
        <f>PALPITES!AQ55</f>
        <v>0</v>
      </c>
      <c r="AA56" s="57" t="str">
        <f ca="1">IF(NOW() &lt; CALENDARIO!$K55, "🔒", PALPITES!AS55 &amp; " x " &amp; PALPITES!AT55)</f>
        <v>🔒</v>
      </c>
      <c r="AB56" s="57">
        <f>PALPITES!AU55</f>
        <v>0</v>
      </c>
      <c r="AC56" s="56" t="str">
        <f ca="1">IF(NOW() &lt; CALENDARIO!$K55, "🔒", PALPITES!AW55 &amp; " x " &amp; PALPITES!AX55)</f>
        <v>🔒</v>
      </c>
      <c r="AD56" s="56">
        <f>PALPITES!AY55</f>
        <v>0</v>
      </c>
      <c r="AE56" s="57" t="str">
        <f ca="1">IF(NOW() &lt; CALENDARIO!$K55, "🔒", PALPITES!BA55 &amp; " x " &amp; PALPITES!BB55)</f>
        <v>🔒</v>
      </c>
      <c r="AF56" s="57">
        <f>PALPITES!BC55</f>
        <v>0</v>
      </c>
      <c r="AG56" s="56" t="str">
        <f ca="1">IF(NOW() &lt; CALENDARIO!$K55, "🔒", PALPITES!BE55 &amp; " x " &amp; PALPITES!BF55)</f>
        <v>🔒</v>
      </c>
      <c r="AH56" s="56">
        <f>PALPITES!BG55</f>
        <v>0</v>
      </c>
      <c r="AI56" s="57" t="str">
        <f ca="1">IF(NOW() &lt; CALENDARIO!$K55, "🔒", PALPITES!BI55 &amp; " x " &amp; PALPITES!BJ55)</f>
        <v>🔒</v>
      </c>
      <c r="AJ56" s="57">
        <f>PALPITES!BK55</f>
        <v>0</v>
      </c>
    </row>
    <row r="57" spans="1:36" ht="12.75">
      <c r="A57" s="58">
        <f>CALENDARIO!A56</f>
        <v>55</v>
      </c>
      <c r="B57" s="59">
        <f>CALENDARIO!B56</f>
        <v>46198</v>
      </c>
      <c r="C57" s="60">
        <f>CALENDARIO!C56</f>
        <v>0.70833333333333337</v>
      </c>
      <c r="D57" s="61" t="str">
        <f>CALENDARIO!D56</f>
        <v>Equador</v>
      </c>
      <c r="E57" s="58">
        <f>CALENDARIO!E56</f>
        <v>0</v>
      </c>
      <c r="F57" s="58" t="str">
        <f>CALENDARIO!F56</f>
        <v>x</v>
      </c>
      <c r="G57" s="58">
        <f>CALENDARIO!G56</f>
        <v>0</v>
      </c>
      <c r="H57" s="61" t="str">
        <f>CALENDARIO!H56</f>
        <v>Alemanha</v>
      </c>
      <c r="I57" s="56" t="str">
        <f ca="1">IF(NOW() &lt; CALENDARIO!$K56, "🔒", PALPITES!I56 &amp; " x " &amp; PALPITES!J56)</f>
        <v>🔒</v>
      </c>
      <c r="J57" s="56">
        <f>PALPITES!K56</f>
        <v>0</v>
      </c>
      <c r="K57" s="57" t="str">
        <f ca="1">IF(NOW() &lt; CALENDARIO!$K56, "🔒", PALPITES!M56 &amp; " x " &amp; PALPITES!N56)</f>
        <v>🔒</v>
      </c>
      <c r="L57" s="57">
        <f>PALPITES!O56</f>
        <v>0</v>
      </c>
      <c r="M57" s="56" t="str">
        <f ca="1">IF(NOW() &lt; CALENDARIO!$K56, "🔒", PALPITES!Q56 &amp; " x " &amp; PALPITES!R56)</f>
        <v>🔒</v>
      </c>
      <c r="N57" s="56">
        <f>PALPITES!S56</f>
        <v>0</v>
      </c>
      <c r="O57" s="57" t="str">
        <f ca="1">IF(NOW() &lt; CALENDARIO!$K56, "🔒", PALPITES!U56 &amp; " x " &amp; PALPITES!V56)</f>
        <v>🔒</v>
      </c>
      <c r="P57" s="57">
        <f>PALPITES!W56</f>
        <v>0</v>
      </c>
      <c r="Q57" s="56" t="str">
        <f ca="1">IF(NOW() &lt; CALENDARIO!$K56, "🔒", PALPITES!Y56 &amp; " x " &amp; PALPITES!Z56)</f>
        <v>🔒</v>
      </c>
      <c r="R57" s="56">
        <f>PALPITES!AA56</f>
        <v>0</v>
      </c>
      <c r="S57" s="57" t="str">
        <f ca="1">IF(NOW() &lt; CALENDARIO!$K56, "🔒", PALPITES!AC56 &amp; " x " &amp; PALPITES!AD56)</f>
        <v>🔒</v>
      </c>
      <c r="T57" s="57">
        <f>PALPITES!AE56</f>
        <v>0</v>
      </c>
      <c r="U57" s="56" t="str">
        <f ca="1">IF(NOW() &lt; CALENDARIO!$K56, "🔒", PALPITES!AG56 &amp; " x " &amp; PALPITES!AH56)</f>
        <v>🔒</v>
      </c>
      <c r="V57" s="56">
        <f>PALPITES!AI56</f>
        <v>0</v>
      </c>
      <c r="W57" s="57" t="str">
        <f ca="1">IF(NOW() &lt; CALENDARIO!$K56, "🔒", PALPITES!AK56 &amp; " x " &amp; PALPITES!AL56)</f>
        <v>🔒</v>
      </c>
      <c r="X57" s="57">
        <f>PALPITES!AM56</f>
        <v>0</v>
      </c>
      <c r="Y57" s="56" t="str">
        <f ca="1">IF(NOW() &lt; CALENDARIO!$K56, "🔒", PALPITES!AO56 &amp; " x " &amp; PALPITES!AP56)</f>
        <v>🔒</v>
      </c>
      <c r="Z57" s="56">
        <f>PALPITES!AQ56</f>
        <v>0</v>
      </c>
      <c r="AA57" s="57" t="str">
        <f ca="1">IF(NOW() &lt; CALENDARIO!$K56, "🔒", PALPITES!AS56 &amp; " x " &amp; PALPITES!AT56)</f>
        <v>🔒</v>
      </c>
      <c r="AB57" s="57">
        <f>PALPITES!AU56</f>
        <v>0</v>
      </c>
      <c r="AC57" s="56" t="str">
        <f ca="1">IF(NOW() &lt; CALENDARIO!$K56, "🔒", PALPITES!AW56 &amp; " x " &amp; PALPITES!AX56)</f>
        <v>🔒</v>
      </c>
      <c r="AD57" s="56">
        <f>PALPITES!AY56</f>
        <v>0</v>
      </c>
      <c r="AE57" s="57" t="str">
        <f ca="1">IF(NOW() &lt; CALENDARIO!$K56, "🔒", PALPITES!BA56 &amp; " x " &amp; PALPITES!BB56)</f>
        <v>🔒</v>
      </c>
      <c r="AF57" s="57">
        <f>PALPITES!BC56</f>
        <v>0</v>
      </c>
      <c r="AG57" s="56" t="str">
        <f ca="1">IF(NOW() &lt; CALENDARIO!$K56, "🔒", PALPITES!BE56 &amp; " x " &amp; PALPITES!BF56)</f>
        <v>🔒</v>
      </c>
      <c r="AH57" s="56">
        <f>PALPITES!BG56</f>
        <v>0</v>
      </c>
      <c r="AI57" s="57" t="str">
        <f ca="1">IF(NOW() &lt; CALENDARIO!$K56, "🔒", PALPITES!BI56 &amp; " x " &amp; PALPITES!BJ56)</f>
        <v>🔒</v>
      </c>
      <c r="AJ57" s="57">
        <f>PALPITES!BK56</f>
        <v>0</v>
      </c>
    </row>
    <row r="58" spans="1:36" ht="12.75">
      <c r="A58" s="58">
        <f>CALENDARIO!A57</f>
        <v>56</v>
      </c>
      <c r="B58" s="59">
        <f>CALENDARIO!B57</f>
        <v>46198</v>
      </c>
      <c r="C58" s="60">
        <f>CALENDARIO!C57</f>
        <v>0.70833333333333337</v>
      </c>
      <c r="D58" s="61" t="str">
        <f>CALENDARIO!D57</f>
        <v>Curaçau</v>
      </c>
      <c r="E58" s="58">
        <f>CALENDARIO!E57</f>
        <v>0</v>
      </c>
      <c r="F58" s="58" t="str">
        <f>CALENDARIO!F57</f>
        <v>x</v>
      </c>
      <c r="G58" s="58">
        <f>CALENDARIO!G57</f>
        <v>0</v>
      </c>
      <c r="H58" s="61" t="str">
        <f>CALENDARIO!H57</f>
        <v>Costa do Marfim</v>
      </c>
      <c r="I58" s="56" t="str">
        <f ca="1">IF(NOW() &lt; CALENDARIO!$K57, "🔒", PALPITES!I57 &amp; " x " &amp; PALPITES!J57)</f>
        <v>🔒</v>
      </c>
      <c r="J58" s="56">
        <f>PALPITES!K57</f>
        <v>0</v>
      </c>
      <c r="K58" s="57" t="str">
        <f ca="1">IF(NOW() &lt; CALENDARIO!$K57, "🔒", PALPITES!M57 &amp; " x " &amp; PALPITES!N57)</f>
        <v>🔒</v>
      </c>
      <c r="L58" s="57">
        <f>PALPITES!O57</f>
        <v>0</v>
      </c>
      <c r="M58" s="56" t="str">
        <f ca="1">IF(NOW() &lt; CALENDARIO!$K57, "🔒", PALPITES!Q57 &amp; " x " &amp; PALPITES!R57)</f>
        <v>🔒</v>
      </c>
      <c r="N58" s="56">
        <f>PALPITES!S57</f>
        <v>0</v>
      </c>
      <c r="O58" s="57" t="str">
        <f ca="1">IF(NOW() &lt; CALENDARIO!$K57, "🔒", PALPITES!U57 &amp; " x " &amp; PALPITES!V57)</f>
        <v>🔒</v>
      </c>
      <c r="P58" s="57">
        <f>PALPITES!W57</f>
        <v>0</v>
      </c>
      <c r="Q58" s="56" t="str">
        <f ca="1">IF(NOW() &lt; CALENDARIO!$K57, "🔒", PALPITES!Y57 &amp; " x " &amp; PALPITES!Z57)</f>
        <v>🔒</v>
      </c>
      <c r="R58" s="56">
        <f>PALPITES!AA57</f>
        <v>0</v>
      </c>
      <c r="S58" s="57" t="str">
        <f ca="1">IF(NOW() &lt; CALENDARIO!$K57, "🔒", PALPITES!AC57 &amp; " x " &amp; PALPITES!AD57)</f>
        <v>🔒</v>
      </c>
      <c r="T58" s="57">
        <f>PALPITES!AE57</f>
        <v>0</v>
      </c>
      <c r="U58" s="56" t="str">
        <f ca="1">IF(NOW() &lt; CALENDARIO!$K57, "🔒", PALPITES!AG57 &amp; " x " &amp; PALPITES!AH57)</f>
        <v>🔒</v>
      </c>
      <c r="V58" s="56">
        <f>PALPITES!AI57</f>
        <v>0</v>
      </c>
      <c r="W58" s="57" t="str">
        <f ca="1">IF(NOW() &lt; CALENDARIO!$K57, "🔒", PALPITES!AK57 &amp; " x " &amp; PALPITES!AL57)</f>
        <v>🔒</v>
      </c>
      <c r="X58" s="57">
        <f>PALPITES!AM57</f>
        <v>0</v>
      </c>
      <c r="Y58" s="56" t="str">
        <f ca="1">IF(NOW() &lt; CALENDARIO!$K57, "🔒", PALPITES!AO57 &amp; " x " &amp; PALPITES!AP57)</f>
        <v>🔒</v>
      </c>
      <c r="Z58" s="56">
        <f>PALPITES!AQ57</f>
        <v>0</v>
      </c>
      <c r="AA58" s="57" t="str">
        <f ca="1">IF(NOW() &lt; CALENDARIO!$K57, "🔒", PALPITES!AS57 &amp; " x " &amp; PALPITES!AT57)</f>
        <v>🔒</v>
      </c>
      <c r="AB58" s="57">
        <f>PALPITES!AU57</f>
        <v>0</v>
      </c>
      <c r="AC58" s="56" t="str">
        <f ca="1">IF(NOW() &lt; CALENDARIO!$K57, "🔒", PALPITES!AW57 &amp; " x " &amp; PALPITES!AX57)</f>
        <v>🔒</v>
      </c>
      <c r="AD58" s="56">
        <f>PALPITES!AY57</f>
        <v>0</v>
      </c>
      <c r="AE58" s="57" t="str">
        <f ca="1">IF(NOW() &lt; CALENDARIO!$K57, "🔒", PALPITES!BA57 &amp; " x " &amp; PALPITES!BB57)</f>
        <v>🔒</v>
      </c>
      <c r="AF58" s="57">
        <f>PALPITES!BC57</f>
        <v>0</v>
      </c>
      <c r="AG58" s="56" t="str">
        <f ca="1">IF(NOW() &lt; CALENDARIO!$K57, "🔒", PALPITES!BE57 &amp; " x " &amp; PALPITES!BF57)</f>
        <v>🔒</v>
      </c>
      <c r="AH58" s="56">
        <f>PALPITES!BG57</f>
        <v>0</v>
      </c>
      <c r="AI58" s="57" t="str">
        <f ca="1">IF(NOW() &lt; CALENDARIO!$K57, "🔒", PALPITES!BI57 &amp; " x " &amp; PALPITES!BJ57)</f>
        <v>🔒</v>
      </c>
      <c r="AJ58" s="57">
        <f>PALPITES!BK57</f>
        <v>0</v>
      </c>
    </row>
    <row r="59" spans="1:36" ht="12.75">
      <c r="A59" s="58">
        <f>CALENDARIO!A58</f>
        <v>57</v>
      </c>
      <c r="B59" s="59">
        <f>CALENDARIO!B58</f>
        <v>46198</v>
      </c>
      <c r="C59" s="60">
        <f>CALENDARIO!C58</f>
        <v>0.83333333333333337</v>
      </c>
      <c r="D59" s="61" t="str">
        <f>CALENDARIO!D58</f>
        <v>Japão</v>
      </c>
      <c r="E59" s="58">
        <f>CALENDARIO!E58</f>
        <v>0</v>
      </c>
      <c r="F59" s="58" t="str">
        <f>CALENDARIO!F58</f>
        <v>x</v>
      </c>
      <c r="G59" s="58">
        <f>CALENDARIO!G58</f>
        <v>0</v>
      </c>
      <c r="H59" s="61" t="str">
        <f>CALENDARIO!H58</f>
        <v>Suécia</v>
      </c>
      <c r="I59" s="56" t="str">
        <f ca="1">IF(NOW() &lt; CALENDARIO!$K58, "🔒", PALPITES!I58 &amp; " x " &amp; PALPITES!J58)</f>
        <v>🔒</v>
      </c>
      <c r="J59" s="56">
        <f>PALPITES!K58</f>
        <v>0</v>
      </c>
      <c r="K59" s="57" t="str">
        <f ca="1">IF(NOW() &lt; CALENDARIO!$K58, "🔒", PALPITES!M58 &amp; " x " &amp; PALPITES!N58)</f>
        <v>🔒</v>
      </c>
      <c r="L59" s="57">
        <f>PALPITES!O58</f>
        <v>0</v>
      </c>
      <c r="M59" s="56" t="str">
        <f ca="1">IF(NOW() &lt; CALENDARIO!$K58, "🔒", PALPITES!Q58 &amp; " x " &amp; PALPITES!R58)</f>
        <v>🔒</v>
      </c>
      <c r="N59" s="56">
        <f>PALPITES!S58</f>
        <v>0</v>
      </c>
      <c r="O59" s="57" t="str">
        <f ca="1">IF(NOW() &lt; CALENDARIO!$K58, "🔒", PALPITES!U58 &amp; " x " &amp; PALPITES!V58)</f>
        <v>🔒</v>
      </c>
      <c r="P59" s="57">
        <f>PALPITES!W58</f>
        <v>0</v>
      </c>
      <c r="Q59" s="56" t="str">
        <f ca="1">IF(NOW() &lt; CALENDARIO!$K58, "🔒", PALPITES!Y58 &amp; " x " &amp; PALPITES!Z58)</f>
        <v>🔒</v>
      </c>
      <c r="R59" s="56">
        <f>PALPITES!AA58</f>
        <v>0</v>
      </c>
      <c r="S59" s="57" t="str">
        <f ca="1">IF(NOW() &lt; CALENDARIO!$K58, "🔒", PALPITES!AC58 &amp; " x " &amp; PALPITES!AD58)</f>
        <v>🔒</v>
      </c>
      <c r="T59" s="57">
        <f>PALPITES!AE58</f>
        <v>0</v>
      </c>
      <c r="U59" s="56" t="str">
        <f ca="1">IF(NOW() &lt; CALENDARIO!$K58, "🔒", PALPITES!AG58 &amp; " x " &amp; PALPITES!AH58)</f>
        <v>🔒</v>
      </c>
      <c r="V59" s="56">
        <f>PALPITES!AI58</f>
        <v>0</v>
      </c>
      <c r="W59" s="57" t="str">
        <f ca="1">IF(NOW() &lt; CALENDARIO!$K58, "🔒", PALPITES!AK58 &amp; " x " &amp; PALPITES!AL58)</f>
        <v>🔒</v>
      </c>
      <c r="X59" s="57">
        <f>PALPITES!AM58</f>
        <v>0</v>
      </c>
      <c r="Y59" s="56" t="str">
        <f ca="1">IF(NOW() &lt; CALENDARIO!$K58, "🔒", PALPITES!AO58 &amp; " x " &amp; PALPITES!AP58)</f>
        <v>🔒</v>
      </c>
      <c r="Z59" s="56">
        <f>PALPITES!AQ58</f>
        <v>0</v>
      </c>
      <c r="AA59" s="57" t="str">
        <f ca="1">IF(NOW() &lt; CALENDARIO!$K58, "🔒", PALPITES!AS58 &amp; " x " &amp; PALPITES!AT58)</f>
        <v>🔒</v>
      </c>
      <c r="AB59" s="57">
        <f>PALPITES!AU58</f>
        <v>0</v>
      </c>
      <c r="AC59" s="56" t="str">
        <f ca="1">IF(NOW() &lt; CALENDARIO!$K58, "🔒", PALPITES!AW58 &amp; " x " &amp; PALPITES!AX58)</f>
        <v>🔒</v>
      </c>
      <c r="AD59" s="56">
        <f>PALPITES!AY58</f>
        <v>0</v>
      </c>
      <c r="AE59" s="57" t="str">
        <f ca="1">IF(NOW() &lt; CALENDARIO!$K58, "🔒", PALPITES!BA58 &amp; " x " &amp; PALPITES!BB58)</f>
        <v>🔒</v>
      </c>
      <c r="AF59" s="57">
        <f>PALPITES!BC58</f>
        <v>0</v>
      </c>
      <c r="AG59" s="56" t="str">
        <f ca="1">IF(NOW() &lt; CALENDARIO!$K58, "🔒", PALPITES!BE58 &amp; " x " &amp; PALPITES!BF58)</f>
        <v>🔒</v>
      </c>
      <c r="AH59" s="56">
        <f>PALPITES!BG58</f>
        <v>0</v>
      </c>
      <c r="AI59" s="57" t="str">
        <f ca="1">IF(NOW() &lt; CALENDARIO!$K58, "🔒", PALPITES!BI58 &amp; " x " &amp; PALPITES!BJ58)</f>
        <v>🔒</v>
      </c>
      <c r="AJ59" s="57">
        <f>PALPITES!BK58</f>
        <v>0</v>
      </c>
    </row>
    <row r="60" spans="1:36" ht="12.75">
      <c r="A60" s="58">
        <f>CALENDARIO!A59</f>
        <v>58</v>
      </c>
      <c r="B60" s="59">
        <f>CALENDARIO!B59</f>
        <v>46198</v>
      </c>
      <c r="C60" s="60">
        <f>CALENDARIO!C59</f>
        <v>0.83333333333333337</v>
      </c>
      <c r="D60" s="61" t="str">
        <f>CALENDARIO!D59</f>
        <v>Tunísia</v>
      </c>
      <c r="E60" s="58">
        <f>CALENDARIO!E59</f>
        <v>0</v>
      </c>
      <c r="F60" s="58" t="str">
        <f>CALENDARIO!F59</f>
        <v>x</v>
      </c>
      <c r="G60" s="58">
        <f>CALENDARIO!G59</f>
        <v>0</v>
      </c>
      <c r="H60" s="61" t="str">
        <f>CALENDARIO!H59</f>
        <v>Holanda</v>
      </c>
      <c r="I60" s="56" t="str">
        <f ca="1">IF(NOW() &lt; CALENDARIO!$K59, "🔒", PALPITES!I59 &amp; " x " &amp; PALPITES!J59)</f>
        <v>🔒</v>
      </c>
      <c r="J60" s="56">
        <f>PALPITES!K59</f>
        <v>0</v>
      </c>
      <c r="K60" s="57" t="str">
        <f ca="1">IF(NOW() &lt; CALENDARIO!$K59, "🔒", PALPITES!M59 &amp; " x " &amp; PALPITES!N59)</f>
        <v>🔒</v>
      </c>
      <c r="L60" s="57">
        <f>PALPITES!O59</f>
        <v>0</v>
      </c>
      <c r="M60" s="56" t="str">
        <f ca="1">IF(NOW() &lt; CALENDARIO!$K59, "🔒", PALPITES!Q59 &amp; " x " &amp; PALPITES!R59)</f>
        <v>🔒</v>
      </c>
      <c r="N60" s="56">
        <f>PALPITES!S59</f>
        <v>0</v>
      </c>
      <c r="O60" s="57" t="str">
        <f ca="1">IF(NOW() &lt; CALENDARIO!$K59, "🔒", PALPITES!U59 &amp; " x " &amp; PALPITES!V59)</f>
        <v>🔒</v>
      </c>
      <c r="P60" s="57">
        <f>PALPITES!W59</f>
        <v>0</v>
      </c>
      <c r="Q60" s="56" t="str">
        <f ca="1">IF(NOW() &lt; CALENDARIO!$K59, "🔒", PALPITES!Y59 &amp; " x " &amp; PALPITES!Z59)</f>
        <v>🔒</v>
      </c>
      <c r="R60" s="56">
        <f>PALPITES!AA59</f>
        <v>0</v>
      </c>
      <c r="S60" s="57" t="str">
        <f ca="1">IF(NOW() &lt; CALENDARIO!$K59, "🔒", PALPITES!AC59 &amp; " x " &amp; PALPITES!AD59)</f>
        <v>🔒</v>
      </c>
      <c r="T60" s="57">
        <f>PALPITES!AE59</f>
        <v>0</v>
      </c>
      <c r="U60" s="56" t="str">
        <f ca="1">IF(NOW() &lt; CALENDARIO!$K59, "🔒", PALPITES!AG59 &amp; " x " &amp; PALPITES!AH59)</f>
        <v>🔒</v>
      </c>
      <c r="V60" s="56">
        <f>PALPITES!AI59</f>
        <v>0</v>
      </c>
      <c r="W60" s="57" t="str">
        <f ca="1">IF(NOW() &lt; CALENDARIO!$K59, "🔒", PALPITES!AK59 &amp; " x " &amp; PALPITES!AL59)</f>
        <v>🔒</v>
      </c>
      <c r="X60" s="57">
        <f>PALPITES!AM59</f>
        <v>0</v>
      </c>
      <c r="Y60" s="56" t="str">
        <f ca="1">IF(NOW() &lt; CALENDARIO!$K59, "🔒", PALPITES!AO59 &amp; " x " &amp; PALPITES!AP59)</f>
        <v>🔒</v>
      </c>
      <c r="Z60" s="56">
        <f>PALPITES!AQ59</f>
        <v>0</v>
      </c>
      <c r="AA60" s="57" t="str">
        <f ca="1">IF(NOW() &lt; CALENDARIO!$K59, "🔒", PALPITES!AS59 &amp; " x " &amp; PALPITES!AT59)</f>
        <v>🔒</v>
      </c>
      <c r="AB60" s="57">
        <f>PALPITES!AU59</f>
        <v>0</v>
      </c>
      <c r="AC60" s="56" t="str">
        <f ca="1">IF(NOW() &lt; CALENDARIO!$K59, "🔒", PALPITES!AW59 &amp; " x " &amp; PALPITES!AX59)</f>
        <v>🔒</v>
      </c>
      <c r="AD60" s="56">
        <f>PALPITES!AY59</f>
        <v>0</v>
      </c>
      <c r="AE60" s="57" t="str">
        <f ca="1">IF(NOW() &lt; CALENDARIO!$K59, "🔒", PALPITES!BA59 &amp; " x " &amp; PALPITES!BB59)</f>
        <v>🔒</v>
      </c>
      <c r="AF60" s="57">
        <f>PALPITES!BC59</f>
        <v>0</v>
      </c>
      <c r="AG60" s="56" t="str">
        <f ca="1">IF(NOW() &lt; CALENDARIO!$K59, "🔒", PALPITES!BE59 &amp; " x " &amp; PALPITES!BF59)</f>
        <v>🔒</v>
      </c>
      <c r="AH60" s="56">
        <f>PALPITES!BG59</f>
        <v>0</v>
      </c>
      <c r="AI60" s="57" t="str">
        <f ca="1">IF(NOW() &lt; CALENDARIO!$K59, "🔒", PALPITES!BI59 &amp; " x " &amp; PALPITES!BJ59)</f>
        <v>🔒</v>
      </c>
      <c r="AJ60" s="57">
        <f>PALPITES!BK59</f>
        <v>0</v>
      </c>
    </row>
    <row r="61" spans="1:36" ht="12.75">
      <c r="A61" s="58">
        <f>CALENDARIO!A60</f>
        <v>59</v>
      </c>
      <c r="B61" s="59">
        <f>CALENDARIO!B60</f>
        <v>46198</v>
      </c>
      <c r="C61" s="60">
        <f>CALENDARIO!C60</f>
        <v>0.95833333333333337</v>
      </c>
      <c r="D61" s="61" t="str">
        <f>CALENDARIO!D60</f>
        <v>Turquia</v>
      </c>
      <c r="E61" s="58">
        <f>CALENDARIO!E60</f>
        <v>0</v>
      </c>
      <c r="F61" s="58" t="str">
        <f>CALENDARIO!F60</f>
        <v>x</v>
      </c>
      <c r="G61" s="58">
        <f>CALENDARIO!G60</f>
        <v>0</v>
      </c>
      <c r="H61" s="61" t="str">
        <f>CALENDARIO!H60</f>
        <v>Estados Unidos</v>
      </c>
      <c r="I61" s="56" t="str">
        <f ca="1">IF(NOW() &lt; CALENDARIO!$K60, "🔒", PALPITES!I60 &amp; " x " &amp; PALPITES!J60)</f>
        <v>🔒</v>
      </c>
      <c r="J61" s="56">
        <f>PALPITES!K60</f>
        <v>0</v>
      </c>
      <c r="K61" s="57" t="str">
        <f ca="1">IF(NOW() &lt; CALENDARIO!$K60, "🔒", PALPITES!M60 &amp; " x " &amp; PALPITES!N60)</f>
        <v>🔒</v>
      </c>
      <c r="L61" s="57">
        <f>PALPITES!O60</f>
        <v>0</v>
      </c>
      <c r="M61" s="56" t="str">
        <f ca="1">IF(NOW() &lt; CALENDARIO!$K60, "🔒", PALPITES!Q60 &amp; " x " &amp; PALPITES!R60)</f>
        <v>🔒</v>
      </c>
      <c r="N61" s="56">
        <f>PALPITES!S60</f>
        <v>0</v>
      </c>
      <c r="O61" s="57" t="str">
        <f ca="1">IF(NOW() &lt; CALENDARIO!$K60, "🔒", PALPITES!U60 &amp; " x " &amp; PALPITES!V60)</f>
        <v>🔒</v>
      </c>
      <c r="P61" s="57">
        <f>PALPITES!W60</f>
        <v>0</v>
      </c>
      <c r="Q61" s="56" t="str">
        <f ca="1">IF(NOW() &lt; CALENDARIO!$K60, "🔒", PALPITES!Y60 &amp; " x " &amp; PALPITES!Z60)</f>
        <v>🔒</v>
      </c>
      <c r="R61" s="56">
        <f>PALPITES!AA60</f>
        <v>0</v>
      </c>
      <c r="S61" s="57" t="str">
        <f ca="1">IF(NOW() &lt; CALENDARIO!$K60, "🔒", PALPITES!AC60 &amp; " x " &amp; PALPITES!AD60)</f>
        <v>🔒</v>
      </c>
      <c r="T61" s="57">
        <f>PALPITES!AE60</f>
        <v>0</v>
      </c>
      <c r="U61" s="56" t="str">
        <f ca="1">IF(NOW() &lt; CALENDARIO!$K60, "🔒", PALPITES!AG60 &amp; " x " &amp; PALPITES!AH60)</f>
        <v>🔒</v>
      </c>
      <c r="V61" s="56">
        <f>PALPITES!AI60</f>
        <v>0</v>
      </c>
      <c r="W61" s="57" t="str">
        <f ca="1">IF(NOW() &lt; CALENDARIO!$K60, "🔒", PALPITES!AK60 &amp; " x " &amp; PALPITES!AL60)</f>
        <v>🔒</v>
      </c>
      <c r="X61" s="57">
        <f>PALPITES!AM60</f>
        <v>0</v>
      </c>
      <c r="Y61" s="56" t="str">
        <f ca="1">IF(NOW() &lt; CALENDARIO!$K60, "🔒", PALPITES!AO60 &amp; " x " &amp; PALPITES!AP60)</f>
        <v>🔒</v>
      </c>
      <c r="Z61" s="56">
        <f>PALPITES!AQ60</f>
        <v>0</v>
      </c>
      <c r="AA61" s="57" t="str">
        <f ca="1">IF(NOW() &lt; CALENDARIO!$K60, "🔒", PALPITES!AS60 &amp; " x " &amp; PALPITES!AT60)</f>
        <v>🔒</v>
      </c>
      <c r="AB61" s="57">
        <f>PALPITES!AU60</f>
        <v>0</v>
      </c>
      <c r="AC61" s="56" t="str">
        <f ca="1">IF(NOW() &lt; CALENDARIO!$K60, "🔒", PALPITES!AW60 &amp; " x " &amp; PALPITES!AX60)</f>
        <v>🔒</v>
      </c>
      <c r="AD61" s="56">
        <f>PALPITES!AY60</f>
        <v>0</v>
      </c>
      <c r="AE61" s="57" t="str">
        <f ca="1">IF(NOW() &lt; CALENDARIO!$K60, "🔒", PALPITES!BA60 &amp; " x " &amp; PALPITES!BB60)</f>
        <v>🔒</v>
      </c>
      <c r="AF61" s="57">
        <f>PALPITES!BC60</f>
        <v>0</v>
      </c>
      <c r="AG61" s="56" t="str">
        <f ca="1">IF(NOW() &lt; CALENDARIO!$K60, "🔒", PALPITES!BE60 &amp; " x " &amp; PALPITES!BF60)</f>
        <v>🔒</v>
      </c>
      <c r="AH61" s="56">
        <f>PALPITES!BG60</f>
        <v>0</v>
      </c>
      <c r="AI61" s="57" t="str">
        <f ca="1">IF(NOW() &lt; CALENDARIO!$K60, "🔒", PALPITES!BI60 &amp; " x " &amp; PALPITES!BJ60)</f>
        <v>🔒</v>
      </c>
      <c r="AJ61" s="57">
        <f>PALPITES!BK60</f>
        <v>0</v>
      </c>
    </row>
    <row r="62" spans="1:36" ht="12.75">
      <c r="A62" s="58">
        <f>CALENDARIO!A61</f>
        <v>60</v>
      </c>
      <c r="B62" s="59">
        <f>CALENDARIO!B61</f>
        <v>46198</v>
      </c>
      <c r="C62" s="60">
        <f>CALENDARIO!C61</f>
        <v>0.95833333333333337</v>
      </c>
      <c r="D62" s="61" t="str">
        <f>CALENDARIO!D61</f>
        <v>Paraguai</v>
      </c>
      <c r="E62" s="58">
        <f>CALENDARIO!E61</f>
        <v>0</v>
      </c>
      <c r="F62" s="58" t="str">
        <f>CALENDARIO!F61</f>
        <v>x</v>
      </c>
      <c r="G62" s="58">
        <f>CALENDARIO!G61</f>
        <v>0</v>
      </c>
      <c r="H62" s="61" t="str">
        <f>CALENDARIO!H61</f>
        <v>Austrália</v>
      </c>
      <c r="I62" s="56" t="str">
        <f ca="1">IF(NOW() &lt; CALENDARIO!$K61, "🔒", PALPITES!I61 &amp; " x " &amp; PALPITES!J61)</f>
        <v>🔒</v>
      </c>
      <c r="J62" s="56">
        <f>PALPITES!K61</f>
        <v>0</v>
      </c>
      <c r="K62" s="57" t="str">
        <f ca="1">IF(NOW() &lt; CALENDARIO!$K61, "🔒", PALPITES!M61 &amp; " x " &amp; PALPITES!N61)</f>
        <v>🔒</v>
      </c>
      <c r="L62" s="57">
        <f>PALPITES!O61</f>
        <v>0</v>
      </c>
      <c r="M62" s="56" t="str">
        <f ca="1">IF(NOW() &lt; CALENDARIO!$K61, "🔒", PALPITES!Q61 &amp; " x " &amp; PALPITES!R61)</f>
        <v>🔒</v>
      </c>
      <c r="N62" s="56">
        <f>PALPITES!S61</f>
        <v>0</v>
      </c>
      <c r="O62" s="57" t="str">
        <f ca="1">IF(NOW() &lt; CALENDARIO!$K61, "🔒", PALPITES!U61 &amp; " x " &amp; PALPITES!V61)</f>
        <v>🔒</v>
      </c>
      <c r="P62" s="57">
        <f>PALPITES!W61</f>
        <v>0</v>
      </c>
      <c r="Q62" s="56" t="str">
        <f ca="1">IF(NOW() &lt; CALENDARIO!$K61, "🔒", PALPITES!Y61 &amp; " x " &amp; PALPITES!Z61)</f>
        <v>🔒</v>
      </c>
      <c r="R62" s="56">
        <f>PALPITES!AA61</f>
        <v>0</v>
      </c>
      <c r="S62" s="57" t="str">
        <f ca="1">IF(NOW() &lt; CALENDARIO!$K61, "🔒", PALPITES!AC61 &amp; " x " &amp; PALPITES!AD61)</f>
        <v>🔒</v>
      </c>
      <c r="T62" s="57">
        <f>PALPITES!AE61</f>
        <v>0</v>
      </c>
      <c r="U62" s="56" t="str">
        <f ca="1">IF(NOW() &lt; CALENDARIO!$K61, "🔒", PALPITES!AG61 &amp; " x " &amp; PALPITES!AH61)</f>
        <v>🔒</v>
      </c>
      <c r="V62" s="56">
        <f>PALPITES!AI61</f>
        <v>0</v>
      </c>
      <c r="W62" s="57" t="str">
        <f ca="1">IF(NOW() &lt; CALENDARIO!$K61, "🔒", PALPITES!AK61 &amp; " x " &amp; PALPITES!AL61)</f>
        <v>🔒</v>
      </c>
      <c r="X62" s="57">
        <f>PALPITES!AM61</f>
        <v>0</v>
      </c>
      <c r="Y62" s="56" t="str">
        <f ca="1">IF(NOW() &lt; CALENDARIO!$K61, "🔒", PALPITES!AO61 &amp; " x " &amp; PALPITES!AP61)</f>
        <v>🔒</v>
      </c>
      <c r="Z62" s="56">
        <f>PALPITES!AQ61</f>
        <v>0</v>
      </c>
      <c r="AA62" s="57" t="str">
        <f ca="1">IF(NOW() &lt; CALENDARIO!$K61, "🔒", PALPITES!AS61 &amp; " x " &amp; PALPITES!AT61)</f>
        <v>🔒</v>
      </c>
      <c r="AB62" s="57">
        <f>PALPITES!AU61</f>
        <v>0</v>
      </c>
      <c r="AC62" s="56" t="str">
        <f ca="1">IF(NOW() &lt; CALENDARIO!$K61, "🔒", PALPITES!AW61 &amp; " x " &amp; PALPITES!AX61)</f>
        <v>🔒</v>
      </c>
      <c r="AD62" s="56">
        <f>PALPITES!AY61</f>
        <v>0</v>
      </c>
      <c r="AE62" s="57" t="str">
        <f ca="1">IF(NOW() &lt; CALENDARIO!$K61, "🔒", PALPITES!BA61 &amp; " x " &amp; PALPITES!BB61)</f>
        <v>🔒</v>
      </c>
      <c r="AF62" s="57">
        <f>PALPITES!BC61</f>
        <v>0</v>
      </c>
      <c r="AG62" s="56" t="str">
        <f ca="1">IF(NOW() &lt; CALENDARIO!$K61, "🔒", PALPITES!BE61 &amp; " x " &amp; PALPITES!BF61)</f>
        <v>🔒</v>
      </c>
      <c r="AH62" s="56">
        <f>PALPITES!BG61</f>
        <v>0</v>
      </c>
      <c r="AI62" s="57" t="str">
        <f ca="1">IF(NOW() &lt; CALENDARIO!$K61, "🔒", PALPITES!BI61 &amp; " x " &amp; PALPITES!BJ61)</f>
        <v>🔒</v>
      </c>
      <c r="AJ62" s="57">
        <f>PALPITES!BK61</f>
        <v>0</v>
      </c>
    </row>
    <row r="63" spans="1:36" ht="12.75">
      <c r="A63" s="58">
        <f>CALENDARIO!A62</f>
        <v>61</v>
      </c>
      <c r="B63" s="59">
        <f>CALENDARIO!B62</f>
        <v>46199</v>
      </c>
      <c r="C63" s="60">
        <f>CALENDARIO!C62</f>
        <v>0.66666666666666663</v>
      </c>
      <c r="D63" s="61" t="str">
        <f>CALENDARIO!D62</f>
        <v>Noruega</v>
      </c>
      <c r="E63" s="58">
        <f>CALENDARIO!E62</f>
        <v>0</v>
      </c>
      <c r="F63" s="58" t="str">
        <f>CALENDARIO!F62</f>
        <v>x</v>
      </c>
      <c r="G63" s="58">
        <f>CALENDARIO!G62</f>
        <v>0</v>
      </c>
      <c r="H63" s="61" t="str">
        <f>CALENDARIO!H62</f>
        <v>França</v>
      </c>
      <c r="I63" s="56" t="str">
        <f ca="1">IF(NOW() &lt; CALENDARIO!$K62, "🔒", PALPITES!I62 &amp; " x " &amp; PALPITES!J62)</f>
        <v>🔒</v>
      </c>
      <c r="J63" s="56">
        <f>PALPITES!K62</f>
        <v>0</v>
      </c>
      <c r="K63" s="57" t="str">
        <f ca="1">IF(NOW() &lt; CALENDARIO!$K62, "🔒", PALPITES!M62 &amp; " x " &amp; PALPITES!N62)</f>
        <v>🔒</v>
      </c>
      <c r="L63" s="57">
        <f>PALPITES!O62</f>
        <v>0</v>
      </c>
      <c r="M63" s="56" t="str">
        <f ca="1">IF(NOW() &lt; CALENDARIO!$K62, "🔒", PALPITES!Q62 &amp; " x " &amp; PALPITES!R62)</f>
        <v>🔒</v>
      </c>
      <c r="N63" s="56">
        <f>PALPITES!S62</f>
        <v>0</v>
      </c>
      <c r="O63" s="57" t="str">
        <f ca="1">IF(NOW() &lt; CALENDARIO!$K62, "🔒", PALPITES!U62 &amp; " x " &amp; PALPITES!V62)</f>
        <v>🔒</v>
      </c>
      <c r="P63" s="57">
        <f>PALPITES!W62</f>
        <v>0</v>
      </c>
      <c r="Q63" s="56" t="str">
        <f ca="1">IF(NOW() &lt; CALENDARIO!$K62, "🔒", PALPITES!Y62 &amp; " x " &amp; PALPITES!Z62)</f>
        <v>🔒</v>
      </c>
      <c r="R63" s="56">
        <f>PALPITES!AA62</f>
        <v>0</v>
      </c>
      <c r="S63" s="57" t="str">
        <f ca="1">IF(NOW() &lt; CALENDARIO!$K62, "🔒", PALPITES!AC62 &amp; " x " &amp; PALPITES!AD62)</f>
        <v>🔒</v>
      </c>
      <c r="T63" s="57">
        <f>PALPITES!AE62</f>
        <v>0</v>
      </c>
      <c r="U63" s="56" t="str">
        <f ca="1">IF(NOW() &lt; CALENDARIO!$K62, "🔒", PALPITES!AG62 &amp; " x " &amp; PALPITES!AH62)</f>
        <v>🔒</v>
      </c>
      <c r="V63" s="56">
        <f>PALPITES!AI62</f>
        <v>0</v>
      </c>
      <c r="W63" s="57" t="str">
        <f ca="1">IF(NOW() &lt; CALENDARIO!$K62, "🔒", PALPITES!AK62 &amp; " x " &amp; PALPITES!AL62)</f>
        <v>🔒</v>
      </c>
      <c r="X63" s="57">
        <f>PALPITES!AM62</f>
        <v>0</v>
      </c>
      <c r="Y63" s="56" t="str">
        <f ca="1">IF(NOW() &lt; CALENDARIO!$K62, "🔒", PALPITES!AO62 &amp; " x " &amp; PALPITES!AP62)</f>
        <v>🔒</v>
      </c>
      <c r="Z63" s="56">
        <f>PALPITES!AQ62</f>
        <v>0</v>
      </c>
      <c r="AA63" s="57" t="str">
        <f ca="1">IF(NOW() &lt; CALENDARIO!$K62, "🔒", PALPITES!AS62 &amp; " x " &amp; PALPITES!AT62)</f>
        <v>🔒</v>
      </c>
      <c r="AB63" s="57">
        <f>PALPITES!AU62</f>
        <v>0</v>
      </c>
      <c r="AC63" s="56" t="str">
        <f ca="1">IF(NOW() &lt; CALENDARIO!$K62, "🔒", PALPITES!AW62 &amp; " x " &amp; PALPITES!AX62)</f>
        <v>🔒</v>
      </c>
      <c r="AD63" s="56">
        <f>PALPITES!AY62</f>
        <v>0</v>
      </c>
      <c r="AE63" s="57" t="str">
        <f ca="1">IF(NOW() &lt; CALENDARIO!$K62, "🔒", PALPITES!BA62 &amp; " x " &amp; PALPITES!BB62)</f>
        <v>🔒</v>
      </c>
      <c r="AF63" s="57">
        <f>PALPITES!BC62</f>
        <v>0</v>
      </c>
      <c r="AG63" s="56" t="str">
        <f ca="1">IF(NOW() &lt; CALENDARIO!$K62, "🔒", PALPITES!BE62 &amp; " x " &amp; PALPITES!BF62)</f>
        <v>🔒</v>
      </c>
      <c r="AH63" s="56">
        <f>PALPITES!BG62</f>
        <v>0</v>
      </c>
      <c r="AI63" s="57" t="str">
        <f ca="1">IF(NOW() &lt; CALENDARIO!$K62, "🔒", PALPITES!BI62 &amp; " x " &amp; PALPITES!BJ62)</f>
        <v>🔒</v>
      </c>
      <c r="AJ63" s="57">
        <f>PALPITES!BK62</f>
        <v>0</v>
      </c>
    </row>
    <row r="64" spans="1:36" ht="12.75">
      <c r="A64" s="58">
        <f>CALENDARIO!A63</f>
        <v>62</v>
      </c>
      <c r="B64" s="59">
        <f>CALENDARIO!B63</f>
        <v>46199</v>
      </c>
      <c r="C64" s="60">
        <f>CALENDARIO!C63</f>
        <v>0.66666666666666663</v>
      </c>
      <c r="D64" s="61" t="str">
        <f>CALENDARIO!D63</f>
        <v>Senegal</v>
      </c>
      <c r="E64" s="58">
        <f>CALENDARIO!E63</f>
        <v>0</v>
      </c>
      <c r="F64" s="58" t="str">
        <f>CALENDARIO!F63</f>
        <v>x</v>
      </c>
      <c r="G64" s="58">
        <f>CALENDARIO!G63</f>
        <v>0</v>
      </c>
      <c r="H64" s="61" t="str">
        <f>CALENDARIO!H63</f>
        <v>Iraque</v>
      </c>
      <c r="I64" s="56" t="str">
        <f ca="1">IF(NOW() &lt; CALENDARIO!$K63, "🔒", PALPITES!I63 &amp; " x " &amp; PALPITES!J63)</f>
        <v>🔒</v>
      </c>
      <c r="J64" s="56">
        <f>PALPITES!K63</f>
        <v>0</v>
      </c>
      <c r="K64" s="57" t="str">
        <f ca="1">IF(NOW() &lt; CALENDARIO!$K63, "🔒", PALPITES!M63 &amp; " x " &amp; PALPITES!N63)</f>
        <v>🔒</v>
      </c>
      <c r="L64" s="57">
        <f>PALPITES!O63</f>
        <v>0</v>
      </c>
      <c r="M64" s="56" t="str">
        <f ca="1">IF(NOW() &lt; CALENDARIO!$K63, "🔒", PALPITES!Q63 &amp; " x " &amp; PALPITES!R63)</f>
        <v>🔒</v>
      </c>
      <c r="N64" s="56">
        <f>PALPITES!S63</f>
        <v>0</v>
      </c>
      <c r="O64" s="57" t="str">
        <f ca="1">IF(NOW() &lt; CALENDARIO!$K63, "🔒", PALPITES!U63 &amp; " x " &amp; PALPITES!V63)</f>
        <v>🔒</v>
      </c>
      <c r="P64" s="57">
        <f>PALPITES!W63</f>
        <v>0</v>
      </c>
      <c r="Q64" s="56" t="str">
        <f ca="1">IF(NOW() &lt; CALENDARIO!$K63, "🔒", PALPITES!Y63 &amp; " x " &amp; PALPITES!Z63)</f>
        <v>🔒</v>
      </c>
      <c r="R64" s="56">
        <f>PALPITES!AA63</f>
        <v>0</v>
      </c>
      <c r="S64" s="57" t="str">
        <f ca="1">IF(NOW() &lt; CALENDARIO!$K63, "🔒", PALPITES!AC63 &amp; " x " &amp; PALPITES!AD63)</f>
        <v>🔒</v>
      </c>
      <c r="T64" s="57">
        <f>PALPITES!AE63</f>
        <v>0</v>
      </c>
      <c r="U64" s="56" t="str">
        <f ca="1">IF(NOW() &lt; CALENDARIO!$K63, "🔒", PALPITES!AG63 &amp; " x " &amp; PALPITES!AH63)</f>
        <v>🔒</v>
      </c>
      <c r="V64" s="56">
        <f>PALPITES!AI63</f>
        <v>0</v>
      </c>
      <c r="W64" s="57" t="str">
        <f ca="1">IF(NOW() &lt; CALENDARIO!$K63, "🔒", PALPITES!AK63 &amp; " x " &amp; PALPITES!AL63)</f>
        <v>🔒</v>
      </c>
      <c r="X64" s="57">
        <f>PALPITES!AM63</f>
        <v>0</v>
      </c>
      <c r="Y64" s="56" t="str">
        <f ca="1">IF(NOW() &lt; CALENDARIO!$K63, "🔒", PALPITES!AO63 &amp; " x " &amp; PALPITES!AP63)</f>
        <v>🔒</v>
      </c>
      <c r="Z64" s="56">
        <f>PALPITES!AQ63</f>
        <v>0</v>
      </c>
      <c r="AA64" s="57" t="str">
        <f ca="1">IF(NOW() &lt; CALENDARIO!$K63, "🔒", PALPITES!AS63 &amp; " x " &amp; PALPITES!AT63)</f>
        <v>🔒</v>
      </c>
      <c r="AB64" s="57">
        <f>PALPITES!AU63</f>
        <v>0</v>
      </c>
      <c r="AC64" s="56" t="str">
        <f ca="1">IF(NOW() &lt; CALENDARIO!$K63, "🔒", PALPITES!AW63 &amp; " x " &amp; PALPITES!AX63)</f>
        <v>🔒</v>
      </c>
      <c r="AD64" s="56">
        <f>PALPITES!AY63</f>
        <v>0</v>
      </c>
      <c r="AE64" s="57" t="str">
        <f ca="1">IF(NOW() &lt; CALENDARIO!$K63, "🔒", PALPITES!BA63 &amp; " x " &amp; PALPITES!BB63)</f>
        <v>🔒</v>
      </c>
      <c r="AF64" s="57">
        <f>PALPITES!BC63</f>
        <v>0</v>
      </c>
      <c r="AG64" s="56" t="str">
        <f ca="1">IF(NOW() &lt; CALENDARIO!$K63, "🔒", PALPITES!BE63 &amp; " x " &amp; PALPITES!BF63)</f>
        <v>🔒</v>
      </c>
      <c r="AH64" s="56">
        <f>PALPITES!BG63</f>
        <v>0</v>
      </c>
      <c r="AI64" s="57" t="str">
        <f ca="1">IF(NOW() &lt; CALENDARIO!$K63, "🔒", PALPITES!BI63 &amp; " x " &amp; PALPITES!BJ63)</f>
        <v>🔒</v>
      </c>
      <c r="AJ64" s="57">
        <f>PALPITES!BK63</f>
        <v>0</v>
      </c>
    </row>
    <row r="65" spans="1:36" ht="12.75">
      <c r="A65" s="58">
        <f>CALENDARIO!A64</f>
        <v>63</v>
      </c>
      <c r="B65" s="59">
        <f>CALENDARIO!B64</f>
        <v>46199</v>
      </c>
      <c r="C65" s="60">
        <f>CALENDARIO!C64</f>
        <v>0.875</v>
      </c>
      <c r="D65" s="61" t="str">
        <f>CALENDARIO!D64</f>
        <v>Cabo Verde</v>
      </c>
      <c r="E65" s="58">
        <f>CALENDARIO!E64</f>
        <v>0</v>
      </c>
      <c r="F65" s="58" t="str">
        <f>CALENDARIO!F64</f>
        <v>x</v>
      </c>
      <c r="G65" s="58">
        <f>CALENDARIO!G64</f>
        <v>0</v>
      </c>
      <c r="H65" s="61" t="str">
        <f>CALENDARIO!H64</f>
        <v>Arábia Saudita</v>
      </c>
      <c r="I65" s="56" t="str">
        <f ca="1">IF(NOW() &lt; CALENDARIO!$K64, "🔒", PALPITES!I64 &amp; " x " &amp; PALPITES!J64)</f>
        <v>🔒</v>
      </c>
      <c r="J65" s="56">
        <f>PALPITES!K64</f>
        <v>0</v>
      </c>
      <c r="K65" s="57" t="str">
        <f ca="1">IF(NOW() &lt; CALENDARIO!$K64, "🔒", PALPITES!M64 &amp; " x " &amp; PALPITES!N64)</f>
        <v>🔒</v>
      </c>
      <c r="L65" s="57">
        <f>PALPITES!O64</f>
        <v>0</v>
      </c>
      <c r="M65" s="56" t="str">
        <f ca="1">IF(NOW() &lt; CALENDARIO!$K64, "🔒", PALPITES!Q64 &amp; " x " &amp; PALPITES!R64)</f>
        <v>🔒</v>
      </c>
      <c r="N65" s="56">
        <f>PALPITES!S64</f>
        <v>0</v>
      </c>
      <c r="O65" s="57" t="str">
        <f ca="1">IF(NOW() &lt; CALENDARIO!$K64, "🔒", PALPITES!U64 &amp; " x " &amp; PALPITES!V64)</f>
        <v>🔒</v>
      </c>
      <c r="P65" s="57">
        <f>PALPITES!W64</f>
        <v>0</v>
      </c>
      <c r="Q65" s="56" t="str">
        <f ca="1">IF(NOW() &lt; CALENDARIO!$K64, "🔒", PALPITES!Y64 &amp; " x " &amp; PALPITES!Z64)</f>
        <v>🔒</v>
      </c>
      <c r="R65" s="56">
        <f>PALPITES!AA64</f>
        <v>0</v>
      </c>
      <c r="S65" s="57" t="str">
        <f ca="1">IF(NOW() &lt; CALENDARIO!$K64, "🔒", PALPITES!AC64 &amp; " x " &amp; PALPITES!AD64)</f>
        <v>🔒</v>
      </c>
      <c r="T65" s="57">
        <f>PALPITES!AE64</f>
        <v>0</v>
      </c>
      <c r="U65" s="56" t="str">
        <f ca="1">IF(NOW() &lt; CALENDARIO!$K64, "🔒", PALPITES!AG64 &amp; " x " &amp; PALPITES!AH64)</f>
        <v>🔒</v>
      </c>
      <c r="V65" s="56">
        <f>PALPITES!AI64</f>
        <v>0</v>
      </c>
      <c r="W65" s="57" t="str">
        <f ca="1">IF(NOW() &lt; CALENDARIO!$K64, "🔒", PALPITES!AK64 &amp; " x " &amp; PALPITES!AL64)</f>
        <v>🔒</v>
      </c>
      <c r="X65" s="57">
        <f>PALPITES!AM64</f>
        <v>0</v>
      </c>
      <c r="Y65" s="56" t="str">
        <f ca="1">IF(NOW() &lt; CALENDARIO!$K64, "🔒", PALPITES!AO64 &amp; " x " &amp; PALPITES!AP64)</f>
        <v>🔒</v>
      </c>
      <c r="Z65" s="56">
        <f>PALPITES!AQ64</f>
        <v>0</v>
      </c>
      <c r="AA65" s="57" t="str">
        <f ca="1">IF(NOW() &lt; CALENDARIO!$K64, "🔒", PALPITES!AS64 &amp; " x " &amp; PALPITES!AT64)</f>
        <v>🔒</v>
      </c>
      <c r="AB65" s="57">
        <f>PALPITES!AU64</f>
        <v>0</v>
      </c>
      <c r="AC65" s="56" t="str">
        <f ca="1">IF(NOW() &lt; CALENDARIO!$K64, "🔒", PALPITES!AW64 &amp; " x " &amp; PALPITES!AX64)</f>
        <v>🔒</v>
      </c>
      <c r="AD65" s="56">
        <f>PALPITES!AY64</f>
        <v>0</v>
      </c>
      <c r="AE65" s="57" t="str">
        <f ca="1">IF(NOW() &lt; CALENDARIO!$K64, "🔒", PALPITES!BA64 &amp; " x " &amp; PALPITES!BB64)</f>
        <v>🔒</v>
      </c>
      <c r="AF65" s="57">
        <f>PALPITES!BC64</f>
        <v>0</v>
      </c>
      <c r="AG65" s="56" t="str">
        <f ca="1">IF(NOW() &lt; CALENDARIO!$K64, "🔒", PALPITES!BE64 &amp; " x " &amp; PALPITES!BF64)</f>
        <v>🔒</v>
      </c>
      <c r="AH65" s="56">
        <f>PALPITES!BG64</f>
        <v>0</v>
      </c>
      <c r="AI65" s="57" t="str">
        <f ca="1">IF(NOW() &lt; CALENDARIO!$K64, "🔒", PALPITES!BI64 &amp; " x " &amp; PALPITES!BJ64)</f>
        <v>🔒</v>
      </c>
      <c r="AJ65" s="57">
        <f>PALPITES!BK64</f>
        <v>0</v>
      </c>
    </row>
    <row r="66" spans="1:36" ht="12.75">
      <c r="A66" s="58">
        <f>CALENDARIO!A65</f>
        <v>64</v>
      </c>
      <c r="B66" s="59">
        <f>CALENDARIO!B65</f>
        <v>46199</v>
      </c>
      <c r="C66" s="60">
        <f>CALENDARIO!C65</f>
        <v>0.875</v>
      </c>
      <c r="D66" s="61" t="str">
        <f>CALENDARIO!D65</f>
        <v>Uruguai</v>
      </c>
      <c r="E66" s="58">
        <f>CALENDARIO!E65</f>
        <v>0</v>
      </c>
      <c r="F66" s="58" t="str">
        <f>CALENDARIO!F65</f>
        <v>x</v>
      </c>
      <c r="G66" s="58">
        <f>CALENDARIO!G65</f>
        <v>0</v>
      </c>
      <c r="H66" s="61" t="str">
        <f>CALENDARIO!H65</f>
        <v>Espanha</v>
      </c>
      <c r="I66" s="56" t="str">
        <f ca="1">IF(NOW() &lt; CALENDARIO!$K65, "🔒", PALPITES!I65 &amp; " x " &amp; PALPITES!J65)</f>
        <v>🔒</v>
      </c>
      <c r="J66" s="56">
        <f>PALPITES!K65</f>
        <v>0</v>
      </c>
      <c r="K66" s="57" t="str">
        <f ca="1">IF(NOW() &lt; CALENDARIO!$K65, "🔒", PALPITES!M65 &amp; " x " &amp; PALPITES!N65)</f>
        <v>🔒</v>
      </c>
      <c r="L66" s="57">
        <f>PALPITES!O65</f>
        <v>0</v>
      </c>
      <c r="M66" s="56" t="str">
        <f ca="1">IF(NOW() &lt; CALENDARIO!$K65, "🔒", PALPITES!Q65 &amp; " x " &amp; PALPITES!R65)</f>
        <v>🔒</v>
      </c>
      <c r="N66" s="56">
        <f>PALPITES!S65</f>
        <v>0</v>
      </c>
      <c r="O66" s="57" t="str">
        <f ca="1">IF(NOW() &lt; CALENDARIO!$K65, "🔒", PALPITES!U65 &amp; " x " &amp; PALPITES!V65)</f>
        <v>🔒</v>
      </c>
      <c r="P66" s="57">
        <f>PALPITES!W65</f>
        <v>0</v>
      </c>
      <c r="Q66" s="56" t="str">
        <f ca="1">IF(NOW() &lt; CALENDARIO!$K65, "🔒", PALPITES!Y65 &amp; " x " &amp; PALPITES!Z65)</f>
        <v>🔒</v>
      </c>
      <c r="R66" s="56">
        <f>PALPITES!AA65</f>
        <v>0</v>
      </c>
      <c r="S66" s="57" t="str">
        <f ca="1">IF(NOW() &lt; CALENDARIO!$K65, "🔒", PALPITES!AC65 &amp; " x " &amp; PALPITES!AD65)</f>
        <v>🔒</v>
      </c>
      <c r="T66" s="57">
        <f>PALPITES!AE65</f>
        <v>0</v>
      </c>
      <c r="U66" s="56" t="str">
        <f ca="1">IF(NOW() &lt; CALENDARIO!$K65, "🔒", PALPITES!AG65 &amp; " x " &amp; PALPITES!AH65)</f>
        <v>🔒</v>
      </c>
      <c r="V66" s="56">
        <f>PALPITES!AI65</f>
        <v>0</v>
      </c>
      <c r="W66" s="57" t="str">
        <f ca="1">IF(NOW() &lt; CALENDARIO!$K65, "🔒", PALPITES!AK65 &amp; " x " &amp; PALPITES!AL65)</f>
        <v>🔒</v>
      </c>
      <c r="X66" s="57">
        <f>PALPITES!AM65</f>
        <v>0</v>
      </c>
      <c r="Y66" s="56" t="str">
        <f ca="1">IF(NOW() &lt; CALENDARIO!$K65, "🔒", PALPITES!AO65 &amp; " x " &amp; PALPITES!AP65)</f>
        <v>🔒</v>
      </c>
      <c r="Z66" s="56">
        <f>PALPITES!AQ65</f>
        <v>0</v>
      </c>
      <c r="AA66" s="57" t="str">
        <f ca="1">IF(NOW() &lt; CALENDARIO!$K65, "🔒", PALPITES!AS65 &amp; " x " &amp; PALPITES!AT65)</f>
        <v>🔒</v>
      </c>
      <c r="AB66" s="57">
        <f>PALPITES!AU65</f>
        <v>0</v>
      </c>
      <c r="AC66" s="56" t="str">
        <f ca="1">IF(NOW() &lt; CALENDARIO!$K65, "🔒", PALPITES!AW65 &amp; " x " &amp; PALPITES!AX65)</f>
        <v>🔒</v>
      </c>
      <c r="AD66" s="56">
        <f>PALPITES!AY65</f>
        <v>0</v>
      </c>
      <c r="AE66" s="57" t="str">
        <f ca="1">IF(NOW() &lt; CALENDARIO!$K65, "🔒", PALPITES!BA65 &amp; " x " &amp; PALPITES!BB65)</f>
        <v>🔒</v>
      </c>
      <c r="AF66" s="57">
        <f>PALPITES!BC65</f>
        <v>0</v>
      </c>
      <c r="AG66" s="56" t="str">
        <f ca="1">IF(NOW() &lt; CALENDARIO!$K65, "🔒", PALPITES!BE65 &amp; " x " &amp; PALPITES!BF65)</f>
        <v>🔒</v>
      </c>
      <c r="AH66" s="56">
        <f>PALPITES!BG65</f>
        <v>0</v>
      </c>
      <c r="AI66" s="57" t="str">
        <f ca="1">IF(NOW() &lt; CALENDARIO!$K65, "🔒", PALPITES!BI65 &amp; " x " &amp; PALPITES!BJ65)</f>
        <v>🔒</v>
      </c>
      <c r="AJ66" s="57">
        <f>PALPITES!BK65</f>
        <v>0</v>
      </c>
    </row>
    <row r="67" spans="1:36" ht="12.75">
      <c r="A67" s="58">
        <f>CALENDARIO!A66</f>
        <v>65</v>
      </c>
      <c r="B67" s="59">
        <f>CALENDARIO!B66</f>
        <v>46200</v>
      </c>
      <c r="C67" s="60">
        <f>CALENDARIO!C66</f>
        <v>0</v>
      </c>
      <c r="D67" s="61" t="str">
        <f>CALENDARIO!D66</f>
        <v>Egito</v>
      </c>
      <c r="E67" s="58">
        <f>CALENDARIO!E66</f>
        <v>0</v>
      </c>
      <c r="F67" s="58" t="str">
        <f>CALENDARIO!F66</f>
        <v>x</v>
      </c>
      <c r="G67" s="58">
        <f>CALENDARIO!G66</f>
        <v>0</v>
      </c>
      <c r="H67" s="61" t="str">
        <f>CALENDARIO!H66</f>
        <v>Irã</v>
      </c>
      <c r="I67" s="56" t="str">
        <f ca="1">IF(NOW() &lt; CALENDARIO!$K66, "🔒", PALPITES!I66 &amp; " x " &amp; PALPITES!J66)</f>
        <v>🔒</v>
      </c>
      <c r="J67" s="56">
        <f>PALPITES!K66</f>
        <v>0</v>
      </c>
      <c r="K67" s="57" t="str">
        <f ca="1">IF(NOW() &lt; CALENDARIO!$K66, "🔒", PALPITES!M66 &amp; " x " &amp; PALPITES!N66)</f>
        <v>🔒</v>
      </c>
      <c r="L67" s="57">
        <f>PALPITES!O66</f>
        <v>0</v>
      </c>
      <c r="M67" s="56" t="str">
        <f ca="1">IF(NOW() &lt; CALENDARIO!$K66, "🔒", PALPITES!Q66 &amp; " x " &amp; PALPITES!R66)</f>
        <v>🔒</v>
      </c>
      <c r="N67" s="56">
        <f>PALPITES!S66</f>
        <v>0</v>
      </c>
      <c r="O67" s="57" t="str">
        <f ca="1">IF(NOW() &lt; CALENDARIO!$K66, "🔒", PALPITES!U66 &amp; " x " &amp; PALPITES!V66)</f>
        <v>🔒</v>
      </c>
      <c r="P67" s="57">
        <f>PALPITES!W66</f>
        <v>0</v>
      </c>
      <c r="Q67" s="56" t="str">
        <f ca="1">IF(NOW() &lt; CALENDARIO!$K66, "🔒", PALPITES!Y66 &amp; " x " &amp; PALPITES!Z66)</f>
        <v>🔒</v>
      </c>
      <c r="R67" s="56">
        <f>PALPITES!AA66</f>
        <v>0</v>
      </c>
      <c r="S67" s="57" t="str">
        <f ca="1">IF(NOW() &lt; CALENDARIO!$K66, "🔒", PALPITES!AC66 &amp; " x " &amp; PALPITES!AD66)</f>
        <v>🔒</v>
      </c>
      <c r="T67" s="57">
        <f>PALPITES!AE66</f>
        <v>0</v>
      </c>
      <c r="U67" s="56" t="str">
        <f ca="1">IF(NOW() &lt; CALENDARIO!$K66, "🔒", PALPITES!AG66 &amp; " x " &amp; PALPITES!AH66)</f>
        <v>🔒</v>
      </c>
      <c r="V67" s="56">
        <f>PALPITES!AI66</f>
        <v>0</v>
      </c>
      <c r="W67" s="57" t="str">
        <f ca="1">IF(NOW() &lt; CALENDARIO!$K66, "🔒", PALPITES!AK66 &amp; " x " &amp; PALPITES!AL66)</f>
        <v>🔒</v>
      </c>
      <c r="X67" s="57">
        <f>PALPITES!AM66</f>
        <v>0</v>
      </c>
      <c r="Y67" s="56" t="str">
        <f ca="1">IF(NOW() &lt; CALENDARIO!$K66, "🔒", PALPITES!AO66 &amp; " x " &amp; PALPITES!AP66)</f>
        <v>🔒</v>
      </c>
      <c r="Z67" s="56">
        <f>PALPITES!AQ66</f>
        <v>0</v>
      </c>
      <c r="AA67" s="57" t="str">
        <f ca="1">IF(NOW() &lt; CALENDARIO!$K66, "🔒", PALPITES!AS66 &amp; " x " &amp; PALPITES!AT66)</f>
        <v>🔒</v>
      </c>
      <c r="AB67" s="57">
        <f>PALPITES!AU66</f>
        <v>0</v>
      </c>
      <c r="AC67" s="56" t="str">
        <f ca="1">IF(NOW() &lt; CALENDARIO!$K66, "🔒", PALPITES!AW66 &amp; " x " &amp; PALPITES!AX66)</f>
        <v>🔒</v>
      </c>
      <c r="AD67" s="56">
        <f>PALPITES!AY66</f>
        <v>0</v>
      </c>
      <c r="AE67" s="57" t="str">
        <f ca="1">IF(NOW() &lt; CALENDARIO!$K66, "🔒", PALPITES!BA66 &amp; " x " &amp; PALPITES!BB66)</f>
        <v>🔒</v>
      </c>
      <c r="AF67" s="57">
        <f>PALPITES!BC66</f>
        <v>0</v>
      </c>
      <c r="AG67" s="56" t="str">
        <f ca="1">IF(NOW() &lt; CALENDARIO!$K66, "🔒", PALPITES!BE66 &amp; " x " &amp; PALPITES!BF66)</f>
        <v>🔒</v>
      </c>
      <c r="AH67" s="56">
        <f>PALPITES!BG66</f>
        <v>0</v>
      </c>
      <c r="AI67" s="57" t="str">
        <f ca="1">IF(NOW() &lt; CALENDARIO!$K66, "🔒", PALPITES!BI66 &amp; " x " &amp; PALPITES!BJ66)</f>
        <v>🔒</v>
      </c>
      <c r="AJ67" s="57">
        <f>PALPITES!BK66</f>
        <v>0</v>
      </c>
    </row>
    <row r="68" spans="1:36" ht="12.75">
      <c r="A68" s="58">
        <f>CALENDARIO!A67</f>
        <v>66</v>
      </c>
      <c r="B68" s="59">
        <f>CALENDARIO!B67</f>
        <v>46200</v>
      </c>
      <c r="C68" s="60">
        <f>CALENDARIO!C67</f>
        <v>0</v>
      </c>
      <c r="D68" s="61" t="str">
        <f>CALENDARIO!D67</f>
        <v>Nova Zelândia</v>
      </c>
      <c r="E68" s="58">
        <f>CALENDARIO!E67</f>
        <v>0</v>
      </c>
      <c r="F68" s="58" t="str">
        <f>CALENDARIO!F67</f>
        <v>x</v>
      </c>
      <c r="G68" s="58">
        <f>CALENDARIO!G67</f>
        <v>0</v>
      </c>
      <c r="H68" s="61" t="str">
        <f>CALENDARIO!H67</f>
        <v>Bélgica</v>
      </c>
      <c r="I68" s="56" t="str">
        <f ca="1">IF(NOW() &lt; CALENDARIO!$K67, "🔒", PALPITES!I67 &amp; " x " &amp; PALPITES!J67)</f>
        <v>🔒</v>
      </c>
      <c r="J68" s="56">
        <f>PALPITES!K67</f>
        <v>0</v>
      </c>
      <c r="K68" s="57" t="str">
        <f ca="1">IF(NOW() &lt; CALENDARIO!$K67, "🔒", PALPITES!M67 &amp; " x " &amp; PALPITES!N67)</f>
        <v>🔒</v>
      </c>
      <c r="L68" s="57">
        <f>PALPITES!O67</f>
        <v>0</v>
      </c>
      <c r="M68" s="56" t="str">
        <f ca="1">IF(NOW() &lt; CALENDARIO!$K67, "🔒", PALPITES!Q67 &amp; " x " &amp; PALPITES!R67)</f>
        <v>🔒</v>
      </c>
      <c r="N68" s="56">
        <f>PALPITES!S67</f>
        <v>0</v>
      </c>
      <c r="O68" s="57" t="str">
        <f ca="1">IF(NOW() &lt; CALENDARIO!$K67, "🔒", PALPITES!U67 &amp; " x " &amp; PALPITES!V67)</f>
        <v>🔒</v>
      </c>
      <c r="P68" s="57">
        <f>PALPITES!W67</f>
        <v>0</v>
      </c>
      <c r="Q68" s="56" t="str">
        <f ca="1">IF(NOW() &lt; CALENDARIO!$K67, "🔒", PALPITES!Y67 &amp; " x " &amp; PALPITES!Z67)</f>
        <v>🔒</v>
      </c>
      <c r="R68" s="56">
        <f>PALPITES!AA67</f>
        <v>0</v>
      </c>
      <c r="S68" s="57" t="str">
        <f ca="1">IF(NOW() &lt; CALENDARIO!$K67, "🔒", PALPITES!AC67 &amp; " x " &amp; PALPITES!AD67)</f>
        <v>🔒</v>
      </c>
      <c r="T68" s="57">
        <f>PALPITES!AE67</f>
        <v>0</v>
      </c>
      <c r="U68" s="56" t="str">
        <f ca="1">IF(NOW() &lt; CALENDARIO!$K67, "🔒", PALPITES!AG67 &amp; " x " &amp; PALPITES!AH67)</f>
        <v>🔒</v>
      </c>
      <c r="V68" s="56">
        <f>PALPITES!AI67</f>
        <v>0</v>
      </c>
      <c r="W68" s="57" t="str">
        <f ca="1">IF(NOW() &lt; CALENDARIO!$K67, "🔒", PALPITES!AK67 &amp; " x " &amp; PALPITES!AL67)</f>
        <v>🔒</v>
      </c>
      <c r="X68" s="57">
        <f>PALPITES!AM67</f>
        <v>0</v>
      </c>
      <c r="Y68" s="56" t="str">
        <f ca="1">IF(NOW() &lt; CALENDARIO!$K67, "🔒", PALPITES!AO67 &amp; " x " &amp; PALPITES!AP67)</f>
        <v>🔒</v>
      </c>
      <c r="Z68" s="56">
        <f>PALPITES!AQ67</f>
        <v>0</v>
      </c>
      <c r="AA68" s="57" t="str">
        <f ca="1">IF(NOW() &lt; CALENDARIO!$K67, "🔒", PALPITES!AS67 &amp; " x " &amp; PALPITES!AT67)</f>
        <v>🔒</v>
      </c>
      <c r="AB68" s="57">
        <f>PALPITES!AU67</f>
        <v>0</v>
      </c>
      <c r="AC68" s="56" t="str">
        <f ca="1">IF(NOW() &lt; CALENDARIO!$K67, "🔒", PALPITES!AW67 &amp; " x " &amp; PALPITES!AX67)</f>
        <v>🔒</v>
      </c>
      <c r="AD68" s="56">
        <f>PALPITES!AY67</f>
        <v>0</v>
      </c>
      <c r="AE68" s="57" t="str">
        <f ca="1">IF(NOW() &lt; CALENDARIO!$K67, "🔒", PALPITES!BA67 &amp; " x " &amp; PALPITES!BB67)</f>
        <v>🔒</v>
      </c>
      <c r="AF68" s="57">
        <f>PALPITES!BC67</f>
        <v>0</v>
      </c>
      <c r="AG68" s="56" t="str">
        <f ca="1">IF(NOW() &lt; CALENDARIO!$K67, "🔒", PALPITES!BE67 &amp; " x " &amp; PALPITES!BF67)</f>
        <v>🔒</v>
      </c>
      <c r="AH68" s="56">
        <f>PALPITES!BG67</f>
        <v>0</v>
      </c>
      <c r="AI68" s="57" t="str">
        <f ca="1">IF(NOW() &lt; CALENDARIO!$K67, "🔒", PALPITES!BI67 &amp; " x " &amp; PALPITES!BJ67)</f>
        <v>🔒</v>
      </c>
      <c r="AJ68" s="57">
        <f>PALPITES!BK67</f>
        <v>0</v>
      </c>
    </row>
    <row r="69" spans="1:36" ht="12.75">
      <c r="A69" s="58">
        <f>CALENDARIO!A68</f>
        <v>67</v>
      </c>
      <c r="B69" s="59">
        <f>CALENDARIO!B68</f>
        <v>46200</v>
      </c>
      <c r="C69" s="60">
        <f>CALENDARIO!C68</f>
        <v>0.75</v>
      </c>
      <c r="D69" s="61" t="str">
        <f>CALENDARIO!D68</f>
        <v>Panamá</v>
      </c>
      <c r="E69" s="58">
        <f>CALENDARIO!E68</f>
        <v>0</v>
      </c>
      <c r="F69" s="58" t="str">
        <f>CALENDARIO!F68</f>
        <v>x</v>
      </c>
      <c r="G69" s="58">
        <f>CALENDARIO!G68</f>
        <v>0</v>
      </c>
      <c r="H69" s="61" t="str">
        <f>CALENDARIO!H68</f>
        <v>Inglaterra</v>
      </c>
      <c r="I69" s="56" t="str">
        <f ca="1">IF(NOW() &lt; CALENDARIO!$K68, "🔒", PALPITES!I68 &amp; " x " &amp; PALPITES!J68)</f>
        <v>🔒</v>
      </c>
      <c r="J69" s="56">
        <f>PALPITES!K68</f>
        <v>0</v>
      </c>
      <c r="K69" s="57" t="str">
        <f ca="1">IF(NOW() &lt; CALENDARIO!$K68, "🔒", PALPITES!M68 &amp; " x " &amp; PALPITES!N68)</f>
        <v>🔒</v>
      </c>
      <c r="L69" s="57">
        <f>PALPITES!O68</f>
        <v>0</v>
      </c>
      <c r="M69" s="56" t="str">
        <f ca="1">IF(NOW() &lt; CALENDARIO!$K68, "🔒", PALPITES!Q68 &amp; " x " &amp; PALPITES!R68)</f>
        <v>🔒</v>
      </c>
      <c r="N69" s="56">
        <f>PALPITES!S68</f>
        <v>0</v>
      </c>
      <c r="O69" s="57" t="str">
        <f ca="1">IF(NOW() &lt; CALENDARIO!$K68, "🔒", PALPITES!U68 &amp; " x " &amp; PALPITES!V68)</f>
        <v>🔒</v>
      </c>
      <c r="P69" s="57">
        <f>PALPITES!W68</f>
        <v>0</v>
      </c>
      <c r="Q69" s="56" t="str">
        <f ca="1">IF(NOW() &lt; CALENDARIO!$K68, "🔒", PALPITES!Y68 &amp; " x " &amp; PALPITES!Z68)</f>
        <v>🔒</v>
      </c>
      <c r="R69" s="56">
        <f>PALPITES!AA68</f>
        <v>0</v>
      </c>
      <c r="S69" s="57" t="str">
        <f ca="1">IF(NOW() &lt; CALENDARIO!$K68, "🔒", PALPITES!AC68 &amp; " x " &amp; PALPITES!AD68)</f>
        <v>🔒</v>
      </c>
      <c r="T69" s="57">
        <f>PALPITES!AE68</f>
        <v>0</v>
      </c>
      <c r="U69" s="56" t="str">
        <f ca="1">IF(NOW() &lt; CALENDARIO!$K68, "🔒", PALPITES!AG68 &amp; " x " &amp; PALPITES!AH68)</f>
        <v>🔒</v>
      </c>
      <c r="V69" s="56">
        <f>PALPITES!AI68</f>
        <v>0</v>
      </c>
      <c r="W69" s="57" t="str">
        <f ca="1">IF(NOW() &lt; CALENDARIO!$K68, "🔒", PALPITES!AK68 &amp; " x " &amp; PALPITES!AL68)</f>
        <v>🔒</v>
      </c>
      <c r="X69" s="57">
        <f>PALPITES!AM68</f>
        <v>0</v>
      </c>
      <c r="Y69" s="56" t="str">
        <f ca="1">IF(NOW() &lt; CALENDARIO!$K68, "🔒", PALPITES!AO68 &amp; " x " &amp; PALPITES!AP68)</f>
        <v>🔒</v>
      </c>
      <c r="Z69" s="56">
        <f>PALPITES!AQ68</f>
        <v>0</v>
      </c>
      <c r="AA69" s="57" t="str">
        <f ca="1">IF(NOW() &lt; CALENDARIO!$K68, "🔒", PALPITES!AS68 &amp; " x " &amp; PALPITES!AT68)</f>
        <v>🔒</v>
      </c>
      <c r="AB69" s="57">
        <f>PALPITES!AU68</f>
        <v>0</v>
      </c>
      <c r="AC69" s="56" t="str">
        <f ca="1">IF(NOW() &lt; CALENDARIO!$K68, "🔒", PALPITES!AW68 &amp; " x " &amp; PALPITES!AX68)</f>
        <v>🔒</v>
      </c>
      <c r="AD69" s="56">
        <f>PALPITES!AY68</f>
        <v>0</v>
      </c>
      <c r="AE69" s="57" t="str">
        <f ca="1">IF(NOW() &lt; CALENDARIO!$K68, "🔒", PALPITES!BA68 &amp; " x " &amp; PALPITES!BB68)</f>
        <v>🔒</v>
      </c>
      <c r="AF69" s="57">
        <f>PALPITES!BC68</f>
        <v>0</v>
      </c>
      <c r="AG69" s="56" t="str">
        <f ca="1">IF(NOW() &lt; CALENDARIO!$K68, "🔒", PALPITES!BE68 &amp; " x " &amp; PALPITES!BF68)</f>
        <v>🔒</v>
      </c>
      <c r="AH69" s="56">
        <f>PALPITES!BG68</f>
        <v>0</v>
      </c>
      <c r="AI69" s="57" t="str">
        <f ca="1">IF(NOW() &lt; CALENDARIO!$K68, "🔒", PALPITES!BI68 &amp; " x " &amp; PALPITES!BJ68)</f>
        <v>🔒</v>
      </c>
      <c r="AJ69" s="57">
        <f>PALPITES!BK68</f>
        <v>0</v>
      </c>
    </row>
    <row r="70" spans="1:36" ht="12.75">
      <c r="A70" s="58">
        <f>CALENDARIO!A69</f>
        <v>68</v>
      </c>
      <c r="B70" s="59">
        <f>CALENDARIO!B69</f>
        <v>46200</v>
      </c>
      <c r="C70" s="60">
        <f>CALENDARIO!C69</f>
        <v>0.75</v>
      </c>
      <c r="D70" s="61" t="str">
        <f>CALENDARIO!D69</f>
        <v>Croácia</v>
      </c>
      <c r="E70" s="58">
        <f>CALENDARIO!E69</f>
        <v>0</v>
      </c>
      <c r="F70" s="58" t="str">
        <f>CALENDARIO!F69</f>
        <v>x</v>
      </c>
      <c r="G70" s="58">
        <f>CALENDARIO!G69</f>
        <v>0</v>
      </c>
      <c r="H70" s="61" t="str">
        <f>CALENDARIO!H69</f>
        <v>Gana</v>
      </c>
      <c r="I70" s="56" t="str">
        <f ca="1">IF(NOW() &lt; CALENDARIO!$K69, "🔒", PALPITES!I69 &amp; " x " &amp; PALPITES!J69)</f>
        <v>🔒</v>
      </c>
      <c r="J70" s="56">
        <f>PALPITES!K69</f>
        <v>0</v>
      </c>
      <c r="K70" s="57" t="str">
        <f ca="1">IF(NOW() &lt; CALENDARIO!$K69, "🔒", PALPITES!M69 &amp; " x " &amp; PALPITES!N69)</f>
        <v>🔒</v>
      </c>
      <c r="L70" s="57">
        <f>PALPITES!O69</f>
        <v>0</v>
      </c>
      <c r="M70" s="56" t="str">
        <f ca="1">IF(NOW() &lt; CALENDARIO!$K69, "🔒", PALPITES!Q69 &amp; " x " &amp; PALPITES!R69)</f>
        <v>🔒</v>
      </c>
      <c r="N70" s="56">
        <f>PALPITES!S69</f>
        <v>0</v>
      </c>
      <c r="O70" s="57" t="str">
        <f ca="1">IF(NOW() &lt; CALENDARIO!$K69, "🔒", PALPITES!U69 &amp; " x " &amp; PALPITES!V69)</f>
        <v>🔒</v>
      </c>
      <c r="P70" s="57">
        <f>PALPITES!W69</f>
        <v>0</v>
      </c>
      <c r="Q70" s="56" t="str">
        <f ca="1">IF(NOW() &lt; CALENDARIO!$K69, "🔒", PALPITES!Y69 &amp; " x " &amp; PALPITES!Z69)</f>
        <v>🔒</v>
      </c>
      <c r="R70" s="56">
        <f>PALPITES!AA69</f>
        <v>0</v>
      </c>
      <c r="S70" s="57" t="str">
        <f ca="1">IF(NOW() &lt; CALENDARIO!$K69, "🔒", PALPITES!AC69 &amp; " x " &amp; PALPITES!AD69)</f>
        <v>🔒</v>
      </c>
      <c r="T70" s="57">
        <f>PALPITES!AE69</f>
        <v>0</v>
      </c>
      <c r="U70" s="56" t="str">
        <f ca="1">IF(NOW() &lt; CALENDARIO!$K69, "🔒", PALPITES!AG69 &amp; " x " &amp; PALPITES!AH69)</f>
        <v>🔒</v>
      </c>
      <c r="V70" s="56">
        <f>PALPITES!AI69</f>
        <v>0</v>
      </c>
      <c r="W70" s="57" t="str">
        <f ca="1">IF(NOW() &lt; CALENDARIO!$K69, "🔒", PALPITES!AK69 &amp; " x " &amp; PALPITES!AL69)</f>
        <v>🔒</v>
      </c>
      <c r="X70" s="57">
        <f>PALPITES!AM69</f>
        <v>0</v>
      </c>
      <c r="Y70" s="56" t="str">
        <f ca="1">IF(NOW() &lt; CALENDARIO!$K69, "🔒", PALPITES!AO69 &amp; " x " &amp; PALPITES!AP69)</f>
        <v>🔒</v>
      </c>
      <c r="Z70" s="56">
        <f>PALPITES!AQ69</f>
        <v>0</v>
      </c>
      <c r="AA70" s="57" t="str">
        <f ca="1">IF(NOW() &lt; CALENDARIO!$K69, "🔒", PALPITES!AS69 &amp; " x " &amp; PALPITES!AT69)</f>
        <v>🔒</v>
      </c>
      <c r="AB70" s="57">
        <f>PALPITES!AU69</f>
        <v>0</v>
      </c>
      <c r="AC70" s="56" t="str">
        <f ca="1">IF(NOW() &lt; CALENDARIO!$K69, "🔒", PALPITES!AW69 &amp; " x " &amp; PALPITES!AX69)</f>
        <v>🔒</v>
      </c>
      <c r="AD70" s="56">
        <f>PALPITES!AY69</f>
        <v>0</v>
      </c>
      <c r="AE70" s="57" t="str">
        <f ca="1">IF(NOW() &lt; CALENDARIO!$K69, "🔒", PALPITES!BA69 &amp; " x " &amp; PALPITES!BB69)</f>
        <v>🔒</v>
      </c>
      <c r="AF70" s="57">
        <f>PALPITES!BC69</f>
        <v>0</v>
      </c>
      <c r="AG70" s="56" t="str">
        <f ca="1">IF(NOW() &lt; CALENDARIO!$K69, "🔒", PALPITES!BE69 &amp; " x " &amp; PALPITES!BF69)</f>
        <v>🔒</v>
      </c>
      <c r="AH70" s="56">
        <f>PALPITES!BG69</f>
        <v>0</v>
      </c>
      <c r="AI70" s="57" t="str">
        <f ca="1">IF(NOW() &lt; CALENDARIO!$K69, "🔒", PALPITES!BI69 &amp; " x " &amp; PALPITES!BJ69)</f>
        <v>🔒</v>
      </c>
      <c r="AJ70" s="57">
        <f>PALPITES!BK69</f>
        <v>0</v>
      </c>
    </row>
    <row r="71" spans="1:36" ht="12.75">
      <c r="A71" s="58">
        <f>CALENDARIO!A70</f>
        <v>69</v>
      </c>
      <c r="B71" s="59">
        <f>CALENDARIO!B70</f>
        <v>46200</v>
      </c>
      <c r="C71" s="60">
        <f>CALENDARIO!C70</f>
        <v>0.85416666666666663</v>
      </c>
      <c r="D71" s="61" t="str">
        <f>CALENDARIO!D70</f>
        <v>Colômbia</v>
      </c>
      <c r="E71" s="58">
        <f>CALENDARIO!E70</f>
        <v>0</v>
      </c>
      <c r="F71" s="58" t="str">
        <f>CALENDARIO!F70</f>
        <v>x</v>
      </c>
      <c r="G71" s="58">
        <f>CALENDARIO!G70</f>
        <v>0</v>
      </c>
      <c r="H71" s="61" t="str">
        <f>CALENDARIO!H70</f>
        <v>Portugal</v>
      </c>
      <c r="I71" s="56" t="str">
        <f ca="1">IF(NOW() &lt; CALENDARIO!$K70, "🔒", PALPITES!I70 &amp; " x " &amp; PALPITES!J70)</f>
        <v>🔒</v>
      </c>
      <c r="J71" s="56">
        <f>PALPITES!K70</f>
        <v>0</v>
      </c>
      <c r="K71" s="57" t="str">
        <f ca="1">IF(NOW() &lt; CALENDARIO!$K70, "🔒", PALPITES!M70 &amp; " x " &amp; PALPITES!N70)</f>
        <v>🔒</v>
      </c>
      <c r="L71" s="57">
        <f>PALPITES!O70</f>
        <v>0</v>
      </c>
      <c r="M71" s="56" t="str">
        <f ca="1">IF(NOW() &lt; CALENDARIO!$K70, "🔒", PALPITES!Q70 &amp; " x " &amp; PALPITES!R70)</f>
        <v>🔒</v>
      </c>
      <c r="N71" s="56">
        <f>PALPITES!S70</f>
        <v>0</v>
      </c>
      <c r="O71" s="57" t="str">
        <f ca="1">IF(NOW() &lt; CALENDARIO!$K70, "🔒", PALPITES!U70 &amp; " x " &amp; PALPITES!V70)</f>
        <v>🔒</v>
      </c>
      <c r="P71" s="57">
        <f>PALPITES!W70</f>
        <v>0</v>
      </c>
      <c r="Q71" s="56" t="str">
        <f ca="1">IF(NOW() &lt; CALENDARIO!$K70, "🔒", PALPITES!Y70 &amp; " x " &amp; PALPITES!Z70)</f>
        <v>🔒</v>
      </c>
      <c r="R71" s="56">
        <f>PALPITES!AA70</f>
        <v>0</v>
      </c>
      <c r="S71" s="57" t="str">
        <f ca="1">IF(NOW() &lt; CALENDARIO!$K70, "🔒", PALPITES!AC70 &amp; " x " &amp; PALPITES!AD70)</f>
        <v>🔒</v>
      </c>
      <c r="T71" s="57">
        <f>PALPITES!AE70</f>
        <v>0</v>
      </c>
      <c r="U71" s="56" t="str">
        <f ca="1">IF(NOW() &lt; CALENDARIO!$K70, "🔒", PALPITES!AG70 &amp; " x " &amp; PALPITES!AH70)</f>
        <v>🔒</v>
      </c>
      <c r="V71" s="56">
        <f>PALPITES!AI70</f>
        <v>0</v>
      </c>
      <c r="W71" s="57" t="str">
        <f ca="1">IF(NOW() &lt; CALENDARIO!$K70, "🔒", PALPITES!AK70 &amp; " x " &amp; PALPITES!AL70)</f>
        <v>🔒</v>
      </c>
      <c r="X71" s="57">
        <f>PALPITES!AM70</f>
        <v>0</v>
      </c>
      <c r="Y71" s="56" t="str">
        <f ca="1">IF(NOW() &lt; CALENDARIO!$K70, "🔒", PALPITES!AO70 &amp; " x " &amp; PALPITES!AP70)</f>
        <v>🔒</v>
      </c>
      <c r="Z71" s="56">
        <f>PALPITES!AQ70</f>
        <v>0</v>
      </c>
      <c r="AA71" s="57" t="str">
        <f ca="1">IF(NOW() &lt; CALENDARIO!$K70, "🔒", PALPITES!AS70 &amp; " x " &amp; PALPITES!AT70)</f>
        <v>🔒</v>
      </c>
      <c r="AB71" s="57">
        <f>PALPITES!AU70</f>
        <v>0</v>
      </c>
      <c r="AC71" s="56" t="str">
        <f ca="1">IF(NOW() &lt; CALENDARIO!$K70, "🔒", PALPITES!AW70 &amp; " x " &amp; PALPITES!AX70)</f>
        <v>🔒</v>
      </c>
      <c r="AD71" s="56">
        <f>PALPITES!AY70</f>
        <v>0</v>
      </c>
      <c r="AE71" s="57" t="str">
        <f ca="1">IF(NOW() &lt; CALENDARIO!$K70, "🔒", PALPITES!BA70 &amp; " x " &amp; PALPITES!BB70)</f>
        <v>🔒</v>
      </c>
      <c r="AF71" s="57">
        <f>PALPITES!BC70</f>
        <v>0</v>
      </c>
      <c r="AG71" s="56" t="str">
        <f ca="1">IF(NOW() &lt; CALENDARIO!$K70, "🔒", PALPITES!BE70 &amp; " x " &amp; PALPITES!BF70)</f>
        <v>🔒</v>
      </c>
      <c r="AH71" s="56">
        <f>PALPITES!BG70</f>
        <v>0</v>
      </c>
      <c r="AI71" s="57" t="str">
        <f ca="1">IF(NOW() &lt; CALENDARIO!$K70, "🔒", PALPITES!BI70 &amp; " x " &amp; PALPITES!BJ70)</f>
        <v>🔒</v>
      </c>
      <c r="AJ71" s="57">
        <f>PALPITES!BK70</f>
        <v>0</v>
      </c>
    </row>
    <row r="72" spans="1:36" ht="12.75">
      <c r="A72" s="58">
        <f>CALENDARIO!A71</f>
        <v>70</v>
      </c>
      <c r="B72" s="59">
        <f>CALENDARIO!B71</f>
        <v>46200</v>
      </c>
      <c r="C72" s="60">
        <f>CALENDARIO!C71</f>
        <v>0.85416666666666663</v>
      </c>
      <c r="D72" s="61" t="str">
        <f>CALENDARIO!D71</f>
        <v>Rep. Dem. do Congo</v>
      </c>
      <c r="E72" s="58">
        <f>CALENDARIO!E71</f>
        <v>0</v>
      </c>
      <c r="F72" s="58" t="str">
        <f>CALENDARIO!F71</f>
        <v>x</v>
      </c>
      <c r="G72" s="58">
        <f>CALENDARIO!G71</f>
        <v>0</v>
      </c>
      <c r="H72" s="61" t="str">
        <f>CALENDARIO!H71</f>
        <v>Uzbequistão</v>
      </c>
      <c r="I72" s="56" t="str">
        <f ca="1">IF(NOW() &lt; CALENDARIO!$K71, "🔒", PALPITES!I71 &amp; " x " &amp; PALPITES!J71)</f>
        <v>🔒</v>
      </c>
      <c r="J72" s="56">
        <f>PALPITES!K71</f>
        <v>0</v>
      </c>
      <c r="K72" s="57" t="str">
        <f ca="1">IF(NOW() &lt; CALENDARIO!$K71, "🔒", PALPITES!M71 &amp; " x " &amp; PALPITES!N71)</f>
        <v>🔒</v>
      </c>
      <c r="L72" s="57">
        <f>PALPITES!O71</f>
        <v>0</v>
      </c>
      <c r="M72" s="56" t="str">
        <f ca="1">IF(NOW() &lt; CALENDARIO!$K71, "🔒", PALPITES!Q71 &amp; " x " &amp; PALPITES!R71)</f>
        <v>🔒</v>
      </c>
      <c r="N72" s="56">
        <f>PALPITES!S71</f>
        <v>0</v>
      </c>
      <c r="O72" s="57" t="str">
        <f ca="1">IF(NOW() &lt; CALENDARIO!$K71, "🔒", PALPITES!U71 &amp; " x " &amp; PALPITES!V71)</f>
        <v>🔒</v>
      </c>
      <c r="P72" s="57">
        <f>PALPITES!W71</f>
        <v>0</v>
      </c>
      <c r="Q72" s="56" t="str">
        <f ca="1">IF(NOW() &lt; CALENDARIO!$K71, "🔒", PALPITES!Y71 &amp; " x " &amp; PALPITES!Z71)</f>
        <v>🔒</v>
      </c>
      <c r="R72" s="56">
        <f>PALPITES!AA71</f>
        <v>0</v>
      </c>
      <c r="S72" s="57" t="str">
        <f ca="1">IF(NOW() &lt; CALENDARIO!$K71, "🔒", PALPITES!AC71 &amp; " x " &amp; PALPITES!AD71)</f>
        <v>🔒</v>
      </c>
      <c r="T72" s="57">
        <f>PALPITES!AE71</f>
        <v>0</v>
      </c>
      <c r="U72" s="56" t="str">
        <f ca="1">IF(NOW() &lt; CALENDARIO!$K71, "🔒", PALPITES!AG71 &amp; " x " &amp; PALPITES!AH71)</f>
        <v>🔒</v>
      </c>
      <c r="V72" s="56">
        <f>PALPITES!AI71</f>
        <v>0</v>
      </c>
      <c r="W72" s="57" t="str">
        <f ca="1">IF(NOW() &lt; CALENDARIO!$K71, "🔒", PALPITES!AK71 &amp; " x " &amp; PALPITES!AL71)</f>
        <v>🔒</v>
      </c>
      <c r="X72" s="57">
        <f>PALPITES!AM71</f>
        <v>0</v>
      </c>
      <c r="Y72" s="56" t="str">
        <f ca="1">IF(NOW() &lt; CALENDARIO!$K71, "🔒", PALPITES!AO71 &amp; " x " &amp; PALPITES!AP71)</f>
        <v>🔒</v>
      </c>
      <c r="Z72" s="56">
        <f>PALPITES!AQ71</f>
        <v>0</v>
      </c>
      <c r="AA72" s="57" t="str">
        <f ca="1">IF(NOW() &lt; CALENDARIO!$K71, "🔒", PALPITES!AS71 &amp; " x " &amp; PALPITES!AT71)</f>
        <v>🔒</v>
      </c>
      <c r="AB72" s="57">
        <f>PALPITES!AU71</f>
        <v>0</v>
      </c>
      <c r="AC72" s="56" t="str">
        <f ca="1">IF(NOW() &lt; CALENDARIO!$K71, "🔒", PALPITES!AW71 &amp; " x " &amp; PALPITES!AX71)</f>
        <v>🔒</v>
      </c>
      <c r="AD72" s="56">
        <f>PALPITES!AY71</f>
        <v>0</v>
      </c>
      <c r="AE72" s="57" t="str">
        <f ca="1">IF(NOW() &lt; CALENDARIO!$K71, "🔒", PALPITES!BA71 &amp; " x " &amp; PALPITES!BB71)</f>
        <v>🔒</v>
      </c>
      <c r="AF72" s="57">
        <f>PALPITES!BC71</f>
        <v>0</v>
      </c>
      <c r="AG72" s="56" t="str">
        <f ca="1">IF(NOW() &lt; CALENDARIO!$K71, "🔒", PALPITES!BE71 &amp; " x " &amp; PALPITES!BF71)</f>
        <v>🔒</v>
      </c>
      <c r="AH72" s="56">
        <f>PALPITES!BG71</f>
        <v>0</v>
      </c>
      <c r="AI72" s="57" t="str">
        <f ca="1">IF(NOW() &lt; CALENDARIO!$K71, "🔒", PALPITES!BI71 &amp; " x " &amp; PALPITES!BJ71)</f>
        <v>🔒</v>
      </c>
      <c r="AJ72" s="57">
        <f>PALPITES!BK71</f>
        <v>0</v>
      </c>
    </row>
    <row r="73" spans="1:36" ht="12.75">
      <c r="A73" s="58">
        <f>CALENDARIO!A72</f>
        <v>71</v>
      </c>
      <c r="B73" s="59">
        <f>CALENDARIO!B72</f>
        <v>46200</v>
      </c>
      <c r="C73" s="60">
        <f>CALENDARIO!C72</f>
        <v>0.95833333333333337</v>
      </c>
      <c r="D73" s="61" t="str">
        <f>CALENDARIO!D72</f>
        <v>Argélia</v>
      </c>
      <c r="E73" s="58">
        <f>CALENDARIO!E72</f>
        <v>0</v>
      </c>
      <c r="F73" s="58" t="str">
        <f>CALENDARIO!F72</f>
        <v>x</v>
      </c>
      <c r="G73" s="58">
        <f>CALENDARIO!G72</f>
        <v>0</v>
      </c>
      <c r="H73" s="61" t="str">
        <f>CALENDARIO!H72</f>
        <v>Áustria</v>
      </c>
      <c r="I73" s="56" t="str">
        <f ca="1">IF(NOW() &lt; CALENDARIO!$K72, "🔒", PALPITES!I72 &amp; " x " &amp; PALPITES!J72)</f>
        <v>🔒</v>
      </c>
      <c r="J73" s="56">
        <f>PALPITES!K72</f>
        <v>0</v>
      </c>
      <c r="K73" s="57" t="str">
        <f ca="1">IF(NOW() &lt; CALENDARIO!$K72, "🔒", PALPITES!M72 &amp; " x " &amp; PALPITES!N72)</f>
        <v>🔒</v>
      </c>
      <c r="L73" s="57">
        <f>PALPITES!O72</f>
        <v>0</v>
      </c>
      <c r="M73" s="56" t="str">
        <f ca="1">IF(NOW() &lt; CALENDARIO!$K72, "🔒", PALPITES!Q72 &amp; " x " &amp; PALPITES!R72)</f>
        <v>🔒</v>
      </c>
      <c r="N73" s="56">
        <f>PALPITES!S72</f>
        <v>0</v>
      </c>
      <c r="O73" s="57" t="str">
        <f ca="1">IF(NOW() &lt; CALENDARIO!$K72, "🔒", PALPITES!U72 &amp; " x " &amp; PALPITES!V72)</f>
        <v>🔒</v>
      </c>
      <c r="P73" s="57">
        <f>PALPITES!W72</f>
        <v>0</v>
      </c>
      <c r="Q73" s="56" t="str">
        <f ca="1">IF(NOW() &lt; CALENDARIO!$K72, "🔒", PALPITES!Y72 &amp; " x " &amp; PALPITES!Z72)</f>
        <v>🔒</v>
      </c>
      <c r="R73" s="56">
        <f>PALPITES!AA72</f>
        <v>0</v>
      </c>
      <c r="S73" s="57" t="str">
        <f ca="1">IF(NOW() &lt; CALENDARIO!$K72, "🔒", PALPITES!AC72 &amp; " x " &amp; PALPITES!AD72)</f>
        <v>🔒</v>
      </c>
      <c r="T73" s="57">
        <f>PALPITES!AE72</f>
        <v>0</v>
      </c>
      <c r="U73" s="56" t="str">
        <f ca="1">IF(NOW() &lt; CALENDARIO!$K72, "🔒", PALPITES!AG72 &amp; " x " &amp; PALPITES!AH72)</f>
        <v>🔒</v>
      </c>
      <c r="V73" s="56">
        <f>PALPITES!AI72</f>
        <v>0</v>
      </c>
      <c r="W73" s="57" t="str">
        <f ca="1">IF(NOW() &lt; CALENDARIO!$K72, "🔒", PALPITES!AK72 &amp; " x " &amp; PALPITES!AL72)</f>
        <v>🔒</v>
      </c>
      <c r="X73" s="57">
        <f>PALPITES!AM72</f>
        <v>0</v>
      </c>
      <c r="Y73" s="56" t="str">
        <f ca="1">IF(NOW() &lt; CALENDARIO!$K72, "🔒", PALPITES!AO72 &amp; " x " &amp; PALPITES!AP72)</f>
        <v>🔒</v>
      </c>
      <c r="Z73" s="56">
        <f>PALPITES!AQ72</f>
        <v>0</v>
      </c>
      <c r="AA73" s="57" t="str">
        <f ca="1">IF(NOW() &lt; CALENDARIO!$K72, "🔒", PALPITES!AS72 &amp; " x " &amp; PALPITES!AT72)</f>
        <v>🔒</v>
      </c>
      <c r="AB73" s="57">
        <f>PALPITES!AU72</f>
        <v>0</v>
      </c>
      <c r="AC73" s="56" t="str">
        <f ca="1">IF(NOW() &lt; CALENDARIO!$K72, "🔒", PALPITES!AW72 &amp; " x " &amp; PALPITES!AX72)</f>
        <v>🔒</v>
      </c>
      <c r="AD73" s="56">
        <f>PALPITES!AY72</f>
        <v>0</v>
      </c>
      <c r="AE73" s="57" t="str">
        <f ca="1">IF(NOW() &lt; CALENDARIO!$K72, "🔒", PALPITES!BA72 &amp; " x " &amp; PALPITES!BB72)</f>
        <v>🔒</v>
      </c>
      <c r="AF73" s="57">
        <f>PALPITES!BC72</f>
        <v>0</v>
      </c>
      <c r="AG73" s="56" t="str">
        <f ca="1">IF(NOW() &lt; CALENDARIO!$K72, "🔒", PALPITES!BE72 &amp; " x " &amp; PALPITES!BF72)</f>
        <v>🔒</v>
      </c>
      <c r="AH73" s="56">
        <f>PALPITES!BG72</f>
        <v>0</v>
      </c>
      <c r="AI73" s="57" t="str">
        <f ca="1">IF(NOW() &lt; CALENDARIO!$K72, "🔒", PALPITES!BI72 &amp; " x " &amp; PALPITES!BJ72)</f>
        <v>🔒</v>
      </c>
      <c r="AJ73" s="57">
        <f>PALPITES!BK72</f>
        <v>0</v>
      </c>
    </row>
    <row r="74" spans="1:36" ht="12.75">
      <c r="A74" s="58">
        <f>CALENDARIO!A73</f>
        <v>72</v>
      </c>
      <c r="B74" s="59">
        <f>CALENDARIO!B73</f>
        <v>46200</v>
      </c>
      <c r="C74" s="60">
        <f>CALENDARIO!C73</f>
        <v>0.95833333333333337</v>
      </c>
      <c r="D74" s="61" t="str">
        <f>CALENDARIO!D73</f>
        <v>Jordânia</v>
      </c>
      <c r="E74" s="58">
        <f>CALENDARIO!E73</f>
        <v>0</v>
      </c>
      <c r="F74" s="58" t="str">
        <f>CALENDARIO!F73</f>
        <v>x</v>
      </c>
      <c r="G74" s="58">
        <f>CALENDARIO!G73</f>
        <v>0</v>
      </c>
      <c r="H74" s="61" t="str">
        <f>CALENDARIO!H73</f>
        <v>Argentina</v>
      </c>
      <c r="I74" s="56" t="str">
        <f ca="1">IF(NOW() &lt; CALENDARIO!$K73, "🔒", PALPITES!I73 &amp; " x " &amp; PALPITES!J73)</f>
        <v>🔒</v>
      </c>
      <c r="J74" s="56">
        <f>PALPITES!K73</f>
        <v>0</v>
      </c>
      <c r="K74" s="57" t="str">
        <f ca="1">IF(NOW() &lt; CALENDARIO!$K73, "🔒", PALPITES!M73 &amp; " x " &amp; PALPITES!N73)</f>
        <v>🔒</v>
      </c>
      <c r="L74" s="57">
        <f>PALPITES!O73</f>
        <v>0</v>
      </c>
      <c r="M74" s="56" t="str">
        <f ca="1">IF(NOW() &lt; CALENDARIO!$K73, "🔒", PALPITES!Q73 &amp; " x " &amp; PALPITES!R73)</f>
        <v>🔒</v>
      </c>
      <c r="N74" s="56">
        <f>PALPITES!S73</f>
        <v>0</v>
      </c>
      <c r="O74" s="57" t="str">
        <f ca="1">IF(NOW() &lt; CALENDARIO!$K73, "🔒", PALPITES!U73 &amp; " x " &amp; PALPITES!V73)</f>
        <v>🔒</v>
      </c>
      <c r="P74" s="57">
        <f>PALPITES!W73</f>
        <v>0</v>
      </c>
      <c r="Q74" s="56" t="str">
        <f ca="1">IF(NOW() &lt; CALENDARIO!$K73, "🔒", PALPITES!Y73 &amp; " x " &amp; PALPITES!Z73)</f>
        <v>🔒</v>
      </c>
      <c r="R74" s="56">
        <f>PALPITES!AA73</f>
        <v>0</v>
      </c>
      <c r="S74" s="57" t="str">
        <f ca="1">IF(NOW() &lt; CALENDARIO!$K73, "🔒", PALPITES!AC73 &amp; " x " &amp; PALPITES!AD73)</f>
        <v>🔒</v>
      </c>
      <c r="T74" s="57">
        <f>PALPITES!AE73</f>
        <v>0</v>
      </c>
      <c r="U74" s="56" t="str">
        <f ca="1">IF(NOW() &lt; CALENDARIO!$K73, "🔒", PALPITES!AG73 &amp; " x " &amp; PALPITES!AH73)</f>
        <v>🔒</v>
      </c>
      <c r="V74" s="56">
        <f>PALPITES!AI73</f>
        <v>0</v>
      </c>
      <c r="W74" s="57" t="str">
        <f ca="1">IF(NOW() &lt; CALENDARIO!$K73, "🔒", PALPITES!AK73 &amp; " x " &amp; PALPITES!AL73)</f>
        <v>🔒</v>
      </c>
      <c r="X74" s="57">
        <f>PALPITES!AM73</f>
        <v>0</v>
      </c>
      <c r="Y74" s="56" t="str">
        <f ca="1">IF(NOW() &lt; CALENDARIO!$K73, "🔒", PALPITES!AO73 &amp; " x " &amp; PALPITES!AP73)</f>
        <v>🔒</v>
      </c>
      <c r="Z74" s="56">
        <f>PALPITES!AQ73</f>
        <v>0</v>
      </c>
      <c r="AA74" s="57" t="str">
        <f ca="1">IF(NOW() &lt; CALENDARIO!$K73, "🔒", PALPITES!AS73 &amp; " x " &amp; PALPITES!AT73)</f>
        <v>🔒</v>
      </c>
      <c r="AB74" s="57">
        <f>PALPITES!AU73</f>
        <v>0</v>
      </c>
      <c r="AC74" s="56" t="str">
        <f ca="1">IF(NOW() &lt; CALENDARIO!$K73, "🔒", PALPITES!AW73 &amp; " x " &amp; PALPITES!AX73)</f>
        <v>🔒</v>
      </c>
      <c r="AD74" s="56">
        <f>PALPITES!AY73</f>
        <v>0</v>
      </c>
      <c r="AE74" s="57" t="str">
        <f ca="1">IF(NOW() &lt; CALENDARIO!$K73, "🔒", PALPITES!BA73 &amp; " x " &amp; PALPITES!BB73)</f>
        <v>🔒</v>
      </c>
      <c r="AF74" s="57">
        <f>PALPITES!BC73</f>
        <v>0</v>
      </c>
      <c r="AG74" s="56" t="str">
        <f ca="1">IF(NOW() &lt; CALENDARIO!$K73, "🔒", PALPITES!BE73 &amp; " x " &amp; PALPITES!BF73)</f>
        <v>🔒</v>
      </c>
      <c r="AH74" s="56">
        <f>PALPITES!BG73</f>
        <v>0</v>
      </c>
      <c r="AI74" s="57" t="str">
        <f ca="1">IF(NOW() &lt; CALENDARIO!$K73, "🔒", PALPITES!BI73 &amp; " x " &amp; PALPITES!BJ73)</f>
        <v>🔒</v>
      </c>
      <c r="AJ74" s="57">
        <f>PALPITES!BK73</f>
        <v>0</v>
      </c>
    </row>
    <row r="75" spans="1:36" ht="12.75">
      <c r="A75" s="58">
        <f>CALENDARIO!A74</f>
        <v>73</v>
      </c>
      <c r="B75" s="59">
        <f>CALENDARIO!B74</f>
        <v>46201</v>
      </c>
      <c r="C75" s="60">
        <f>CALENDARIO!C74</f>
        <v>0.66666666666666663</v>
      </c>
      <c r="D75" s="61" t="str">
        <f>CALENDARIO!D74</f>
        <v>2º colocado Grupo A</v>
      </c>
      <c r="E75" s="58">
        <f>CALENDARIO!E74</f>
        <v>0</v>
      </c>
      <c r="F75" s="58" t="str">
        <f>CALENDARIO!F74</f>
        <v>x</v>
      </c>
      <c r="G75" s="58">
        <f>CALENDARIO!G74</f>
        <v>0</v>
      </c>
      <c r="H75" s="61" t="str">
        <f>CALENDARIO!H74</f>
        <v>2º colocado Grupo B</v>
      </c>
      <c r="I75" s="56" t="str">
        <f ca="1">IF(NOW() &lt; CALENDARIO!$K74, "🔒", PALPITES!I74 &amp; " x " &amp; PALPITES!J74)</f>
        <v>🔒</v>
      </c>
      <c r="J75" s="56">
        <f>PALPITES!K74</f>
        <v>0</v>
      </c>
      <c r="K75" s="57" t="str">
        <f ca="1">IF(NOW() &lt; CALENDARIO!$K74, "🔒", PALPITES!M74 &amp; " x " &amp; PALPITES!N74)</f>
        <v>🔒</v>
      </c>
      <c r="L75" s="57">
        <f>PALPITES!O74</f>
        <v>0</v>
      </c>
      <c r="M75" s="56" t="str">
        <f ca="1">IF(NOW() &lt; CALENDARIO!$K74, "🔒", PALPITES!Q74 &amp; " x " &amp; PALPITES!R74)</f>
        <v>🔒</v>
      </c>
      <c r="N75" s="56">
        <f>PALPITES!S74</f>
        <v>0</v>
      </c>
      <c r="O75" s="57" t="str">
        <f ca="1">IF(NOW() &lt; CALENDARIO!$K74, "🔒", PALPITES!U74 &amp; " x " &amp; PALPITES!V74)</f>
        <v>🔒</v>
      </c>
      <c r="P75" s="57">
        <f>PALPITES!W74</f>
        <v>0</v>
      </c>
      <c r="Q75" s="56" t="str">
        <f ca="1">IF(NOW() &lt; CALENDARIO!$K74, "🔒", PALPITES!Y74 &amp; " x " &amp; PALPITES!Z74)</f>
        <v>🔒</v>
      </c>
      <c r="R75" s="56">
        <f>PALPITES!AA74</f>
        <v>0</v>
      </c>
      <c r="S75" s="57" t="str">
        <f ca="1">IF(NOW() &lt; CALENDARIO!$K74, "🔒", PALPITES!AC74 &amp; " x " &amp; PALPITES!AD74)</f>
        <v>🔒</v>
      </c>
      <c r="T75" s="57">
        <f>PALPITES!AE74</f>
        <v>0</v>
      </c>
      <c r="U75" s="56" t="str">
        <f ca="1">IF(NOW() &lt; CALENDARIO!$K74, "🔒", PALPITES!AG74 &amp; " x " &amp; PALPITES!AH74)</f>
        <v>🔒</v>
      </c>
      <c r="V75" s="56">
        <f>PALPITES!AI74</f>
        <v>0</v>
      </c>
      <c r="W75" s="57" t="str">
        <f ca="1">IF(NOW() &lt; CALENDARIO!$K74, "🔒", PALPITES!AK74 &amp; " x " &amp; PALPITES!AL74)</f>
        <v>🔒</v>
      </c>
      <c r="X75" s="57">
        <f>PALPITES!AM74</f>
        <v>0</v>
      </c>
      <c r="Y75" s="56" t="str">
        <f ca="1">IF(NOW() &lt; CALENDARIO!$K74, "🔒", PALPITES!AO74 &amp; " x " &amp; PALPITES!AP74)</f>
        <v>🔒</v>
      </c>
      <c r="Z75" s="56">
        <f>PALPITES!AQ74</f>
        <v>0</v>
      </c>
      <c r="AA75" s="57" t="str">
        <f ca="1">IF(NOW() &lt; CALENDARIO!$K74, "🔒", PALPITES!AS74 &amp; " x " &amp; PALPITES!AT74)</f>
        <v>🔒</v>
      </c>
      <c r="AB75" s="57">
        <f>PALPITES!AU74</f>
        <v>0</v>
      </c>
      <c r="AC75" s="56" t="str">
        <f ca="1">IF(NOW() &lt; CALENDARIO!$K74, "🔒", PALPITES!AW74 &amp; " x " &amp; PALPITES!AX74)</f>
        <v>🔒</v>
      </c>
      <c r="AD75" s="56">
        <f>PALPITES!AY74</f>
        <v>0</v>
      </c>
      <c r="AE75" s="57" t="str">
        <f ca="1">IF(NOW() &lt; CALENDARIO!$K74, "🔒", PALPITES!BA74 &amp; " x " &amp; PALPITES!BB74)</f>
        <v>🔒</v>
      </c>
      <c r="AF75" s="57">
        <f>PALPITES!BC74</f>
        <v>0</v>
      </c>
      <c r="AG75" s="56" t="str">
        <f ca="1">IF(NOW() &lt; CALENDARIO!$K74, "🔒", PALPITES!BE74 &amp; " x " &amp; PALPITES!BF74)</f>
        <v>🔒</v>
      </c>
      <c r="AH75" s="56">
        <f>PALPITES!BG74</f>
        <v>0</v>
      </c>
      <c r="AI75" s="57" t="str">
        <f ca="1">IF(NOW() &lt; CALENDARIO!$K74, "🔒", PALPITES!BI74 &amp; " x " &amp; PALPITES!BJ74)</f>
        <v>🔒</v>
      </c>
      <c r="AJ75" s="57">
        <f>PALPITES!BK74</f>
        <v>0</v>
      </c>
    </row>
    <row r="76" spans="1:36" ht="12.75">
      <c r="A76" s="58">
        <f>CALENDARIO!A75</f>
        <v>74</v>
      </c>
      <c r="B76" s="59">
        <f>CALENDARIO!B75</f>
        <v>46202</v>
      </c>
      <c r="C76" s="60">
        <f>CALENDARIO!C75</f>
        <v>0.72916666666666663</v>
      </c>
      <c r="D76" s="61" t="str">
        <f>CALENDARIO!D75</f>
        <v>Vencedor Grupo E</v>
      </c>
      <c r="E76" s="58">
        <f>CALENDARIO!E75</f>
        <v>0</v>
      </c>
      <c r="F76" s="58" t="str">
        <f>CALENDARIO!F75</f>
        <v>x</v>
      </c>
      <c r="G76" s="58">
        <f>CALENDARIO!G75</f>
        <v>0</v>
      </c>
      <c r="H76" s="61" t="str">
        <f>CALENDARIO!H75</f>
        <v>3º colocado Grupos A/B/C/D/F</v>
      </c>
      <c r="I76" s="56" t="str">
        <f ca="1">IF(NOW() &lt; CALENDARIO!$K75, "🔒", PALPITES!I75 &amp; " x " &amp; PALPITES!J75)</f>
        <v>🔒</v>
      </c>
      <c r="J76" s="56">
        <f>PALPITES!K75</f>
        <v>0</v>
      </c>
      <c r="K76" s="57" t="str">
        <f ca="1">IF(NOW() &lt; CALENDARIO!$K75, "🔒", PALPITES!M75 &amp; " x " &amp; PALPITES!N75)</f>
        <v>🔒</v>
      </c>
      <c r="L76" s="57">
        <f>PALPITES!O75</f>
        <v>0</v>
      </c>
      <c r="M76" s="56" t="str">
        <f ca="1">IF(NOW() &lt; CALENDARIO!$K75, "🔒", PALPITES!Q75 &amp; " x " &amp; PALPITES!R75)</f>
        <v>🔒</v>
      </c>
      <c r="N76" s="56">
        <f>PALPITES!S75</f>
        <v>0</v>
      </c>
      <c r="O76" s="57" t="str">
        <f ca="1">IF(NOW() &lt; CALENDARIO!$K75, "🔒", PALPITES!U75 &amp; " x " &amp; PALPITES!V75)</f>
        <v>🔒</v>
      </c>
      <c r="P76" s="57">
        <f>PALPITES!W75</f>
        <v>0</v>
      </c>
      <c r="Q76" s="56" t="str">
        <f ca="1">IF(NOW() &lt; CALENDARIO!$K75, "🔒", PALPITES!Y75 &amp; " x " &amp; PALPITES!Z75)</f>
        <v>🔒</v>
      </c>
      <c r="R76" s="56">
        <f>PALPITES!AA75</f>
        <v>0</v>
      </c>
      <c r="S76" s="57" t="str">
        <f ca="1">IF(NOW() &lt; CALENDARIO!$K75, "🔒", PALPITES!AC75 &amp; " x " &amp; PALPITES!AD75)</f>
        <v>🔒</v>
      </c>
      <c r="T76" s="57">
        <f>PALPITES!AE75</f>
        <v>0</v>
      </c>
      <c r="U76" s="56" t="str">
        <f ca="1">IF(NOW() &lt; CALENDARIO!$K75, "🔒", PALPITES!AG75 &amp; " x " &amp; PALPITES!AH75)</f>
        <v>🔒</v>
      </c>
      <c r="V76" s="56">
        <f>PALPITES!AI75</f>
        <v>0</v>
      </c>
      <c r="W76" s="57" t="str">
        <f ca="1">IF(NOW() &lt; CALENDARIO!$K75, "🔒", PALPITES!AK75 &amp; " x " &amp; PALPITES!AL75)</f>
        <v>🔒</v>
      </c>
      <c r="X76" s="57">
        <f>PALPITES!AM75</f>
        <v>0</v>
      </c>
      <c r="Y76" s="56" t="str">
        <f ca="1">IF(NOW() &lt; CALENDARIO!$K75, "🔒", PALPITES!AO75 &amp; " x " &amp; PALPITES!AP75)</f>
        <v>🔒</v>
      </c>
      <c r="Z76" s="56">
        <f>PALPITES!AQ75</f>
        <v>0</v>
      </c>
      <c r="AA76" s="57" t="str">
        <f ca="1">IF(NOW() &lt; CALENDARIO!$K75, "🔒", PALPITES!AS75 &amp; " x " &amp; PALPITES!AT75)</f>
        <v>🔒</v>
      </c>
      <c r="AB76" s="57">
        <f>PALPITES!AU75</f>
        <v>0</v>
      </c>
      <c r="AC76" s="56" t="str">
        <f ca="1">IF(NOW() &lt; CALENDARIO!$K75, "🔒", PALPITES!AW75 &amp; " x " &amp; PALPITES!AX75)</f>
        <v>🔒</v>
      </c>
      <c r="AD76" s="56">
        <f>PALPITES!AY75</f>
        <v>0</v>
      </c>
      <c r="AE76" s="57" t="str">
        <f ca="1">IF(NOW() &lt; CALENDARIO!$K75, "🔒", PALPITES!BA75 &amp; " x " &amp; PALPITES!BB75)</f>
        <v>🔒</v>
      </c>
      <c r="AF76" s="57">
        <f>PALPITES!BC75</f>
        <v>0</v>
      </c>
      <c r="AG76" s="56" t="str">
        <f ca="1">IF(NOW() &lt; CALENDARIO!$K75, "🔒", PALPITES!BE75 &amp; " x " &amp; PALPITES!BF75)</f>
        <v>🔒</v>
      </c>
      <c r="AH76" s="56">
        <f>PALPITES!BG75</f>
        <v>0</v>
      </c>
      <c r="AI76" s="57" t="str">
        <f ca="1">IF(NOW() &lt; CALENDARIO!$K75, "🔒", PALPITES!BI75 &amp; " x " &amp; PALPITES!BJ75)</f>
        <v>🔒</v>
      </c>
      <c r="AJ76" s="57">
        <f>PALPITES!BK75</f>
        <v>0</v>
      </c>
    </row>
    <row r="77" spans="1:36" ht="12.75">
      <c r="A77" s="58">
        <f>CALENDARIO!A76</f>
        <v>75</v>
      </c>
      <c r="B77" s="59">
        <f>CALENDARIO!B76</f>
        <v>46202</v>
      </c>
      <c r="C77" s="60">
        <f>CALENDARIO!C76</f>
        <v>0.91666666666666663</v>
      </c>
      <c r="D77" s="61" t="str">
        <f>CALENDARIO!D76</f>
        <v>Vencedor Grupo F</v>
      </c>
      <c r="E77" s="58">
        <f>CALENDARIO!E76</f>
        <v>0</v>
      </c>
      <c r="F77" s="58" t="str">
        <f>CALENDARIO!F76</f>
        <v>x</v>
      </c>
      <c r="G77" s="58">
        <f>CALENDARIO!G76</f>
        <v>0</v>
      </c>
      <c r="H77" s="61" t="str">
        <f>CALENDARIO!H76</f>
        <v>2º colocado Grupo C</v>
      </c>
      <c r="I77" s="56" t="str">
        <f ca="1">IF(NOW() &lt; CALENDARIO!$K76, "🔒", PALPITES!I76 &amp; " x " &amp; PALPITES!J76)</f>
        <v>🔒</v>
      </c>
      <c r="J77" s="56">
        <f>PALPITES!K76</f>
        <v>0</v>
      </c>
      <c r="K77" s="57" t="str">
        <f ca="1">IF(NOW() &lt; CALENDARIO!$K76, "🔒", PALPITES!M76 &amp; " x " &amp; PALPITES!N76)</f>
        <v>🔒</v>
      </c>
      <c r="L77" s="57">
        <f>PALPITES!O76</f>
        <v>0</v>
      </c>
      <c r="M77" s="56" t="str">
        <f ca="1">IF(NOW() &lt; CALENDARIO!$K76, "🔒", PALPITES!Q76 &amp; " x " &amp; PALPITES!R76)</f>
        <v>🔒</v>
      </c>
      <c r="N77" s="56">
        <f>PALPITES!S76</f>
        <v>0</v>
      </c>
      <c r="O77" s="57" t="str">
        <f ca="1">IF(NOW() &lt; CALENDARIO!$K76, "🔒", PALPITES!U76 &amp; " x " &amp; PALPITES!V76)</f>
        <v>🔒</v>
      </c>
      <c r="P77" s="57">
        <f>PALPITES!W76</f>
        <v>0</v>
      </c>
      <c r="Q77" s="56" t="str">
        <f ca="1">IF(NOW() &lt; CALENDARIO!$K76, "🔒", PALPITES!Y76 &amp; " x " &amp; PALPITES!Z76)</f>
        <v>🔒</v>
      </c>
      <c r="R77" s="56">
        <f>PALPITES!AA76</f>
        <v>0</v>
      </c>
      <c r="S77" s="57" t="str">
        <f ca="1">IF(NOW() &lt; CALENDARIO!$K76, "🔒", PALPITES!AC76 &amp; " x " &amp; PALPITES!AD76)</f>
        <v>🔒</v>
      </c>
      <c r="T77" s="57">
        <f>PALPITES!AE76</f>
        <v>0</v>
      </c>
      <c r="U77" s="56" t="str">
        <f ca="1">IF(NOW() &lt; CALENDARIO!$K76, "🔒", PALPITES!AG76 &amp; " x " &amp; PALPITES!AH76)</f>
        <v>🔒</v>
      </c>
      <c r="V77" s="56">
        <f>PALPITES!AI76</f>
        <v>0</v>
      </c>
      <c r="W77" s="57" t="str">
        <f ca="1">IF(NOW() &lt; CALENDARIO!$K76, "🔒", PALPITES!AK76 &amp; " x " &amp; PALPITES!AL76)</f>
        <v>🔒</v>
      </c>
      <c r="X77" s="57">
        <f>PALPITES!AM76</f>
        <v>0</v>
      </c>
      <c r="Y77" s="56" t="str">
        <f ca="1">IF(NOW() &lt; CALENDARIO!$K76, "🔒", PALPITES!AO76 &amp; " x " &amp; PALPITES!AP76)</f>
        <v>🔒</v>
      </c>
      <c r="Z77" s="56">
        <f>PALPITES!AQ76</f>
        <v>0</v>
      </c>
      <c r="AA77" s="57" t="str">
        <f ca="1">IF(NOW() &lt; CALENDARIO!$K76, "🔒", PALPITES!AS76 &amp; " x " &amp; PALPITES!AT76)</f>
        <v>🔒</v>
      </c>
      <c r="AB77" s="57">
        <f>PALPITES!AU76</f>
        <v>0</v>
      </c>
      <c r="AC77" s="56" t="str">
        <f ca="1">IF(NOW() &lt; CALENDARIO!$K76, "🔒", PALPITES!AW76 &amp; " x " &amp; PALPITES!AX76)</f>
        <v>🔒</v>
      </c>
      <c r="AD77" s="56">
        <f>PALPITES!AY76</f>
        <v>0</v>
      </c>
      <c r="AE77" s="57" t="str">
        <f ca="1">IF(NOW() &lt; CALENDARIO!$K76, "🔒", PALPITES!BA76 &amp; " x " &amp; PALPITES!BB76)</f>
        <v>🔒</v>
      </c>
      <c r="AF77" s="57">
        <f>PALPITES!BC76</f>
        <v>0</v>
      </c>
      <c r="AG77" s="56" t="str">
        <f ca="1">IF(NOW() &lt; CALENDARIO!$K76, "🔒", PALPITES!BE76 &amp; " x " &amp; PALPITES!BF76)</f>
        <v>🔒</v>
      </c>
      <c r="AH77" s="56">
        <f>PALPITES!BG76</f>
        <v>0</v>
      </c>
      <c r="AI77" s="57" t="str">
        <f ca="1">IF(NOW() &lt; CALENDARIO!$K76, "🔒", PALPITES!BI76 &amp; " x " &amp; PALPITES!BJ76)</f>
        <v>🔒</v>
      </c>
      <c r="AJ77" s="57">
        <f>PALPITES!BK76</f>
        <v>0</v>
      </c>
    </row>
    <row r="78" spans="1:36" ht="12.75">
      <c r="A78" s="58">
        <f>CALENDARIO!A77</f>
        <v>76</v>
      </c>
      <c r="B78" s="59">
        <f>CALENDARIO!B77</f>
        <v>46202</v>
      </c>
      <c r="C78" s="60">
        <f>CALENDARIO!C77</f>
        <v>0.58333333333333337</v>
      </c>
      <c r="D78" s="61" t="str">
        <f>CALENDARIO!D77</f>
        <v>Vencedor Grupo C</v>
      </c>
      <c r="E78" s="58">
        <f>CALENDARIO!E77</f>
        <v>0</v>
      </c>
      <c r="F78" s="58" t="str">
        <f>CALENDARIO!F77</f>
        <v>x</v>
      </c>
      <c r="G78" s="58">
        <f>CALENDARIO!G77</f>
        <v>0</v>
      </c>
      <c r="H78" s="61" t="str">
        <f>CALENDARIO!H77</f>
        <v>2º colocado Grupo F</v>
      </c>
      <c r="I78" s="56" t="str">
        <f ca="1">IF(NOW() &lt; CALENDARIO!$K77, "🔒", PALPITES!I77 &amp; " x " &amp; PALPITES!J77)</f>
        <v>🔒</v>
      </c>
      <c r="J78" s="56">
        <f>PALPITES!K77</f>
        <v>0</v>
      </c>
      <c r="K78" s="57" t="str">
        <f ca="1">IF(NOW() &lt; CALENDARIO!$K77, "🔒", PALPITES!M77 &amp; " x " &amp; PALPITES!N77)</f>
        <v>🔒</v>
      </c>
      <c r="L78" s="57">
        <f>PALPITES!O77</f>
        <v>0</v>
      </c>
      <c r="M78" s="56" t="str">
        <f ca="1">IF(NOW() &lt; CALENDARIO!$K77, "🔒", PALPITES!Q77 &amp; " x " &amp; PALPITES!R77)</f>
        <v>🔒</v>
      </c>
      <c r="N78" s="56">
        <f>PALPITES!S77</f>
        <v>0</v>
      </c>
      <c r="O78" s="57" t="str">
        <f ca="1">IF(NOW() &lt; CALENDARIO!$K77, "🔒", PALPITES!U77 &amp; " x " &amp; PALPITES!V77)</f>
        <v>🔒</v>
      </c>
      <c r="P78" s="57">
        <f>PALPITES!W77</f>
        <v>0</v>
      </c>
      <c r="Q78" s="56" t="str">
        <f ca="1">IF(NOW() &lt; CALENDARIO!$K77, "🔒", PALPITES!Y77 &amp; " x " &amp; PALPITES!Z77)</f>
        <v>🔒</v>
      </c>
      <c r="R78" s="56">
        <f>PALPITES!AA77</f>
        <v>0</v>
      </c>
      <c r="S78" s="57" t="str">
        <f ca="1">IF(NOW() &lt; CALENDARIO!$K77, "🔒", PALPITES!AC77 &amp; " x " &amp; PALPITES!AD77)</f>
        <v>🔒</v>
      </c>
      <c r="T78" s="57">
        <f>PALPITES!AE77</f>
        <v>0</v>
      </c>
      <c r="U78" s="56" t="str">
        <f ca="1">IF(NOW() &lt; CALENDARIO!$K77, "🔒", PALPITES!AG77 &amp; " x " &amp; PALPITES!AH77)</f>
        <v>🔒</v>
      </c>
      <c r="V78" s="56">
        <f>PALPITES!AI77</f>
        <v>0</v>
      </c>
      <c r="W78" s="57" t="str">
        <f ca="1">IF(NOW() &lt; CALENDARIO!$K77, "🔒", PALPITES!AK77 &amp; " x " &amp; PALPITES!AL77)</f>
        <v>🔒</v>
      </c>
      <c r="X78" s="57">
        <f>PALPITES!AM77</f>
        <v>0</v>
      </c>
      <c r="Y78" s="56" t="str">
        <f ca="1">IF(NOW() &lt; CALENDARIO!$K77, "🔒", PALPITES!AO77 &amp; " x " &amp; PALPITES!AP77)</f>
        <v>🔒</v>
      </c>
      <c r="Z78" s="56">
        <f>PALPITES!AQ77</f>
        <v>0</v>
      </c>
      <c r="AA78" s="57" t="str">
        <f ca="1">IF(NOW() &lt; CALENDARIO!$K77, "🔒", PALPITES!AS77 &amp; " x " &amp; PALPITES!AT77)</f>
        <v>🔒</v>
      </c>
      <c r="AB78" s="57">
        <f>PALPITES!AU77</f>
        <v>0</v>
      </c>
      <c r="AC78" s="56" t="str">
        <f ca="1">IF(NOW() &lt; CALENDARIO!$K77, "🔒", PALPITES!AW77 &amp; " x " &amp; PALPITES!AX77)</f>
        <v>🔒</v>
      </c>
      <c r="AD78" s="56">
        <f>PALPITES!AY77</f>
        <v>0</v>
      </c>
      <c r="AE78" s="57" t="str">
        <f ca="1">IF(NOW() &lt; CALENDARIO!$K77, "🔒", PALPITES!BA77 &amp; " x " &amp; PALPITES!BB77)</f>
        <v>🔒</v>
      </c>
      <c r="AF78" s="57">
        <f>PALPITES!BC77</f>
        <v>0</v>
      </c>
      <c r="AG78" s="56" t="str">
        <f ca="1">IF(NOW() &lt; CALENDARIO!$K77, "🔒", PALPITES!BE77 &amp; " x " &amp; PALPITES!BF77)</f>
        <v>🔒</v>
      </c>
      <c r="AH78" s="56">
        <f>PALPITES!BG77</f>
        <v>0</v>
      </c>
      <c r="AI78" s="57" t="str">
        <f ca="1">IF(NOW() &lt; CALENDARIO!$K77, "🔒", PALPITES!BI77 &amp; " x " &amp; PALPITES!BJ77)</f>
        <v>🔒</v>
      </c>
      <c r="AJ78" s="57">
        <f>PALPITES!BK77</f>
        <v>0</v>
      </c>
    </row>
    <row r="79" spans="1:36" ht="12.75">
      <c r="A79" s="58">
        <f>CALENDARIO!A78</f>
        <v>77</v>
      </c>
      <c r="B79" s="59">
        <f>CALENDARIO!B78</f>
        <v>46203</v>
      </c>
      <c r="C79" s="60">
        <f>CALENDARIO!C78</f>
        <v>0.75</v>
      </c>
      <c r="D79" s="61" t="str">
        <f>CALENDARIO!D78</f>
        <v>Vencedor Grupo I</v>
      </c>
      <c r="E79" s="58">
        <f>CALENDARIO!E78</f>
        <v>0</v>
      </c>
      <c r="F79" s="58" t="str">
        <f>CALENDARIO!F78</f>
        <v>x</v>
      </c>
      <c r="G79" s="58">
        <f>CALENDARIO!G78</f>
        <v>0</v>
      </c>
      <c r="H79" s="61" t="str">
        <f>CALENDARIO!H78</f>
        <v>3º colocado Grupos C/D/F/G/H</v>
      </c>
      <c r="I79" s="56" t="str">
        <f ca="1">IF(NOW() &lt; CALENDARIO!$K78, "🔒", PALPITES!I78 &amp; " x " &amp; PALPITES!J78)</f>
        <v>🔒</v>
      </c>
      <c r="J79" s="56">
        <f>PALPITES!K78</f>
        <v>0</v>
      </c>
      <c r="K79" s="57" t="str">
        <f ca="1">IF(NOW() &lt; CALENDARIO!$K78, "🔒", PALPITES!M78 &amp; " x " &amp; PALPITES!N78)</f>
        <v>🔒</v>
      </c>
      <c r="L79" s="57">
        <f>PALPITES!O78</f>
        <v>0</v>
      </c>
      <c r="M79" s="56" t="str">
        <f ca="1">IF(NOW() &lt; CALENDARIO!$K78, "🔒", PALPITES!Q78 &amp; " x " &amp; PALPITES!R78)</f>
        <v>🔒</v>
      </c>
      <c r="N79" s="56">
        <f>PALPITES!S78</f>
        <v>0</v>
      </c>
      <c r="O79" s="57" t="str">
        <f ca="1">IF(NOW() &lt; CALENDARIO!$K78, "🔒", PALPITES!U78 &amp; " x " &amp; PALPITES!V78)</f>
        <v>🔒</v>
      </c>
      <c r="P79" s="57">
        <f>PALPITES!W78</f>
        <v>0</v>
      </c>
      <c r="Q79" s="56" t="str">
        <f ca="1">IF(NOW() &lt; CALENDARIO!$K78, "🔒", PALPITES!Y78 &amp; " x " &amp; PALPITES!Z78)</f>
        <v>🔒</v>
      </c>
      <c r="R79" s="56">
        <f>PALPITES!AA78</f>
        <v>0</v>
      </c>
      <c r="S79" s="57" t="str">
        <f ca="1">IF(NOW() &lt; CALENDARIO!$K78, "🔒", PALPITES!AC78 &amp; " x " &amp; PALPITES!AD78)</f>
        <v>🔒</v>
      </c>
      <c r="T79" s="57">
        <f>PALPITES!AE78</f>
        <v>0</v>
      </c>
      <c r="U79" s="56" t="str">
        <f ca="1">IF(NOW() &lt; CALENDARIO!$K78, "🔒", PALPITES!AG78 &amp; " x " &amp; PALPITES!AH78)</f>
        <v>🔒</v>
      </c>
      <c r="V79" s="56">
        <f>PALPITES!AI78</f>
        <v>0</v>
      </c>
      <c r="W79" s="57" t="str">
        <f ca="1">IF(NOW() &lt; CALENDARIO!$K78, "🔒", PALPITES!AK78 &amp; " x " &amp; PALPITES!AL78)</f>
        <v>🔒</v>
      </c>
      <c r="X79" s="57">
        <f>PALPITES!AM78</f>
        <v>0</v>
      </c>
      <c r="Y79" s="56" t="str">
        <f ca="1">IF(NOW() &lt; CALENDARIO!$K78, "🔒", PALPITES!AO78 &amp; " x " &amp; PALPITES!AP78)</f>
        <v>🔒</v>
      </c>
      <c r="Z79" s="56">
        <f>PALPITES!AQ78</f>
        <v>0</v>
      </c>
      <c r="AA79" s="57" t="str">
        <f ca="1">IF(NOW() &lt; CALENDARIO!$K78, "🔒", PALPITES!AS78 &amp; " x " &amp; PALPITES!AT78)</f>
        <v>🔒</v>
      </c>
      <c r="AB79" s="57">
        <f>PALPITES!AU78</f>
        <v>0</v>
      </c>
      <c r="AC79" s="56" t="str">
        <f ca="1">IF(NOW() &lt; CALENDARIO!$K78, "🔒", PALPITES!AW78 &amp; " x " &amp; PALPITES!AX78)</f>
        <v>🔒</v>
      </c>
      <c r="AD79" s="56">
        <f>PALPITES!AY78</f>
        <v>0</v>
      </c>
      <c r="AE79" s="57" t="str">
        <f ca="1">IF(NOW() &lt; CALENDARIO!$K78, "🔒", PALPITES!BA78 &amp; " x " &amp; PALPITES!BB78)</f>
        <v>🔒</v>
      </c>
      <c r="AF79" s="57">
        <f>PALPITES!BC78</f>
        <v>0</v>
      </c>
      <c r="AG79" s="56" t="str">
        <f ca="1">IF(NOW() &lt; CALENDARIO!$K78, "🔒", PALPITES!BE78 &amp; " x " &amp; PALPITES!BF78)</f>
        <v>🔒</v>
      </c>
      <c r="AH79" s="56">
        <f>PALPITES!BG78</f>
        <v>0</v>
      </c>
      <c r="AI79" s="57" t="str">
        <f ca="1">IF(NOW() &lt; CALENDARIO!$K78, "🔒", PALPITES!BI78 &amp; " x " &amp; PALPITES!BJ78)</f>
        <v>🔒</v>
      </c>
      <c r="AJ79" s="57">
        <f>PALPITES!BK78</f>
        <v>0</v>
      </c>
    </row>
    <row r="80" spans="1:36" ht="12.75">
      <c r="A80" s="58">
        <f>CALENDARIO!A79</f>
        <v>78</v>
      </c>
      <c r="B80" s="59">
        <f>CALENDARIO!B79</f>
        <v>46203</v>
      </c>
      <c r="C80" s="60">
        <f>CALENDARIO!C79</f>
        <v>0.58333333333333337</v>
      </c>
      <c r="D80" s="61" t="str">
        <f>CALENDARIO!D79</f>
        <v>2º colocado Grupo E</v>
      </c>
      <c r="E80" s="58">
        <f>CALENDARIO!E79</f>
        <v>0</v>
      </c>
      <c r="F80" s="58" t="str">
        <f>CALENDARIO!F79</f>
        <v>x</v>
      </c>
      <c r="G80" s="58">
        <f>CALENDARIO!G79</f>
        <v>0</v>
      </c>
      <c r="H80" s="61" t="str">
        <f>CALENDARIO!H79</f>
        <v>2º colocado Grupo I</v>
      </c>
      <c r="I80" s="56" t="str">
        <f ca="1">IF(NOW() &lt; CALENDARIO!$K79, "🔒", PALPITES!I79 &amp; " x " &amp; PALPITES!J79)</f>
        <v>🔒</v>
      </c>
      <c r="J80" s="56">
        <f>PALPITES!K79</f>
        <v>0</v>
      </c>
      <c r="K80" s="57" t="str">
        <f ca="1">IF(NOW() &lt; CALENDARIO!$K79, "🔒", PALPITES!M79 &amp; " x " &amp; PALPITES!N79)</f>
        <v>🔒</v>
      </c>
      <c r="L80" s="57">
        <f>PALPITES!O79</f>
        <v>0</v>
      </c>
      <c r="M80" s="56" t="str">
        <f ca="1">IF(NOW() &lt; CALENDARIO!$K79, "🔒", PALPITES!Q79 &amp; " x " &amp; PALPITES!R79)</f>
        <v>🔒</v>
      </c>
      <c r="N80" s="56">
        <f>PALPITES!S79</f>
        <v>0</v>
      </c>
      <c r="O80" s="57" t="str">
        <f ca="1">IF(NOW() &lt; CALENDARIO!$K79, "🔒", PALPITES!U79 &amp; " x " &amp; PALPITES!V79)</f>
        <v>🔒</v>
      </c>
      <c r="P80" s="57">
        <f>PALPITES!W79</f>
        <v>0</v>
      </c>
      <c r="Q80" s="56" t="str">
        <f ca="1">IF(NOW() &lt; CALENDARIO!$K79, "🔒", PALPITES!Y79 &amp; " x " &amp; PALPITES!Z79)</f>
        <v>🔒</v>
      </c>
      <c r="R80" s="56">
        <f>PALPITES!AA79</f>
        <v>0</v>
      </c>
      <c r="S80" s="57" t="str">
        <f ca="1">IF(NOW() &lt; CALENDARIO!$K79, "🔒", PALPITES!AC79 &amp; " x " &amp; PALPITES!AD79)</f>
        <v>🔒</v>
      </c>
      <c r="T80" s="57">
        <f>PALPITES!AE79</f>
        <v>0</v>
      </c>
      <c r="U80" s="56" t="str">
        <f ca="1">IF(NOW() &lt; CALENDARIO!$K79, "🔒", PALPITES!AG79 &amp; " x " &amp; PALPITES!AH79)</f>
        <v>🔒</v>
      </c>
      <c r="V80" s="56">
        <f>PALPITES!AI79</f>
        <v>0</v>
      </c>
      <c r="W80" s="57" t="str">
        <f ca="1">IF(NOW() &lt; CALENDARIO!$K79, "🔒", PALPITES!AK79 &amp; " x " &amp; PALPITES!AL79)</f>
        <v>🔒</v>
      </c>
      <c r="X80" s="57">
        <f>PALPITES!AM79</f>
        <v>0</v>
      </c>
      <c r="Y80" s="56" t="str">
        <f ca="1">IF(NOW() &lt; CALENDARIO!$K79, "🔒", PALPITES!AO79 &amp; " x " &amp; PALPITES!AP79)</f>
        <v>🔒</v>
      </c>
      <c r="Z80" s="56">
        <f>PALPITES!AQ79</f>
        <v>0</v>
      </c>
      <c r="AA80" s="57" t="str">
        <f ca="1">IF(NOW() &lt; CALENDARIO!$K79, "🔒", PALPITES!AS79 &amp; " x " &amp; PALPITES!AT79)</f>
        <v>🔒</v>
      </c>
      <c r="AB80" s="57">
        <f>PALPITES!AU79</f>
        <v>0</v>
      </c>
      <c r="AC80" s="56" t="str">
        <f ca="1">IF(NOW() &lt; CALENDARIO!$K79, "🔒", PALPITES!AW79 &amp; " x " &amp; PALPITES!AX79)</f>
        <v>🔒</v>
      </c>
      <c r="AD80" s="56">
        <f>PALPITES!AY79</f>
        <v>0</v>
      </c>
      <c r="AE80" s="57" t="str">
        <f ca="1">IF(NOW() &lt; CALENDARIO!$K79, "🔒", PALPITES!BA79 &amp; " x " &amp; PALPITES!BB79)</f>
        <v>🔒</v>
      </c>
      <c r="AF80" s="57">
        <f>PALPITES!BC79</f>
        <v>0</v>
      </c>
      <c r="AG80" s="56" t="str">
        <f ca="1">IF(NOW() &lt; CALENDARIO!$K79, "🔒", PALPITES!BE79 &amp; " x " &amp; PALPITES!BF79)</f>
        <v>🔒</v>
      </c>
      <c r="AH80" s="56">
        <f>PALPITES!BG79</f>
        <v>0</v>
      </c>
      <c r="AI80" s="57" t="str">
        <f ca="1">IF(NOW() &lt; CALENDARIO!$K79, "🔒", PALPITES!BI79 &amp; " x " &amp; PALPITES!BJ79)</f>
        <v>🔒</v>
      </c>
      <c r="AJ80" s="57">
        <f>PALPITES!BK79</f>
        <v>0</v>
      </c>
    </row>
    <row r="81" spans="1:36" ht="12.75">
      <c r="A81" s="58">
        <f>CALENDARIO!A80</f>
        <v>79</v>
      </c>
      <c r="B81" s="59">
        <f>CALENDARIO!B80</f>
        <v>46203</v>
      </c>
      <c r="C81" s="60">
        <f>CALENDARIO!C80</f>
        <v>0.91666666666666663</v>
      </c>
      <c r="D81" s="61" t="str">
        <f>CALENDARIO!D80</f>
        <v>Vencedor Grupo A</v>
      </c>
      <c r="E81" s="58">
        <f>CALENDARIO!E80</f>
        <v>0</v>
      </c>
      <c r="F81" s="58" t="str">
        <f>CALENDARIO!F80</f>
        <v>x</v>
      </c>
      <c r="G81" s="58">
        <f>CALENDARIO!G80</f>
        <v>0</v>
      </c>
      <c r="H81" s="61" t="str">
        <f>CALENDARIO!H80</f>
        <v>3º colocado Grupos C/E/F/H/I</v>
      </c>
      <c r="I81" s="56" t="str">
        <f ca="1">IF(NOW() &lt; CALENDARIO!$K80, "🔒", PALPITES!I80 &amp; " x " &amp; PALPITES!J80)</f>
        <v>🔒</v>
      </c>
      <c r="J81" s="56">
        <f>PALPITES!K80</f>
        <v>0</v>
      </c>
      <c r="K81" s="57" t="str">
        <f ca="1">IF(NOW() &lt; CALENDARIO!$K80, "🔒", PALPITES!M80 &amp; " x " &amp; PALPITES!N80)</f>
        <v>🔒</v>
      </c>
      <c r="L81" s="57">
        <f>PALPITES!O80</f>
        <v>0</v>
      </c>
      <c r="M81" s="56" t="str">
        <f ca="1">IF(NOW() &lt; CALENDARIO!$K80, "🔒", PALPITES!Q80 &amp; " x " &amp; PALPITES!R80)</f>
        <v>🔒</v>
      </c>
      <c r="N81" s="56">
        <f>PALPITES!S80</f>
        <v>0</v>
      </c>
      <c r="O81" s="57" t="str">
        <f ca="1">IF(NOW() &lt; CALENDARIO!$K80, "🔒", PALPITES!U80 &amp; " x " &amp; PALPITES!V80)</f>
        <v>🔒</v>
      </c>
      <c r="P81" s="57">
        <f>PALPITES!W80</f>
        <v>0</v>
      </c>
      <c r="Q81" s="56" t="str">
        <f ca="1">IF(NOW() &lt; CALENDARIO!$K80, "🔒", PALPITES!Y80 &amp; " x " &amp; PALPITES!Z80)</f>
        <v>🔒</v>
      </c>
      <c r="R81" s="56">
        <f>PALPITES!AA80</f>
        <v>0</v>
      </c>
      <c r="S81" s="57" t="str">
        <f ca="1">IF(NOW() &lt; CALENDARIO!$K80, "🔒", PALPITES!AC80 &amp; " x " &amp; PALPITES!AD80)</f>
        <v>🔒</v>
      </c>
      <c r="T81" s="57">
        <f>PALPITES!AE80</f>
        <v>0</v>
      </c>
      <c r="U81" s="56" t="str">
        <f ca="1">IF(NOW() &lt; CALENDARIO!$K80, "🔒", PALPITES!AG80 &amp; " x " &amp; PALPITES!AH80)</f>
        <v>🔒</v>
      </c>
      <c r="V81" s="56">
        <f>PALPITES!AI80</f>
        <v>0</v>
      </c>
      <c r="W81" s="57" t="str">
        <f ca="1">IF(NOW() &lt; CALENDARIO!$K80, "🔒", PALPITES!AK80 &amp; " x " &amp; PALPITES!AL80)</f>
        <v>🔒</v>
      </c>
      <c r="X81" s="57">
        <f>PALPITES!AM80</f>
        <v>0</v>
      </c>
      <c r="Y81" s="56" t="str">
        <f ca="1">IF(NOW() &lt; CALENDARIO!$K80, "🔒", PALPITES!AO80 &amp; " x " &amp; PALPITES!AP80)</f>
        <v>🔒</v>
      </c>
      <c r="Z81" s="56">
        <f>PALPITES!AQ80</f>
        <v>0</v>
      </c>
      <c r="AA81" s="57" t="str">
        <f ca="1">IF(NOW() &lt; CALENDARIO!$K80, "🔒", PALPITES!AS80 &amp; " x " &amp; PALPITES!AT80)</f>
        <v>🔒</v>
      </c>
      <c r="AB81" s="57">
        <f>PALPITES!AU80</f>
        <v>0</v>
      </c>
      <c r="AC81" s="56" t="str">
        <f ca="1">IF(NOW() &lt; CALENDARIO!$K80, "🔒", PALPITES!AW80 &amp; " x " &amp; PALPITES!AX80)</f>
        <v>🔒</v>
      </c>
      <c r="AD81" s="56">
        <f>PALPITES!AY80</f>
        <v>0</v>
      </c>
      <c r="AE81" s="57" t="str">
        <f ca="1">IF(NOW() &lt; CALENDARIO!$K80, "🔒", PALPITES!BA80 &amp; " x " &amp; PALPITES!BB80)</f>
        <v>🔒</v>
      </c>
      <c r="AF81" s="57">
        <f>PALPITES!BC80</f>
        <v>0</v>
      </c>
      <c r="AG81" s="56" t="str">
        <f ca="1">IF(NOW() &lt; CALENDARIO!$K80, "🔒", PALPITES!BE80 &amp; " x " &amp; PALPITES!BF80)</f>
        <v>🔒</v>
      </c>
      <c r="AH81" s="56">
        <f>PALPITES!BG80</f>
        <v>0</v>
      </c>
      <c r="AI81" s="57" t="str">
        <f ca="1">IF(NOW() &lt; CALENDARIO!$K80, "🔒", PALPITES!BI80 &amp; " x " &amp; PALPITES!BJ80)</f>
        <v>🔒</v>
      </c>
      <c r="AJ81" s="57">
        <f>PALPITES!BK80</f>
        <v>0</v>
      </c>
    </row>
    <row r="82" spans="1:36" ht="12.75">
      <c r="A82" s="58">
        <f>CALENDARIO!A81</f>
        <v>80</v>
      </c>
      <c r="B82" s="59">
        <f>CALENDARIO!B81</f>
        <v>46204</v>
      </c>
      <c r="C82" s="60">
        <f>CALENDARIO!C81</f>
        <v>0.54166666666666663</v>
      </c>
      <c r="D82" s="61" t="str">
        <f>CALENDARIO!D81</f>
        <v>Vencedor Grupo L</v>
      </c>
      <c r="E82" s="58">
        <f>CALENDARIO!E81</f>
        <v>0</v>
      </c>
      <c r="F82" s="58" t="str">
        <f>CALENDARIO!F81</f>
        <v>x</v>
      </c>
      <c r="G82" s="58">
        <f>CALENDARIO!G81</f>
        <v>0</v>
      </c>
      <c r="H82" s="61" t="str">
        <f>CALENDARIO!H81</f>
        <v>3º colocado Grupos E/H/I/J/K</v>
      </c>
      <c r="I82" s="56" t="str">
        <f ca="1">IF(NOW() &lt; CALENDARIO!$K81, "🔒", PALPITES!I81 &amp; " x " &amp; PALPITES!J81)</f>
        <v>🔒</v>
      </c>
      <c r="J82" s="56">
        <f>PALPITES!K81</f>
        <v>0</v>
      </c>
      <c r="K82" s="57" t="str">
        <f ca="1">IF(NOW() &lt; CALENDARIO!$K81, "🔒", PALPITES!M81 &amp; " x " &amp; PALPITES!N81)</f>
        <v>🔒</v>
      </c>
      <c r="L82" s="57">
        <f>PALPITES!O81</f>
        <v>0</v>
      </c>
      <c r="M82" s="56" t="str">
        <f ca="1">IF(NOW() &lt; CALENDARIO!$K81, "🔒", PALPITES!Q81 &amp; " x " &amp; PALPITES!R81)</f>
        <v>🔒</v>
      </c>
      <c r="N82" s="56">
        <f>PALPITES!S81</f>
        <v>0</v>
      </c>
      <c r="O82" s="57" t="str">
        <f ca="1">IF(NOW() &lt; CALENDARIO!$K81, "🔒", PALPITES!U81 &amp; " x " &amp; PALPITES!V81)</f>
        <v>🔒</v>
      </c>
      <c r="P82" s="57">
        <f>PALPITES!W81</f>
        <v>0</v>
      </c>
      <c r="Q82" s="56" t="str">
        <f ca="1">IF(NOW() &lt; CALENDARIO!$K81, "🔒", PALPITES!Y81 &amp; " x " &amp; PALPITES!Z81)</f>
        <v>🔒</v>
      </c>
      <c r="R82" s="56">
        <f>PALPITES!AA81</f>
        <v>0</v>
      </c>
      <c r="S82" s="57" t="str">
        <f ca="1">IF(NOW() &lt; CALENDARIO!$K81, "🔒", PALPITES!AC81 &amp; " x " &amp; PALPITES!AD81)</f>
        <v>🔒</v>
      </c>
      <c r="T82" s="57">
        <f>PALPITES!AE81</f>
        <v>0</v>
      </c>
      <c r="U82" s="56" t="str">
        <f ca="1">IF(NOW() &lt; CALENDARIO!$K81, "🔒", PALPITES!AG81 &amp; " x " &amp; PALPITES!AH81)</f>
        <v>🔒</v>
      </c>
      <c r="V82" s="56">
        <f>PALPITES!AI81</f>
        <v>0</v>
      </c>
      <c r="W82" s="57" t="str">
        <f ca="1">IF(NOW() &lt; CALENDARIO!$K81, "🔒", PALPITES!AK81 &amp; " x " &amp; PALPITES!AL81)</f>
        <v>🔒</v>
      </c>
      <c r="X82" s="57">
        <f>PALPITES!AM81</f>
        <v>0</v>
      </c>
      <c r="Y82" s="56" t="str">
        <f ca="1">IF(NOW() &lt; CALENDARIO!$K81, "🔒", PALPITES!AO81 &amp; " x " &amp; PALPITES!AP81)</f>
        <v>🔒</v>
      </c>
      <c r="Z82" s="56">
        <f>PALPITES!AQ81</f>
        <v>0</v>
      </c>
      <c r="AA82" s="57" t="str">
        <f ca="1">IF(NOW() &lt; CALENDARIO!$K81, "🔒", PALPITES!AS81 &amp; " x " &amp; PALPITES!AT81)</f>
        <v>🔒</v>
      </c>
      <c r="AB82" s="57">
        <f>PALPITES!AU81</f>
        <v>0</v>
      </c>
      <c r="AC82" s="56" t="str">
        <f ca="1">IF(NOW() &lt; CALENDARIO!$K81, "🔒", PALPITES!AW81 &amp; " x " &amp; PALPITES!AX81)</f>
        <v>🔒</v>
      </c>
      <c r="AD82" s="56">
        <f>PALPITES!AY81</f>
        <v>0</v>
      </c>
      <c r="AE82" s="57" t="str">
        <f ca="1">IF(NOW() &lt; CALENDARIO!$K81, "🔒", PALPITES!BA81 &amp; " x " &amp; PALPITES!BB81)</f>
        <v>🔒</v>
      </c>
      <c r="AF82" s="57">
        <f>PALPITES!BC81</f>
        <v>0</v>
      </c>
      <c r="AG82" s="56" t="str">
        <f ca="1">IF(NOW() &lt; CALENDARIO!$K81, "🔒", PALPITES!BE81 &amp; " x " &amp; PALPITES!BF81)</f>
        <v>🔒</v>
      </c>
      <c r="AH82" s="56">
        <f>PALPITES!BG81</f>
        <v>0</v>
      </c>
      <c r="AI82" s="57" t="str">
        <f ca="1">IF(NOW() &lt; CALENDARIO!$K81, "🔒", PALPITES!BI81 &amp; " x " &amp; PALPITES!BJ81)</f>
        <v>🔒</v>
      </c>
      <c r="AJ82" s="57">
        <f>PALPITES!BK81</f>
        <v>0</v>
      </c>
    </row>
    <row r="83" spans="1:36" ht="12.75">
      <c r="A83" s="58">
        <f>CALENDARIO!A82</f>
        <v>81</v>
      </c>
      <c r="B83" s="59">
        <f>CALENDARIO!B82</f>
        <v>46204</v>
      </c>
      <c r="C83" s="60">
        <f>CALENDARIO!C82</f>
        <v>0.875</v>
      </c>
      <c r="D83" s="61" t="str">
        <f>CALENDARIO!D82</f>
        <v>Vencedor Grupo D</v>
      </c>
      <c r="E83" s="58">
        <f>CALENDARIO!E82</f>
        <v>0</v>
      </c>
      <c r="F83" s="58" t="str">
        <f>CALENDARIO!F82</f>
        <v>x</v>
      </c>
      <c r="G83" s="58">
        <f>CALENDARIO!G82</f>
        <v>0</v>
      </c>
      <c r="H83" s="61" t="str">
        <f>CALENDARIO!H82</f>
        <v>3º colocado Grupos B/E/F/I/J</v>
      </c>
      <c r="I83" s="56" t="str">
        <f ca="1">IF(NOW() &lt; CALENDARIO!$K82, "🔒", PALPITES!I82 &amp; " x " &amp; PALPITES!J82)</f>
        <v>🔒</v>
      </c>
      <c r="J83" s="56">
        <f>PALPITES!K82</f>
        <v>0</v>
      </c>
      <c r="K83" s="57" t="str">
        <f ca="1">IF(NOW() &lt; CALENDARIO!$K82, "🔒", PALPITES!M82 &amp; " x " &amp; PALPITES!N82)</f>
        <v>🔒</v>
      </c>
      <c r="L83" s="57">
        <f>PALPITES!O82</f>
        <v>0</v>
      </c>
      <c r="M83" s="56" t="str">
        <f ca="1">IF(NOW() &lt; CALENDARIO!$K82, "🔒", PALPITES!Q82 &amp; " x " &amp; PALPITES!R82)</f>
        <v>🔒</v>
      </c>
      <c r="N83" s="56">
        <f>PALPITES!S82</f>
        <v>0</v>
      </c>
      <c r="O83" s="57" t="str">
        <f ca="1">IF(NOW() &lt; CALENDARIO!$K82, "🔒", PALPITES!U82 &amp; " x " &amp; PALPITES!V82)</f>
        <v>🔒</v>
      </c>
      <c r="P83" s="57">
        <f>PALPITES!W82</f>
        <v>0</v>
      </c>
      <c r="Q83" s="56" t="str">
        <f ca="1">IF(NOW() &lt; CALENDARIO!$K82, "🔒", PALPITES!Y82 &amp; " x " &amp; PALPITES!Z82)</f>
        <v>🔒</v>
      </c>
      <c r="R83" s="56">
        <f>PALPITES!AA82</f>
        <v>0</v>
      </c>
      <c r="S83" s="57" t="str">
        <f ca="1">IF(NOW() &lt; CALENDARIO!$K82, "🔒", PALPITES!AC82 &amp; " x " &amp; PALPITES!AD82)</f>
        <v>🔒</v>
      </c>
      <c r="T83" s="57">
        <f>PALPITES!AE82</f>
        <v>0</v>
      </c>
      <c r="U83" s="56" t="str">
        <f ca="1">IF(NOW() &lt; CALENDARIO!$K82, "🔒", PALPITES!AG82 &amp; " x " &amp; PALPITES!AH82)</f>
        <v>🔒</v>
      </c>
      <c r="V83" s="56">
        <f>PALPITES!AI82</f>
        <v>0</v>
      </c>
      <c r="W83" s="57" t="str">
        <f ca="1">IF(NOW() &lt; CALENDARIO!$K82, "🔒", PALPITES!AK82 &amp; " x " &amp; PALPITES!AL82)</f>
        <v>🔒</v>
      </c>
      <c r="X83" s="57">
        <f>PALPITES!AM82</f>
        <v>0</v>
      </c>
      <c r="Y83" s="56" t="str">
        <f ca="1">IF(NOW() &lt; CALENDARIO!$K82, "🔒", PALPITES!AO82 &amp; " x " &amp; PALPITES!AP82)</f>
        <v>🔒</v>
      </c>
      <c r="Z83" s="56">
        <f>PALPITES!AQ82</f>
        <v>0</v>
      </c>
      <c r="AA83" s="57" t="str">
        <f ca="1">IF(NOW() &lt; CALENDARIO!$K82, "🔒", PALPITES!AS82 &amp; " x " &amp; PALPITES!AT82)</f>
        <v>🔒</v>
      </c>
      <c r="AB83" s="57">
        <f>PALPITES!AU82</f>
        <v>0</v>
      </c>
      <c r="AC83" s="56" t="str">
        <f ca="1">IF(NOW() &lt; CALENDARIO!$K82, "🔒", PALPITES!AW82 &amp; " x " &amp; PALPITES!AX82)</f>
        <v>🔒</v>
      </c>
      <c r="AD83" s="56">
        <f>PALPITES!AY82</f>
        <v>0</v>
      </c>
      <c r="AE83" s="57" t="str">
        <f ca="1">IF(NOW() &lt; CALENDARIO!$K82, "🔒", PALPITES!BA82 &amp; " x " &amp; PALPITES!BB82)</f>
        <v>🔒</v>
      </c>
      <c r="AF83" s="57">
        <f>PALPITES!BC82</f>
        <v>0</v>
      </c>
      <c r="AG83" s="56" t="str">
        <f ca="1">IF(NOW() &lt; CALENDARIO!$K82, "🔒", PALPITES!BE82 &amp; " x " &amp; PALPITES!BF82)</f>
        <v>🔒</v>
      </c>
      <c r="AH83" s="56">
        <f>PALPITES!BG82</f>
        <v>0</v>
      </c>
      <c r="AI83" s="57" t="str">
        <f ca="1">IF(NOW() &lt; CALENDARIO!$K82, "🔒", PALPITES!BI82 &amp; " x " &amp; PALPITES!BJ82)</f>
        <v>🔒</v>
      </c>
      <c r="AJ83" s="57">
        <f>PALPITES!BK82</f>
        <v>0</v>
      </c>
    </row>
    <row r="84" spans="1:36" ht="12.75">
      <c r="A84" s="58">
        <f>CALENDARIO!A83</f>
        <v>82</v>
      </c>
      <c r="B84" s="59">
        <f>CALENDARIO!B83</f>
        <v>46204</v>
      </c>
      <c r="C84" s="60">
        <f>CALENDARIO!C83</f>
        <v>0.70833333333333337</v>
      </c>
      <c r="D84" s="61" t="str">
        <f>CALENDARIO!D83</f>
        <v>Vencedor Grupo G</v>
      </c>
      <c r="E84" s="58">
        <f>CALENDARIO!E83</f>
        <v>0</v>
      </c>
      <c r="F84" s="58" t="str">
        <f>CALENDARIO!F83</f>
        <v>x</v>
      </c>
      <c r="G84" s="58">
        <f>CALENDARIO!G83</f>
        <v>0</v>
      </c>
      <c r="H84" s="61" t="str">
        <f>CALENDARIO!H83</f>
        <v>3º colocado Grupos A/E/H/I/J</v>
      </c>
      <c r="I84" s="56" t="str">
        <f ca="1">IF(NOW() &lt; CALENDARIO!$K83, "🔒", PALPITES!I83 &amp; " x " &amp; PALPITES!J83)</f>
        <v>🔒</v>
      </c>
      <c r="J84" s="56">
        <f>PALPITES!K83</f>
        <v>0</v>
      </c>
      <c r="K84" s="57" t="str">
        <f ca="1">IF(NOW() &lt; CALENDARIO!$K83, "🔒", PALPITES!M83 &amp; " x " &amp; PALPITES!N83)</f>
        <v>🔒</v>
      </c>
      <c r="L84" s="57">
        <f>PALPITES!O83</f>
        <v>0</v>
      </c>
      <c r="M84" s="56" t="str">
        <f ca="1">IF(NOW() &lt; CALENDARIO!$K83, "🔒", PALPITES!Q83 &amp; " x " &amp; PALPITES!R83)</f>
        <v>🔒</v>
      </c>
      <c r="N84" s="56">
        <f>PALPITES!S83</f>
        <v>0</v>
      </c>
      <c r="O84" s="57" t="str">
        <f ca="1">IF(NOW() &lt; CALENDARIO!$K83, "🔒", PALPITES!U83 &amp; " x " &amp; PALPITES!V83)</f>
        <v>🔒</v>
      </c>
      <c r="P84" s="57">
        <f>PALPITES!W83</f>
        <v>0</v>
      </c>
      <c r="Q84" s="56" t="str">
        <f ca="1">IF(NOW() &lt; CALENDARIO!$K83, "🔒", PALPITES!Y83 &amp; " x " &amp; PALPITES!Z83)</f>
        <v>🔒</v>
      </c>
      <c r="R84" s="56">
        <f>PALPITES!AA83</f>
        <v>0</v>
      </c>
      <c r="S84" s="57" t="str">
        <f ca="1">IF(NOW() &lt; CALENDARIO!$K83, "🔒", PALPITES!AC83 &amp; " x " &amp; PALPITES!AD83)</f>
        <v>🔒</v>
      </c>
      <c r="T84" s="57">
        <f>PALPITES!AE83</f>
        <v>0</v>
      </c>
      <c r="U84" s="56" t="str">
        <f ca="1">IF(NOW() &lt; CALENDARIO!$K83, "🔒", PALPITES!AG83 &amp; " x " &amp; PALPITES!AH83)</f>
        <v>🔒</v>
      </c>
      <c r="V84" s="56">
        <f>PALPITES!AI83</f>
        <v>0</v>
      </c>
      <c r="W84" s="57" t="str">
        <f ca="1">IF(NOW() &lt; CALENDARIO!$K83, "🔒", PALPITES!AK83 &amp; " x " &amp; PALPITES!AL83)</f>
        <v>🔒</v>
      </c>
      <c r="X84" s="57">
        <f>PALPITES!AM83</f>
        <v>0</v>
      </c>
      <c r="Y84" s="56" t="str">
        <f ca="1">IF(NOW() &lt; CALENDARIO!$K83, "🔒", PALPITES!AO83 &amp; " x " &amp; PALPITES!AP83)</f>
        <v>🔒</v>
      </c>
      <c r="Z84" s="56">
        <f>PALPITES!AQ83</f>
        <v>0</v>
      </c>
      <c r="AA84" s="57" t="str">
        <f ca="1">IF(NOW() &lt; CALENDARIO!$K83, "🔒", PALPITES!AS83 &amp; " x " &amp; PALPITES!AT83)</f>
        <v>🔒</v>
      </c>
      <c r="AB84" s="57">
        <f>PALPITES!AU83</f>
        <v>0</v>
      </c>
      <c r="AC84" s="56" t="str">
        <f ca="1">IF(NOW() &lt; CALENDARIO!$K83, "🔒", PALPITES!AW83 &amp; " x " &amp; PALPITES!AX83)</f>
        <v>🔒</v>
      </c>
      <c r="AD84" s="56">
        <f>PALPITES!AY83</f>
        <v>0</v>
      </c>
      <c r="AE84" s="57" t="str">
        <f ca="1">IF(NOW() &lt; CALENDARIO!$K83, "🔒", PALPITES!BA83 &amp; " x " &amp; PALPITES!BB83)</f>
        <v>🔒</v>
      </c>
      <c r="AF84" s="57">
        <f>PALPITES!BC83</f>
        <v>0</v>
      </c>
      <c r="AG84" s="56" t="str">
        <f ca="1">IF(NOW() &lt; CALENDARIO!$K83, "🔒", PALPITES!BE83 &amp; " x " &amp; PALPITES!BF83)</f>
        <v>🔒</v>
      </c>
      <c r="AH84" s="56">
        <f>PALPITES!BG83</f>
        <v>0</v>
      </c>
      <c r="AI84" s="57" t="str">
        <f ca="1">IF(NOW() &lt; CALENDARIO!$K83, "🔒", PALPITES!BI83 &amp; " x " &amp; PALPITES!BJ83)</f>
        <v>🔒</v>
      </c>
      <c r="AJ84" s="57">
        <f>PALPITES!BK83</f>
        <v>0</v>
      </c>
    </row>
    <row r="85" spans="1:36" ht="12.75">
      <c r="A85" s="58">
        <f>CALENDARIO!A84</f>
        <v>83</v>
      </c>
      <c r="B85" s="59">
        <f>CALENDARIO!B84</f>
        <v>46205</v>
      </c>
      <c r="C85" s="60">
        <f>CALENDARIO!C84</f>
        <v>0.83333333333333337</v>
      </c>
      <c r="D85" s="61" t="str">
        <f>CALENDARIO!D84</f>
        <v>2º colocado Grupo K</v>
      </c>
      <c r="E85" s="58">
        <f>CALENDARIO!E84</f>
        <v>0</v>
      </c>
      <c r="F85" s="58" t="str">
        <f>CALENDARIO!F84</f>
        <v>x</v>
      </c>
      <c r="G85" s="58">
        <f>CALENDARIO!G84</f>
        <v>0</v>
      </c>
      <c r="H85" s="61" t="str">
        <f>CALENDARIO!H84</f>
        <v>2º colocado Grupo L</v>
      </c>
      <c r="I85" s="56" t="str">
        <f ca="1">IF(NOW() &lt; CALENDARIO!$K84, "🔒", PALPITES!I84 &amp; " x " &amp; PALPITES!J84)</f>
        <v>🔒</v>
      </c>
      <c r="J85" s="56">
        <f>PALPITES!K84</f>
        <v>0</v>
      </c>
      <c r="K85" s="57" t="str">
        <f ca="1">IF(NOW() &lt; CALENDARIO!$K84, "🔒", PALPITES!M84 &amp; " x " &amp; PALPITES!N84)</f>
        <v>🔒</v>
      </c>
      <c r="L85" s="57">
        <f>PALPITES!O84</f>
        <v>0</v>
      </c>
      <c r="M85" s="56" t="str">
        <f ca="1">IF(NOW() &lt; CALENDARIO!$K84, "🔒", PALPITES!Q84 &amp; " x " &amp; PALPITES!R84)</f>
        <v>🔒</v>
      </c>
      <c r="N85" s="56">
        <f>PALPITES!S84</f>
        <v>0</v>
      </c>
      <c r="O85" s="57" t="str">
        <f ca="1">IF(NOW() &lt; CALENDARIO!$K84, "🔒", PALPITES!U84 &amp; " x " &amp; PALPITES!V84)</f>
        <v>🔒</v>
      </c>
      <c r="P85" s="57">
        <f>PALPITES!W84</f>
        <v>0</v>
      </c>
      <c r="Q85" s="56" t="str">
        <f ca="1">IF(NOW() &lt; CALENDARIO!$K84, "🔒", PALPITES!Y84 &amp; " x " &amp; PALPITES!Z84)</f>
        <v>🔒</v>
      </c>
      <c r="R85" s="56">
        <f>PALPITES!AA84</f>
        <v>0</v>
      </c>
      <c r="S85" s="57" t="str">
        <f ca="1">IF(NOW() &lt; CALENDARIO!$K84, "🔒", PALPITES!AC84 &amp; " x " &amp; PALPITES!AD84)</f>
        <v>🔒</v>
      </c>
      <c r="T85" s="57">
        <f>PALPITES!AE84</f>
        <v>0</v>
      </c>
      <c r="U85" s="56" t="str">
        <f ca="1">IF(NOW() &lt; CALENDARIO!$K84, "🔒", PALPITES!AG84 &amp; " x " &amp; PALPITES!AH84)</f>
        <v>🔒</v>
      </c>
      <c r="V85" s="56">
        <f>PALPITES!AI84</f>
        <v>0</v>
      </c>
      <c r="W85" s="57" t="str">
        <f ca="1">IF(NOW() &lt; CALENDARIO!$K84, "🔒", PALPITES!AK84 &amp; " x " &amp; PALPITES!AL84)</f>
        <v>🔒</v>
      </c>
      <c r="X85" s="57">
        <f>PALPITES!AM84</f>
        <v>0</v>
      </c>
      <c r="Y85" s="56" t="str">
        <f ca="1">IF(NOW() &lt; CALENDARIO!$K84, "🔒", PALPITES!AO84 &amp; " x " &amp; PALPITES!AP84)</f>
        <v>🔒</v>
      </c>
      <c r="Z85" s="56">
        <f>PALPITES!AQ84</f>
        <v>0</v>
      </c>
      <c r="AA85" s="57" t="str">
        <f ca="1">IF(NOW() &lt; CALENDARIO!$K84, "🔒", PALPITES!AS84 &amp; " x " &amp; PALPITES!AT84)</f>
        <v>🔒</v>
      </c>
      <c r="AB85" s="57">
        <f>PALPITES!AU84</f>
        <v>0</v>
      </c>
      <c r="AC85" s="56" t="str">
        <f ca="1">IF(NOW() &lt; CALENDARIO!$K84, "🔒", PALPITES!AW84 &amp; " x " &amp; PALPITES!AX84)</f>
        <v>🔒</v>
      </c>
      <c r="AD85" s="56">
        <f>PALPITES!AY84</f>
        <v>0</v>
      </c>
      <c r="AE85" s="57" t="str">
        <f ca="1">IF(NOW() &lt; CALENDARIO!$K84, "🔒", PALPITES!BA84 &amp; " x " &amp; PALPITES!BB84)</f>
        <v>🔒</v>
      </c>
      <c r="AF85" s="57">
        <f>PALPITES!BC84</f>
        <v>0</v>
      </c>
      <c r="AG85" s="56" t="str">
        <f ca="1">IF(NOW() &lt; CALENDARIO!$K84, "🔒", PALPITES!BE84 &amp; " x " &amp; PALPITES!BF84)</f>
        <v>🔒</v>
      </c>
      <c r="AH85" s="56">
        <f>PALPITES!BG84</f>
        <v>0</v>
      </c>
      <c r="AI85" s="57" t="str">
        <f ca="1">IF(NOW() &lt; CALENDARIO!$K84, "🔒", PALPITES!BI84 &amp; " x " &amp; PALPITES!BJ84)</f>
        <v>🔒</v>
      </c>
      <c r="AJ85" s="57">
        <f>PALPITES!BK84</f>
        <v>0</v>
      </c>
    </row>
    <row r="86" spans="1:36" ht="12.75">
      <c r="A86" s="58">
        <f>CALENDARIO!A85</f>
        <v>84</v>
      </c>
      <c r="B86" s="59">
        <f>CALENDARIO!B85</f>
        <v>46205</v>
      </c>
      <c r="C86" s="60">
        <f>CALENDARIO!C85</f>
        <v>0.66666666666666663</v>
      </c>
      <c r="D86" s="61" t="str">
        <f>CALENDARIO!D85</f>
        <v>Vencedor Grupo H</v>
      </c>
      <c r="E86" s="58">
        <f>CALENDARIO!E85</f>
        <v>0</v>
      </c>
      <c r="F86" s="58" t="str">
        <f>CALENDARIO!F85</f>
        <v>x</v>
      </c>
      <c r="G86" s="58">
        <f>CALENDARIO!G85</f>
        <v>0</v>
      </c>
      <c r="H86" s="61" t="str">
        <f>CALENDARIO!H85</f>
        <v>2º colocado Grupo J</v>
      </c>
      <c r="I86" s="56" t="str">
        <f ca="1">IF(NOW() &lt; CALENDARIO!$K85, "🔒", PALPITES!I85 &amp; " x " &amp; PALPITES!J85)</f>
        <v>🔒</v>
      </c>
      <c r="J86" s="56">
        <f>PALPITES!K85</f>
        <v>0</v>
      </c>
      <c r="K86" s="57" t="str">
        <f ca="1">IF(NOW() &lt; CALENDARIO!$K85, "🔒", PALPITES!M85 &amp; " x " &amp; PALPITES!N85)</f>
        <v>🔒</v>
      </c>
      <c r="L86" s="57">
        <f>PALPITES!O85</f>
        <v>0</v>
      </c>
      <c r="M86" s="56" t="str">
        <f ca="1">IF(NOW() &lt; CALENDARIO!$K85, "🔒", PALPITES!Q85 &amp; " x " &amp; PALPITES!R85)</f>
        <v>🔒</v>
      </c>
      <c r="N86" s="56">
        <f>PALPITES!S85</f>
        <v>0</v>
      </c>
      <c r="O86" s="57" t="str">
        <f ca="1">IF(NOW() &lt; CALENDARIO!$K85, "🔒", PALPITES!U85 &amp; " x " &amp; PALPITES!V85)</f>
        <v>🔒</v>
      </c>
      <c r="P86" s="57">
        <f>PALPITES!W85</f>
        <v>0</v>
      </c>
      <c r="Q86" s="56" t="str">
        <f ca="1">IF(NOW() &lt; CALENDARIO!$K85, "🔒", PALPITES!Y85 &amp; " x " &amp; PALPITES!Z85)</f>
        <v>🔒</v>
      </c>
      <c r="R86" s="56">
        <f>PALPITES!AA85</f>
        <v>0</v>
      </c>
      <c r="S86" s="57" t="str">
        <f ca="1">IF(NOW() &lt; CALENDARIO!$K85, "🔒", PALPITES!AC85 &amp; " x " &amp; PALPITES!AD85)</f>
        <v>🔒</v>
      </c>
      <c r="T86" s="57">
        <f>PALPITES!AE85</f>
        <v>0</v>
      </c>
      <c r="U86" s="56" t="str">
        <f ca="1">IF(NOW() &lt; CALENDARIO!$K85, "🔒", PALPITES!AG85 &amp; " x " &amp; PALPITES!AH85)</f>
        <v>🔒</v>
      </c>
      <c r="V86" s="56">
        <f>PALPITES!AI85</f>
        <v>0</v>
      </c>
      <c r="W86" s="57" t="str">
        <f ca="1">IF(NOW() &lt; CALENDARIO!$K85, "🔒", PALPITES!AK85 &amp; " x " &amp; PALPITES!AL85)</f>
        <v>🔒</v>
      </c>
      <c r="X86" s="57">
        <f>PALPITES!AM85</f>
        <v>0</v>
      </c>
      <c r="Y86" s="56" t="str">
        <f ca="1">IF(NOW() &lt; CALENDARIO!$K85, "🔒", PALPITES!AO85 &amp; " x " &amp; PALPITES!AP85)</f>
        <v>🔒</v>
      </c>
      <c r="Z86" s="56">
        <f>PALPITES!AQ85</f>
        <v>0</v>
      </c>
      <c r="AA86" s="57" t="str">
        <f ca="1">IF(NOW() &lt; CALENDARIO!$K85, "🔒", PALPITES!AS85 &amp; " x " &amp; PALPITES!AT85)</f>
        <v>🔒</v>
      </c>
      <c r="AB86" s="57">
        <f>PALPITES!AU85</f>
        <v>0</v>
      </c>
      <c r="AC86" s="56" t="str">
        <f ca="1">IF(NOW() &lt; CALENDARIO!$K85, "🔒", PALPITES!AW85 &amp; " x " &amp; PALPITES!AX85)</f>
        <v>🔒</v>
      </c>
      <c r="AD86" s="56">
        <f>PALPITES!AY85</f>
        <v>0</v>
      </c>
      <c r="AE86" s="57" t="str">
        <f ca="1">IF(NOW() &lt; CALENDARIO!$K85, "🔒", PALPITES!BA85 &amp; " x " &amp; PALPITES!BB85)</f>
        <v>🔒</v>
      </c>
      <c r="AF86" s="57">
        <f>PALPITES!BC85</f>
        <v>0</v>
      </c>
      <c r="AG86" s="56" t="str">
        <f ca="1">IF(NOW() &lt; CALENDARIO!$K85, "🔒", PALPITES!BE85 &amp; " x " &amp; PALPITES!BF85)</f>
        <v>🔒</v>
      </c>
      <c r="AH86" s="56">
        <f>PALPITES!BG85</f>
        <v>0</v>
      </c>
      <c r="AI86" s="57" t="str">
        <f ca="1">IF(NOW() &lt; CALENDARIO!$K85, "🔒", PALPITES!BI85 &amp; " x " &amp; PALPITES!BJ85)</f>
        <v>🔒</v>
      </c>
      <c r="AJ86" s="57">
        <f>PALPITES!BK85</f>
        <v>0</v>
      </c>
    </row>
    <row r="87" spans="1:36" ht="12.75">
      <c r="A87" s="58">
        <f>CALENDARIO!A86</f>
        <v>85</v>
      </c>
      <c r="B87" s="59">
        <f>CALENDARIO!B86</f>
        <v>46205</v>
      </c>
      <c r="C87" s="60">
        <f>CALENDARIO!C86</f>
        <v>0</v>
      </c>
      <c r="D87" s="61" t="str">
        <f>CALENDARIO!D86</f>
        <v>Vencedor Grupo B</v>
      </c>
      <c r="E87" s="58">
        <f>CALENDARIO!E86</f>
        <v>0</v>
      </c>
      <c r="F87" s="58" t="str">
        <f>CALENDARIO!F86</f>
        <v>x</v>
      </c>
      <c r="G87" s="58">
        <f>CALENDARIO!G86</f>
        <v>0</v>
      </c>
      <c r="H87" s="61" t="str">
        <f>CALENDARIO!H86</f>
        <v>3º colocado Grupos E/F/G/I/J</v>
      </c>
      <c r="I87" s="56" t="str">
        <f ca="1">IF(NOW() &lt; CALENDARIO!$K86, "🔒", PALPITES!I86 &amp; " x " &amp; PALPITES!J86)</f>
        <v>🔒</v>
      </c>
      <c r="J87" s="56">
        <f>PALPITES!K86</f>
        <v>0</v>
      </c>
      <c r="K87" s="57" t="str">
        <f ca="1">IF(NOW() &lt; CALENDARIO!$K86, "🔒", PALPITES!M86 &amp; " x " &amp; PALPITES!N86)</f>
        <v>🔒</v>
      </c>
      <c r="L87" s="57">
        <f>PALPITES!O86</f>
        <v>0</v>
      </c>
      <c r="M87" s="56" t="str">
        <f ca="1">IF(NOW() &lt; CALENDARIO!$K86, "🔒", PALPITES!Q86 &amp; " x " &amp; PALPITES!R86)</f>
        <v>🔒</v>
      </c>
      <c r="N87" s="56">
        <f>PALPITES!S86</f>
        <v>0</v>
      </c>
      <c r="O87" s="57" t="str">
        <f ca="1">IF(NOW() &lt; CALENDARIO!$K86, "🔒", PALPITES!U86 &amp; " x " &amp; PALPITES!V86)</f>
        <v>🔒</v>
      </c>
      <c r="P87" s="57">
        <f>PALPITES!W86</f>
        <v>0</v>
      </c>
      <c r="Q87" s="56" t="str">
        <f ca="1">IF(NOW() &lt; CALENDARIO!$K86, "🔒", PALPITES!Y86 &amp; " x " &amp; PALPITES!Z86)</f>
        <v>🔒</v>
      </c>
      <c r="R87" s="56">
        <f>PALPITES!AA86</f>
        <v>0</v>
      </c>
      <c r="S87" s="57" t="str">
        <f ca="1">IF(NOW() &lt; CALENDARIO!$K86, "🔒", PALPITES!AC86 &amp; " x " &amp; PALPITES!AD86)</f>
        <v>🔒</v>
      </c>
      <c r="T87" s="57">
        <f>PALPITES!AE86</f>
        <v>0</v>
      </c>
      <c r="U87" s="56" t="str">
        <f ca="1">IF(NOW() &lt; CALENDARIO!$K86, "🔒", PALPITES!AG86 &amp; " x " &amp; PALPITES!AH86)</f>
        <v>🔒</v>
      </c>
      <c r="V87" s="56">
        <f>PALPITES!AI86</f>
        <v>0</v>
      </c>
      <c r="W87" s="57" t="str">
        <f ca="1">IF(NOW() &lt; CALENDARIO!$K86, "🔒", PALPITES!AK86 &amp; " x " &amp; PALPITES!AL86)</f>
        <v>🔒</v>
      </c>
      <c r="X87" s="57">
        <f>PALPITES!AM86</f>
        <v>0</v>
      </c>
      <c r="Y87" s="56" t="str">
        <f ca="1">IF(NOW() &lt; CALENDARIO!$K86, "🔒", PALPITES!AO86 &amp; " x " &amp; PALPITES!AP86)</f>
        <v>🔒</v>
      </c>
      <c r="Z87" s="56">
        <f>PALPITES!AQ86</f>
        <v>0</v>
      </c>
      <c r="AA87" s="57" t="str">
        <f ca="1">IF(NOW() &lt; CALENDARIO!$K86, "🔒", PALPITES!AS86 &amp; " x " &amp; PALPITES!AT86)</f>
        <v>🔒</v>
      </c>
      <c r="AB87" s="57">
        <f>PALPITES!AU86</f>
        <v>0</v>
      </c>
      <c r="AC87" s="56" t="str">
        <f ca="1">IF(NOW() &lt; CALENDARIO!$K86, "🔒", PALPITES!AW86 &amp; " x " &amp; PALPITES!AX86)</f>
        <v>🔒</v>
      </c>
      <c r="AD87" s="56">
        <f>PALPITES!AY86</f>
        <v>0</v>
      </c>
      <c r="AE87" s="57" t="str">
        <f ca="1">IF(NOW() &lt; CALENDARIO!$K86, "🔒", PALPITES!BA86 &amp; " x " &amp; PALPITES!BB86)</f>
        <v>🔒</v>
      </c>
      <c r="AF87" s="57">
        <f>PALPITES!BC86</f>
        <v>0</v>
      </c>
      <c r="AG87" s="56" t="str">
        <f ca="1">IF(NOW() &lt; CALENDARIO!$K86, "🔒", PALPITES!BE86 &amp; " x " &amp; PALPITES!BF86)</f>
        <v>🔒</v>
      </c>
      <c r="AH87" s="56">
        <f>PALPITES!BG86</f>
        <v>0</v>
      </c>
      <c r="AI87" s="57" t="str">
        <f ca="1">IF(NOW() &lt; CALENDARIO!$K86, "🔒", PALPITES!BI86 &amp; " x " &amp; PALPITES!BJ86)</f>
        <v>🔒</v>
      </c>
      <c r="AJ87" s="57">
        <f>PALPITES!BK86</f>
        <v>0</v>
      </c>
    </row>
    <row r="88" spans="1:36" ht="12.75">
      <c r="A88" s="58">
        <f>CALENDARIO!A87</f>
        <v>86</v>
      </c>
      <c r="B88" s="59">
        <f>CALENDARIO!B87</f>
        <v>46206</v>
      </c>
      <c r="C88" s="60">
        <f>CALENDARIO!C87</f>
        <v>0.79166666666666663</v>
      </c>
      <c r="D88" s="61" t="str">
        <f>CALENDARIO!D87</f>
        <v>Vencedor Grupo J</v>
      </c>
      <c r="E88" s="58">
        <f>CALENDARIO!E87</f>
        <v>0</v>
      </c>
      <c r="F88" s="58" t="str">
        <f>CALENDARIO!F87</f>
        <v>x</v>
      </c>
      <c r="G88" s="58">
        <f>CALENDARIO!G87</f>
        <v>0</v>
      </c>
      <c r="H88" s="61" t="str">
        <f>CALENDARIO!H87</f>
        <v>2º colocado Grupo H</v>
      </c>
      <c r="I88" s="56" t="str">
        <f ca="1">IF(NOW() &lt; CALENDARIO!$K87, "🔒", PALPITES!I87 &amp; " x " &amp; PALPITES!J87)</f>
        <v>🔒</v>
      </c>
      <c r="J88" s="56">
        <f>PALPITES!K87</f>
        <v>0</v>
      </c>
      <c r="K88" s="57" t="str">
        <f ca="1">IF(NOW() &lt; CALENDARIO!$K87, "🔒", PALPITES!M87 &amp; " x " &amp; PALPITES!N87)</f>
        <v>🔒</v>
      </c>
      <c r="L88" s="57">
        <f>PALPITES!O87</f>
        <v>0</v>
      </c>
      <c r="M88" s="56" t="str">
        <f ca="1">IF(NOW() &lt; CALENDARIO!$K87, "🔒", PALPITES!Q87 &amp; " x " &amp; PALPITES!R87)</f>
        <v>🔒</v>
      </c>
      <c r="N88" s="56">
        <f>PALPITES!S87</f>
        <v>0</v>
      </c>
      <c r="O88" s="57" t="str">
        <f ca="1">IF(NOW() &lt; CALENDARIO!$K87, "🔒", PALPITES!U87 &amp; " x " &amp; PALPITES!V87)</f>
        <v>🔒</v>
      </c>
      <c r="P88" s="57">
        <f>PALPITES!W87</f>
        <v>0</v>
      </c>
      <c r="Q88" s="56" t="str">
        <f ca="1">IF(NOW() &lt; CALENDARIO!$K87, "🔒", PALPITES!Y87 &amp; " x " &amp; PALPITES!Z87)</f>
        <v>🔒</v>
      </c>
      <c r="R88" s="56">
        <f>PALPITES!AA87</f>
        <v>0</v>
      </c>
      <c r="S88" s="57" t="str">
        <f ca="1">IF(NOW() &lt; CALENDARIO!$K87, "🔒", PALPITES!AC87 &amp; " x " &amp; PALPITES!AD87)</f>
        <v>🔒</v>
      </c>
      <c r="T88" s="57">
        <f>PALPITES!AE87</f>
        <v>0</v>
      </c>
      <c r="U88" s="56" t="str">
        <f ca="1">IF(NOW() &lt; CALENDARIO!$K87, "🔒", PALPITES!AG87 &amp; " x " &amp; PALPITES!AH87)</f>
        <v>🔒</v>
      </c>
      <c r="V88" s="56">
        <f>PALPITES!AI87</f>
        <v>0</v>
      </c>
      <c r="W88" s="57" t="str">
        <f ca="1">IF(NOW() &lt; CALENDARIO!$K87, "🔒", PALPITES!AK87 &amp; " x " &amp; PALPITES!AL87)</f>
        <v>🔒</v>
      </c>
      <c r="X88" s="57">
        <f>PALPITES!AM87</f>
        <v>0</v>
      </c>
      <c r="Y88" s="56" t="str">
        <f ca="1">IF(NOW() &lt; CALENDARIO!$K87, "🔒", PALPITES!AO87 &amp; " x " &amp; PALPITES!AP87)</f>
        <v>🔒</v>
      </c>
      <c r="Z88" s="56">
        <f>PALPITES!AQ87</f>
        <v>0</v>
      </c>
      <c r="AA88" s="57" t="str">
        <f ca="1">IF(NOW() &lt; CALENDARIO!$K87, "🔒", PALPITES!AS87 &amp; " x " &amp; PALPITES!AT87)</f>
        <v>🔒</v>
      </c>
      <c r="AB88" s="57">
        <f>PALPITES!AU87</f>
        <v>0</v>
      </c>
      <c r="AC88" s="56" t="str">
        <f ca="1">IF(NOW() &lt; CALENDARIO!$K87, "🔒", PALPITES!AW87 &amp; " x " &amp; PALPITES!AX87)</f>
        <v>🔒</v>
      </c>
      <c r="AD88" s="56">
        <f>PALPITES!AY87</f>
        <v>0</v>
      </c>
      <c r="AE88" s="57" t="str">
        <f ca="1">IF(NOW() &lt; CALENDARIO!$K87, "🔒", PALPITES!BA87 &amp; " x " &amp; PALPITES!BB87)</f>
        <v>🔒</v>
      </c>
      <c r="AF88" s="57">
        <f>PALPITES!BC87</f>
        <v>0</v>
      </c>
      <c r="AG88" s="56" t="str">
        <f ca="1">IF(NOW() &lt; CALENDARIO!$K87, "🔒", PALPITES!BE87 &amp; " x " &amp; PALPITES!BF87)</f>
        <v>🔒</v>
      </c>
      <c r="AH88" s="56">
        <f>PALPITES!BG87</f>
        <v>0</v>
      </c>
      <c r="AI88" s="57" t="str">
        <f ca="1">IF(NOW() &lt; CALENDARIO!$K87, "🔒", PALPITES!BI87 &amp; " x " &amp; PALPITES!BJ87)</f>
        <v>🔒</v>
      </c>
      <c r="AJ88" s="57">
        <f>PALPITES!BK87</f>
        <v>0</v>
      </c>
    </row>
    <row r="89" spans="1:36" ht="12.75">
      <c r="A89" s="58">
        <f>CALENDARIO!A88</f>
        <v>87</v>
      </c>
      <c r="B89" s="59">
        <f>CALENDARIO!B88</f>
        <v>46206</v>
      </c>
      <c r="C89" s="60">
        <f>CALENDARIO!C88</f>
        <v>0.9375</v>
      </c>
      <c r="D89" s="61" t="str">
        <f>CALENDARIO!D88</f>
        <v>Vencedor Grupo K</v>
      </c>
      <c r="E89" s="58">
        <f>CALENDARIO!E88</f>
        <v>0</v>
      </c>
      <c r="F89" s="58" t="str">
        <f>CALENDARIO!F88</f>
        <v>x</v>
      </c>
      <c r="G89" s="58">
        <f>CALENDARIO!G88</f>
        <v>0</v>
      </c>
      <c r="H89" s="61" t="str">
        <f>CALENDARIO!H88</f>
        <v>3º colocado Grupos D/E/I/J/L</v>
      </c>
      <c r="I89" s="56" t="str">
        <f ca="1">IF(NOW() &lt; CALENDARIO!$K88, "🔒", PALPITES!I88 &amp; " x " &amp; PALPITES!J88)</f>
        <v>🔒</v>
      </c>
      <c r="J89" s="56">
        <f>PALPITES!K88</f>
        <v>0</v>
      </c>
      <c r="K89" s="57" t="str">
        <f ca="1">IF(NOW() &lt; CALENDARIO!$K88, "🔒", PALPITES!M88 &amp; " x " &amp; PALPITES!N88)</f>
        <v>🔒</v>
      </c>
      <c r="L89" s="57">
        <f>PALPITES!O88</f>
        <v>0</v>
      </c>
      <c r="M89" s="56" t="str">
        <f ca="1">IF(NOW() &lt; CALENDARIO!$K88, "🔒", PALPITES!Q88 &amp; " x " &amp; PALPITES!R88)</f>
        <v>🔒</v>
      </c>
      <c r="N89" s="56">
        <f>PALPITES!S88</f>
        <v>0</v>
      </c>
      <c r="O89" s="57" t="str">
        <f ca="1">IF(NOW() &lt; CALENDARIO!$K88, "🔒", PALPITES!U88 &amp; " x " &amp; PALPITES!V88)</f>
        <v>🔒</v>
      </c>
      <c r="P89" s="57">
        <f>PALPITES!W88</f>
        <v>0</v>
      </c>
      <c r="Q89" s="56" t="str">
        <f ca="1">IF(NOW() &lt; CALENDARIO!$K88, "🔒", PALPITES!Y88 &amp; " x " &amp; PALPITES!Z88)</f>
        <v>🔒</v>
      </c>
      <c r="R89" s="56">
        <f>PALPITES!AA88</f>
        <v>0</v>
      </c>
      <c r="S89" s="57" t="str">
        <f ca="1">IF(NOW() &lt; CALENDARIO!$K88, "🔒", PALPITES!AC88 &amp; " x " &amp; PALPITES!AD88)</f>
        <v>🔒</v>
      </c>
      <c r="T89" s="57">
        <f>PALPITES!AE88</f>
        <v>0</v>
      </c>
      <c r="U89" s="56" t="str">
        <f ca="1">IF(NOW() &lt; CALENDARIO!$K88, "🔒", PALPITES!AG88 &amp; " x " &amp; PALPITES!AH88)</f>
        <v>🔒</v>
      </c>
      <c r="V89" s="56">
        <f>PALPITES!AI88</f>
        <v>0</v>
      </c>
      <c r="W89" s="57" t="str">
        <f ca="1">IF(NOW() &lt; CALENDARIO!$K88, "🔒", PALPITES!AK88 &amp; " x " &amp; PALPITES!AL88)</f>
        <v>🔒</v>
      </c>
      <c r="X89" s="57">
        <f>PALPITES!AM88</f>
        <v>0</v>
      </c>
      <c r="Y89" s="56" t="str">
        <f ca="1">IF(NOW() &lt; CALENDARIO!$K88, "🔒", PALPITES!AO88 &amp; " x " &amp; PALPITES!AP88)</f>
        <v>🔒</v>
      </c>
      <c r="Z89" s="56">
        <f>PALPITES!AQ88</f>
        <v>0</v>
      </c>
      <c r="AA89" s="57" t="str">
        <f ca="1">IF(NOW() &lt; CALENDARIO!$K88, "🔒", PALPITES!AS88 &amp; " x " &amp; PALPITES!AT88)</f>
        <v>🔒</v>
      </c>
      <c r="AB89" s="57">
        <f>PALPITES!AU88</f>
        <v>0</v>
      </c>
      <c r="AC89" s="56" t="str">
        <f ca="1">IF(NOW() &lt; CALENDARIO!$K88, "🔒", PALPITES!AW88 &amp; " x " &amp; PALPITES!AX88)</f>
        <v>🔒</v>
      </c>
      <c r="AD89" s="56">
        <f>PALPITES!AY88</f>
        <v>0</v>
      </c>
      <c r="AE89" s="57" t="str">
        <f ca="1">IF(NOW() &lt; CALENDARIO!$K88, "🔒", PALPITES!BA88 &amp; " x " &amp; PALPITES!BB88)</f>
        <v>🔒</v>
      </c>
      <c r="AF89" s="57">
        <f>PALPITES!BC88</f>
        <v>0</v>
      </c>
      <c r="AG89" s="56" t="str">
        <f ca="1">IF(NOW() &lt; CALENDARIO!$K88, "🔒", PALPITES!BE88 &amp; " x " &amp; PALPITES!BF88)</f>
        <v>🔒</v>
      </c>
      <c r="AH89" s="56">
        <f>PALPITES!BG88</f>
        <v>0</v>
      </c>
      <c r="AI89" s="57" t="str">
        <f ca="1">IF(NOW() &lt; CALENDARIO!$K88, "🔒", PALPITES!BI88 &amp; " x " &amp; PALPITES!BJ88)</f>
        <v>🔒</v>
      </c>
      <c r="AJ89" s="57">
        <f>PALPITES!BK88</f>
        <v>0</v>
      </c>
    </row>
    <row r="90" spans="1:36" ht="12.75">
      <c r="A90" s="58">
        <f>CALENDARIO!A89</f>
        <v>88</v>
      </c>
      <c r="B90" s="59">
        <f>CALENDARIO!B89</f>
        <v>46206</v>
      </c>
      <c r="C90" s="60">
        <f>CALENDARIO!C89</f>
        <v>0.625</v>
      </c>
      <c r="D90" s="61" t="str">
        <f>CALENDARIO!D89</f>
        <v>2º colocado Grupo D</v>
      </c>
      <c r="E90" s="58">
        <f>CALENDARIO!E89</f>
        <v>0</v>
      </c>
      <c r="F90" s="58" t="str">
        <f>CALENDARIO!F89</f>
        <v>x</v>
      </c>
      <c r="G90" s="58">
        <f>CALENDARIO!G89</f>
        <v>0</v>
      </c>
      <c r="H90" s="61" t="str">
        <f>CALENDARIO!H89</f>
        <v>2º colocado Grupo G</v>
      </c>
      <c r="I90" s="56" t="str">
        <f ca="1">IF(NOW() &lt; CALENDARIO!$K89, "🔒", PALPITES!I89 &amp; " x " &amp; PALPITES!J89)</f>
        <v>🔒</v>
      </c>
      <c r="J90" s="56">
        <f>PALPITES!K89</f>
        <v>0</v>
      </c>
      <c r="K90" s="57" t="str">
        <f ca="1">IF(NOW() &lt; CALENDARIO!$K89, "🔒", PALPITES!M89 &amp; " x " &amp; PALPITES!N89)</f>
        <v>🔒</v>
      </c>
      <c r="L90" s="57">
        <f>PALPITES!O89</f>
        <v>0</v>
      </c>
      <c r="M90" s="56" t="str">
        <f ca="1">IF(NOW() &lt; CALENDARIO!$K89, "🔒", PALPITES!Q89 &amp; " x " &amp; PALPITES!R89)</f>
        <v>🔒</v>
      </c>
      <c r="N90" s="56">
        <f>PALPITES!S89</f>
        <v>0</v>
      </c>
      <c r="O90" s="57" t="str">
        <f ca="1">IF(NOW() &lt; CALENDARIO!$K89, "🔒", PALPITES!U89 &amp; " x " &amp; PALPITES!V89)</f>
        <v>🔒</v>
      </c>
      <c r="P90" s="57">
        <f>PALPITES!W89</f>
        <v>0</v>
      </c>
      <c r="Q90" s="56" t="str">
        <f ca="1">IF(NOW() &lt; CALENDARIO!$K89, "🔒", PALPITES!Y89 &amp; " x " &amp; PALPITES!Z89)</f>
        <v>🔒</v>
      </c>
      <c r="R90" s="56">
        <f>PALPITES!AA89</f>
        <v>0</v>
      </c>
      <c r="S90" s="57" t="str">
        <f ca="1">IF(NOW() &lt; CALENDARIO!$K89, "🔒", PALPITES!AC89 &amp; " x " &amp; PALPITES!AD89)</f>
        <v>🔒</v>
      </c>
      <c r="T90" s="57">
        <f>PALPITES!AE89</f>
        <v>0</v>
      </c>
      <c r="U90" s="56" t="str">
        <f ca="1">IF(NOW() &lt; CALENDARIO!$K89, "🔒", PALPITES!AG89 &amp; " x " &amp; PALPITES!AH89)</f>
        <v>🔒</v>
      </c>
      <c r="V90" s="56">
        <f>PALPITES!AI89</f>
        <v>0</v>
      </c>
      <c r="W90" s="57" t="str">
        <f ca="1">IF(NOW() &lt; CALENDARIO!$K89, "🔒", PALPITES!AK89 &amp; " x " &amp; PALPITES!AL89)</f>
        <v>🔒</v>
      </c>
      <c r="X90" s="57">
        <f>PALPITES!AM89</f>
        <v>0</v>
      </c>
      <c r="Y90" s="56" t="str">
        <f ca="1">IF(NOW() &lt; CALENDARIO!$K89, "🔒", PALPITES!AO89 &amp; " x " &amp; PALPITES!AP89)</f>
        <v>🔒</v>
      </c>
      <c r="Z90" s="56">
        <f>PALPITES!AQ89</f>
        <v>0</v>
      </c>
      <c r="AA90" s="57" t="str">
        <f ca="1">IF(NOW() &lt; CALENDARIO!$K89, "🔒", PALPITES!AS89 &amp; " x " &amp; PALPITES!AT89)</f>
        <v>🔒</v>
      </c>
      <c r="AB90" s="57">
        <f>PALPITES!AU89</f>
        <v>0</v>
      </c>
      <c r="AC90" s="56" t="str">
        <f ca="1">IF(NOW() &lt; CALENDARIO!$K89, "🔒", PALPITES!AW89 &amp; " x " &amp; PALPITES!AX89)</f>
        <v>🔒</v>
      </c>
      <c r="AD90" s="56">
        <f>PALPITES!AY89</f>
        <v>0</v>
      </c>
      <c r="AE90" s="57" t="str">
        <f ca="1">IF(NOW() &lt; CALENDARIO!$K89, "🔒", PALPITES!BA89 &amp; " x " &amp; PALPITES!BB89)</f>
        <v>🔒</v>
      </c>
      <c r="AF90" s="57">
        <f>PALPITES!BC89</f>
        <v>0</v>
      </c>
      <c r="AG90" s="56" t="str">
        <f ca="1">IF(NOW() &lt; CALENDARIO!$K89, "🔒", PALPITES!BE89 &amp; " x " &amp; PALPITES!BF89)</f>
        <v>🔒</v>
      </c>
      <c r="AH90" s="56">
        <f>PALPITES!BG89</f>
        <v>0</v>
      </c>
      <c r="AI90" s="57" t="str">
        <f ca="1">IF(NOW() &lt; CALENDARIO!$K89, "🔒", PALPITES!BI89 &amp; " x " &amp; PALPITES!BJ89)</f>
        <v>🔒</v>
      </c>
      <c r="AJ90" s="57">
        <f>PALPITES!BK89</f>
        <v>0</v>
      </c>
    </row>
    <row r="91" spans="1:36" ht="12.75">
      <c r="A91" s="58">
        <f>CALENDARIO!A90</f>
        <v>89</v>
      </c>
      <c r="B91" s="59">
        <f>CALENDARIO!B90</f>
        <v>46207</v>
      </c>
      <c r="C91" s="60">
        <f>CALENDARIO!C90</f>
        <v>0.75</v>
      </c>
      <c r="D91" s="61" t="str">
        <f>CALENDARIO!D90</f>
        <v>Vencedor jogo 74</v>
      </c>
      <c r="E91" s="58">
        <f>CALENDARIO!E90</f>
        <v>0</v>
      </c>
      <c r="F91" s="58" t="str">
        <f>CALENDARIO!F90</f>
        <v>x</v>
      </c>
      <c r="G91" s="58">
        <f>CALENDARIO!G90</f>
        <v>0</v>
      </c>
      <c r="H91" s="61" t="str">
        <f>CALENDARIO!H90</f>
        <v>Vencedor jogo 77</v>
      </c>
      <c r="I91" s="56" t="str">
        <f ca="1">IF(NOW() &lt; CALENDARIO!$K90, "🔒", PALPITES!I90 &amp; " x " &amp; PALPITES!J90)</f>
        <v>🔒</v>
      </c>
      <c r="J91" s="56">
        <f>PALPITES!K90</f>
        <v>0</v>
      </c>
      <c r="K91" s="57" t="str">
        <f ca="1">IF(NOW() &lt; CALENDARIO!$K90, "🔒", PALPITES!M90 &amp; " x " &amp; PALPITES!N90)</f>
        <v>🔒</v>
      </c>
      <c r="L91" s="57">
        <f>PALPITES!O90</f>
        <v>0</v>
      </c>
      <c r="M91" s="56" t="str">
        <f ca="1">IF(NOW() &lt; CALENDARIO!$K90, "🔒", PALPITES!Q90 &amp; " x " &amp; PALPITES!R90)</f>
        <v>🔒</v>
      </c>
      <c r="N91" s="56">
        <f>PALPITES!S90</f>
        <v>0</v>
      </c>
      <c r="O91" s="57" t="str">
        <f ca="1">IF(NOW() &lt; CALENDARIO!$K90, "🔒", PALPITES!U90 &amp; " x " &amp; PALPITES!V90)</f>
        <v>🔒</v>
      </c>
      <c r="P91" s="57">
        <f>PALPITES!W90</f>
        <v>0</v>
      </c>
      <c r="Q91" s="56" t="str">
        <f ca="1">IF(NOW() &lt; CALENDARIO!$K90, "🔒", PALPITES!Y90 &amp; " x " &amp; PALPITES!Z90)</f>
        <v>🔒</v>
      </c>
      <c r="R91" s="56">
        <f>PALPITES!AA90</f>
        <v>0</v>
      </c>
      <c r="S91" s="57" t="str">
        <f ca="1">IF(NOW() &lt; CALENDARIO!$K90, "🔒", PALPITES!AC90 &amp; " x " &amp; PALPITES!AD90)</f>
        <v>🔒</v>
      </c>
      <c r="T91" s="57">
        <f>PALPITES!AE90</f>
        <v>0</v>
      </c>
      <c r="U91" s="56" t="str">
        <f ca="1">IF(NOW() &lt; CALENDARIO!$K90, "🔒", PALPITES!AG90 &amp; " x " &amp; PALPITES!AH90)</f>
        <v>🔒</v>
      </c>
      <c r="V91" s="56">
        <f>PALPITES!AI90</f>
        <v>0</v>
      </c>
      <c r="W91" s="57" t="str">
        <f ca="1">IF(NOW() &lt; CALENDARIO!$K90, "🔒", PALPITES!AK90 &amp; " x " &amp; PALPITES!AL90)</f>
        <v>🔒</v>
      </c>
      <c r="X91" s="57">
        <f>PALPITES!AM90</f>
        <v>0</v>
      </c>
      <c r="Y91" s="56" t="str">
        <f ca="1">IF(NOW() &lt; CALENDARIO!$K90, "🔒", PALPITES!AO90 &amp; " x " &amp; PALPITES!AP90)</f>
        <v>🔒</v>
      </c>
      <c r="Z91" s="56">
        <f>PALPITES!AQ90</f>
        <v>0</v>
      </c>
      <c r="AA91" s="57" t="str">
        <f ca="1">IF(NOW() &lt; CALENDARIO!$K90, "🔒", PALPITES!AS90 &amp; " x " &amp; PALPITES!AT90)</f>
        <v>🔒</v>
      </c>
      <c r="AB91" s="57">
        <f>PALPITES!AU90</f>
        <v>0</v>
      </c>
      <c r="AC91" s="56" t="str">
        <f ca="1">IF(NOW() &lt; CALENDARIO!$K90, "🔒", PALPITES!AW90 &amp; " x " &amp; PALPITES!AX90)</f>
        <v>🔒</v>
      </c>
      <c r="AD91" s="56">
        <f>PALPITES!AY90</f>
        <v>0</v>
      </c>
      <c r="AE91" s="57" t="str">
        <f ca="1">IF(NOW() &lt; CALENDARIO!$K90, "🔒", PALPITES!BA90 &amp; " x " &amp; PALPITES!BB90)</f>
        <v>🔒</v>
      </c>
      <c r="AF91" s="57">
        <f>PALPITES!BC90</f>
        <v>0</v>
      </c>
      <c r="AG91" s="56" t="str">
        <f ca="1">IF(NOW() &lt; CALENDARIO!$K90, "🔒", PALPITES!BE90 &amp; " x " &amp; PALPITES!BF90)</f>
        <v>🔒</v>
      </c>
      <c r="AH91" s="56">
        <f>PALPITES!BG90</f>
        <v>0</v>
      </c>
      <c r="AI91" s="57" t="str">
        <f ca="1">IF(NOW() &lt; CALENDARIO!$K90, "🔒", PALPITES!BI90 &amp; " x " &amp; PALPITES!BJ90)</f>
        <v>🔒</v>
      </c>
      <c r="AJ91" s="57">
        <f>PALPITES!BK90</f>
        <v>0</v>
      </c>
    </row>
    <row r="92" spans="1:36" ht="12.75">
      <c r="A92" s="58">
        <f>CALENDARIO!A91</f>
        <v>90</v>
      </c>
      <c r="B92" s="59">
        <f>CALENDARIO!B91</f>
        <v>46207</v>
      </c>
      <c r="C92" s="60">
        <f>CALENDARIO!C91</f>
        <v>0.58333333333333337</v>
      </c>
      <c r="D92" s="61" t="str">
        <f>CALENDARIO!D91</f>
        <v>Vencedor jogo 73</v>
      </c>
      <c r="E92" s="58">
        <f>CALENDARIO!E91</f>
        <v>0</v>
      </c>
      <c r="F92" s="58" t="str">
        <f>CALENDARIO!F91</f>
        <v>x</v>
      </c>
      <c r="G92" s="58">
        <f>CALENDARIO!G91</f>
        <v>0</v>
      </c>
      <c r="H92" s="61" t="str">
        <f>CALENDARIO!H91</f>
        <v>Vencedor jogo 75</v>
      </c>
      <c r="I92" s="56" t="str">
        <f ca="1">IF(NOW() &lt; CALENDARIO!$K91, "🔒", PALPITES!I91 &amp; " x " &amp; PALPITES!J91)</f>
        <v>🔒</v>
      </c>
      <c r="J92" s="56">
        <f>PALPITES!K91</f>
        <v>0</v>
      </c>
      <c r="K92" s="57" t="str">
        <f ca="1">IF(NOW() &lt; CALENDARIO!$K91, "🔒", PALPITES!M91 &amp; " x " &amp; PALPITES!N91)</f>
        <v>🔒</v>
      </c>
      <c r="L92" s="57">
        <f>PALPITES!O91</f>
        <v>0</v>
      </c>
      <c r="M92" s="56" t="str">
        <f ca="1">IF(NOW() &lt; CALENDARIO!$K91, "🔒", PALPITES!Q91 &amp; " x " &amp; PALPITES!R91)</f>
        <v>🔒</v>
      </c>
      <c r="N92" s="56">
        <f>PALPITES!S91</f>
        <v>0</v>
      </c>
      <c r="O92" s="57" t="str">
        <f ca="1">IF(NOW() &lt; CALENDARIO!$K91, "🔒", PALPITES!U91 &amp; " x " &amp; PALPITES!V91)</f>
        <v>🔒</v>
      </c>
      <c r="P92" s="57">
        <f>PALPITES!W91</f>
        <v>0</v>
      </c>
      <c r="Q92" s="56" t="str">
        <f ca="1">IF(NOW() &lt; CALENDARIO!$K91, "🔒", PALPITES!Y91 &amp; " x " &amp; PALPITES!Z91)</f>
        <v>🔒</v>
      </c>
      <c r="R92" s="56">
        <f>PALPITES!AA91</f>
        <v>0</v>
      </c>
      <c r="S92" s="57" t="str">
        <f ca="1">IF(NOW() &lt; CALENDARIO!$K91, "🔒", PALPITES!AC91 &amp; " x " &amp; PALPITES!AD91)</f>
        <v>🔒</v>
      </c>
      <c r="T92" s="57">
        <f>PALPITES!AE91</f>
        <v>0</v>
      </c>
      <c r="U92" s="56" t="str">
        <f ca="1">IF(NOW() &lt; CALENDARIO!$K91, "🔒", PALPITES!AG91 &amp; " x " &amp; PALPITES!AH91)</f>
        <v>🔒</v>
      </c>
      <c r="V92" s="56">
        <f>PALPITES!AI91</f>
        <v>0</v>
      </c>
      <c r="W92" s="57" t="str">
        <f ca="1">IF(NOW() &lt; CALENDARIO!$K91, "🔒", PALPITES!AK91 &amp; " x " &amp; PALPITES!AL91)</f>
        <v>🔒</v>
      </c>
      <c r="X92" s="57">
        <f>PALPITES!AM91</f>
        <v>0</v>
      </c>
      <c r="Y92" s="56" t="str">
        <f ca="1">IF(NOW() &lt; CALENDARIO!$K91, "🔒", PALPITES!AO91 &amp; " x " &amp; PALPITES!AP91)</f>
        <v>🔒</v>
      </c>
      <c r="Z92" s="56">
        <f>PALPITES!AQ91</f>
        <v>0</v>
      </c>
      <c r="AA92" s="57" t="str">
        <f ca="1">IF(NOW() &lt; CALENDARIO!$K91, "🔒", PALPITES!AS91 &amp; " x " &amp; PALPITES!AT91)</f>
        <v>🔒</v>
      </c>
      <c r="AB92" s="57">
        <f>PALPITES!AU91</f>
        <v>0</v>
      </c>
      <c r="AC92" s="56" t="str">
        <f ca="1">IF(NOW() &lt; CALENDARIO!$K91, "🔒", PALPITES!AW91 &amp; " x " &amp; PALPITES!AX91)</f>
        <v>🔒</v>
      </c>
      <c r="AD92" s="56">
        <f>PALPITES!AY91</f>
        <v>0</v>
      </c>
      <c r="AE92" s="57" t="str">
        <f ca="1">IF(NOW() &lt; CALENDARIO!$K91, "🔒", PALPITES!BA91 &amp; " x " &amp; PALPITES!BB91)</f>
        <v>🔒</v>
      </c>
      <c r="AF92" s="57">
        <f>PALPITES!BC91</f>
        <v>0</v>
      </c>
      <c r="AG92" s="56" t="str">
        <f ca="1">IF(NOW() &lt; CALENDARIO!$K91, "🔒", PALPITES!BE91 &amp; " x " &amp; PALPITES!BF91)</f>
        <v>🔒</v>
      </c>
      <c r="AH92" s="56">
        <f>PALPITES!BG91</f>
        <v>0</v>
      </c>
      <c r="AI92" s="57" t="str">
        <f ca="1">IF(NOW() &lt; CALENDARIO!$K91, "🔒", PALPITES!BI91 &amp; " x " &amp; PALPITES!BJ91)</f>
        <v>🔒</v>
      </c>
      <c r="AJ92" s="57">
        <f>PALPITES!BK91</f>
        <v>0</v>
      </c>
    </row>
    <row r="93" spans="1:36" ht="12.75">
      <c r="A93" s="58">
        <f>CALENDARIO!A92</f>
        <v>91</v>
      </c>
      <c r="B93" s="59">
        <f>CALENDARIO!B92</f>
        <v>46208</v>
      </c>
      <c r="C93" s="60">
        <f>CALENDARIO!C92</f>
        <v>0.70833333333333337</v>
      </c>
      <c r="D93" s="61" t="str">
        <f>CALENDARIO!D92</f>
        <v>Vencedor jogo 76</v>
      </c>
      <c r="E93" s="58">
        <f>CALENDARIO!E92</f>
        <v>0</v>
      </c>
      <c r="F93" s="58" t="str">
        <f>CALENDARIO!F92</f>
        <v>x</v>
      </c>
      <c r="G93" s="58">
        <f>CALENDARIO!G92</f>
        <v>0</v>
      </c>
      <c r="H93" s="61" t="str">
        <f>CALENDARIO!H92</f>
        <v>Vencedor jogo 78</v>
      </c>
      <c r="I93" s="56" t="str">
        <f ca="1">IF(NOW() &lt; CALENDARIO!$K92, "🔒", PALPITES!I92 &amp; " x " &amp; PALPITES!J92)</f>
        <v>🔒</v>
      </c>
      <c r="J93" s="56">
        <f>PALPITES!K92</f>
        <v>0</v>
      </c>
      <c r="K93" s="57" t="str">
        <f ca="1">IF(NOW() &lt; CALENDARIO!$K92, "🔒", PALPITES!M92 &amp; " x " &amp; PALPITES!N92)</f>
        <v>🔒</v>
      </c>
      <c r="L93" s="57">
        <f>PALPITES!O92</f>
        <v>0</v>
      </c>
      <c r="M93" s="56" t="str">
        <f ca="1">IF(NOW() &lt; CALENDARIO!$K92, "🔒", PALPITES!Q92 &amp; " x " &amp; PALPITES!R92)</f>
        <v>🔒</v>
      </c>
      <c r="N93" s="56">
        <f>PALPITES!S92</f>
        <v>0</v>
      </c>
      <c r="O93" s="57" t="str">
        <f ca="1">IF(NOW() &lt; CALENDARIO!$K92, "🔒", PALPITES!U92 &amp; " x " &amp; PALPITES!V92)</f>
        <v>🔒</v>
      </c>
      <c r="P93" s="57">
        <f>PALPITES!W92</f>
        <v>0</v>
      </c>
      <c r="Q93" s="56" t="str">
        <f ca="1">IF(NOW() &lt; CALENDARIO!$K92, "🔒", PALPITES!Y92 &amp; " x " &amp; PALPITES!Z92)</f>
        <v>🔒</v>
      </c>
      <c r="R93" s="56">
        <f>PALPITES!AA92</f>
        <v>0</v>
      </c>
      <c r="S93" s="57" t="str">
        <f ca="1">IF(NOW() &lt; CALENDARIO!$K92, "🔒", PALPITES!AC92 &amp; " x " &amp; PALPITES!AD92)</f>
        <v>🔒</v>
      </c>
      <c r="T93" s="57">
        <f>PALPITES!AE92</f>
        <v>0</v>
      </c>
      <c r="U93" s="56" t="str">
        <f ca="1">IF(NOW() &lt; CALENDARIO!$K92, "🔒", PALPITES!AG92 &amp; " x " &amp; PALPITES!AH92)</f>
        <v>🔒</v>
      </c>
      <c r="V93" s="56">
        <f>PALPITES!AI92</f>
        <v>0</v>
      </c>
      <c r="W93" s="57" t="str">
        <f ca="1">IF(NOW() &lt; CALENDARIO!$K92, "🔒", PALPITES!AK92 &amp; " x " &amp; PALPITES!AL92)</f>
        <v>🔒</v>
      </c>
      <c r="X93" s="57">
        <f>PALPITES!AM92</f>
        <v>0</v>
      </c>
      <c r="Y93" s="56" t="str">
        <f ca="1">IF(NOW() &lt; CALENDARIO!$K92, "🔒", PALPITES!AO92 &amp; " x " &amp; PALPITES!AP92)</f>
        <v>🔒</v>
      </c>
      <c r="Z93" s="56">
        <f>PALPITES!AQ92</f>
        <v>0</v>
      </c>
      <c r="AA93" s="57" t="str">
        <f ca="1">IF(NOW() &lt; CALENDARIO!$K92, "🔒", PALPITES!AS92 &amp; " x " &amp; PALPITES!AT92)</f>
        <v>🔒</v>
      </c>
      <c r="AB93" s="57">
        <f>PALPITES!AU92</f>
        <v>0</v>
      </c>
      <c r="AC93" s="56" t="str">
        <f ca="1">IF(NOW() &lt; CALENDARIO!$K92, "🔒", PALPITES!AW92 &amp; " x " &amp; PALPITES!AX92)</f>
        <v>🔒</v>
      </c>
      <c r="AD93" s="56">
        <f>PALPITES!AY92</f>
        <v>0</v>
      </c>
      <c r="AE93" s="57" t="str">
        <f ca="1">IF(NOW() &lt; CALENDARIO!$K92, "🔒", PALPITES!BA92 &amp; " x " &amp; PALPITES!BB92)</f>
        <v>🔒</v>
      </c>
      <c r="AF93" s="57">
        <f>PALPITES!BC92</f>
        <v>0</v>
      </c>
      <c r="AG93" s="56" t="str">
        <f ca="1">IF(NOW() &lt; CALENDARIO!$K92, "🔒", PALPITES!BE92 &amp; " x " &amp; PALPITES!BF92)</f>
        <v>🔒</v>
      </c>
      <c r="AH93" s="56">
        <f>PALPITES!BG92</f>
        <v>0</v>
      </c>
      <c r="AI93" s="57" t="str">
        <f ca="1">IF(NOW() &lt; CALENDARIO!$K92, "🔒", PALPITES!BI92 &amp; " x " &amp; PALPITES!BJ92)</f>
        <v>🔒</v>
      </c>
      <c r="AJ93" s="57">
        <f>PALPITES!BK92</f>
        <v>0</v>
      </c>
    </row>
    <row r="94" spans="1:36" ht="12.75">
      <c r="A94" s="58">
        <f>CALENDARIO!A93</f>
        <v>92</v>
      </c>
      <c r="B94" s="59">
        <f>CALENDARIO!B93</f>
        <v>46208</v>
      </c>
      <c r="C94" s="60">
        <f>CALENDARIO!C93</f>
        <v>0.875</v>
      </c>
      <c r="D94" s="61" t="str">
        <f>CALENDARIO!D93</f>
        <v>Vencedor jogo 79</v>
      </c>
      <c r="E94" s="58">
        <f>CALENDARIO!E93</f>
        <v>0</v>
      </c>
      <c r="F94" s="58" t="str">
        <f>CALENDARIO!F93</f>
        <v>x</v>
      </c>
      <c r="G94" s="58">
        <f>CALENDARIO!G93</f>
        <v>0</v>
      </c>
      <c r="H94" s="61" t="str">
        <f>CALENDARIO!H93</f>
        <v>Vencedor jogo 80</v>
      </c>
      <c r="I94" s="56" t="str">
        <f ca="1">IF(NOW() &lt; CALENDARIO!$K93, "🔒", PALPITES!I93 &amp; " x " &amp; PALPITES!J93)</f>
        <v>🔒</v>
      </c>
      <c r="J94" s="56">
        <f>PALPITES!K93</f>
        <v>0</v>
      </c>
      <c r="K94" s="57" t="str">
        <f ca="1">IF(NOW() &lt; CALENDARIO!$K93, "🔒", PALPITES!M93 &amp; " x " &amp; PALPITES!N93)</f>
        <v>🔒</v>
      </c>
      <c r="L94" s="57">
        <f>PALPITES!O93</f>
        <v>0</v>
      </c>
      <c r="M94" s="56" t="str">
        <f ca="1">IF(NOW() &lt; CALENDARIO!$K93, "🔒", PALPITES!Q93 &amp; " x " &amp; PALPITES!R93)</f>
        <v>🔒</v>
      </c>
      <c r="N94" s="56">
        <f>PALPITES!S93</f>
        <v>0</v>
      </c>
      <c r="O94" s="57" t="str">
        <f ca="1">IF(NOW() &lt; CALENDARIO!$K93, "🔒", PALPITES!U93 &amp; " x " &amp; PALPITES!V93)</f>
        <v>🔒</v>
      </c>
      <c r="P94" s="57">
        <f>PALPITES!W93</f>
        <v>0</v>
      </c>
      <c r="Q94" s="56" t="str">
        <f ca="1">IF(NOW() &lt; CALENDARIO!$K93, "🔒", PALPITES!Y93 &amp; " x " &amp; PALPITES!Z93)</f>
        <v>🔒</v>
      </c>
      <c r="R94" s="56">
        <f>PALPITES!AA93</f>
        <v>0</v>
      </c>
      <c r="S94" s="57" t="str">
        <f ca="1">IF(NOW() &lt; CALENDARIO!$K93, "🔒", PALPITES!AC93 &amp; " x " &amp; PALPITES!AD93)</f>
        <v>🔒</v>
      </c>
      <c r="T94" s="57">
        <f>PALPITES!AE93</f>
        <v>0</v>
      </c>
      <c r="U94" s="56" t="str">
        <f ca="1">IF(NOW() &lt; CALENDARIO!$K93, "🔒", PALPITES!AG93 &amp; " x " &amp; PALPITES!AH93)</f>
        <v>🔒</v>
      </c>
      <c r="V94" s="56">
        <f>PALPITES!AI93</f>
        <v>0</v>
      </c>
      <c r="W94" s="57" t="str">
        <f ca="1">IF(NOW() &lt; CALENDARIO!$K93, "🔒", PALPITES!AK93 &amp; " x " &amp; PALPITES!AL93)</f>
        <v>🔒</v>
      </c>
      <c r="X94" s="57">
        <f>PALPITES!AM93</f>
        <v>0</v>
      </c>
      <c r="Y94" s="56" t="str">
        <f ca="1">IF(NOW() &lt; CALENDARIO!$K93, "🔒", PALPITES!AO93 &amp; " x " &amp; PALPITES!AP93)</f>
        <v>🔒</v>
      </c>
      <c r="Z94" s="56">
        <f>PALPITES!AQ93</f>
        <v>0</v>
      </c>
      <c r="AA94" s="57" t="str">
        <f ca="1">IF(NOW() &lt; CALENDARIO!$K93, "🔒", PALPITES!AS93 &amp; " x " &amp; PALPITES!AT93)</f>
        <v>🔒</v>
      </c>
      <c r="AB94" s="57">
        <f>PALPITES!AU93</f>
        <v>0</v>
      </c>
      <c r="AC94" s="56" t="str">
        <f ca="1">IF(NOW() &lt; CALENDARIO!$K93, "🔒", PALPITES!AW93 &amp; " x " &amp; PALPITES!AX93)</f>
        <v>🔒</v>
      </c>
      <c r="AD94" s="56">
        <f>PALPITES!AY93</f>
        <v>0</v>
      </c>
      <c r="AE94" s="57" t="str">
        <f ca="1">IF(NOW() &lt; CALENDARIO!$K93, "🔒", PALPITES!BA93 &amp; " x " &amp; PALPITES!BB93)</f>
        <v>🔒</v>
      </c>
      <c r="AF94" s="57">
        <f>PALPITES!BC93</f>
        <v>0</v>
      </c>
      <c r="AG94" s="56" t="str">
        <f ca="1">IF(NOW() &lt; CALENDARIO!$K93, "🔒", PALPITES!BE93 &amp; " x " &amp; PALPITES!BF93)</f>
        <v>🔒</v>
      </c>
      <c r="AH94" s="56">
        <f>PALPITES!BG93</f>
        <v>0</v>
      </c>
      <c r="AI94" s="57" t="str">
        <f ca="1">IF(NOW() &lt; CALENDARIO!$K93, "🔒", PALPITES!BI93 &amp; " x " &amp; PALPITES!BJ93)</f>
        <v>🔒</v>
      </c>
      <c r="AJ94" s="57">
        <f>PALPITES!BK93</f>
        <v>0</v>
      </c>
    </row>
    <row r="95" spans="1:36" ht="12.75">
      <c r="A95" s="58">
        <f>CALENDARIO!A94</f>
        <v>93</v>
      </c>
      <c r="B95" s="59">
        <f>CALENDARIO!B94</f>
        <v>46209</v>
      </c>
      <c r="C95" s="60">
        <f>CALENDARIO!C94</f>
        <v>0.66666666666666663</v>
      </c>
      <c r="D95" s="61" t="str">
        <f>CALENDARIO!D94</f>
        <v>Vencedor jogo 83</v>
      </c>
      <c r="E95" s="58">
        <f>CALENDARIO!E94</f>
        <v>0</v>
      </c>
      <c r="F95" s="58" t="str">
        <f>CALENDARIO!F94</f>
        <v>x</v>
      </c>
      <c r="G95" s="58">
        <f>CALENDARIO!G94</f>
        <v>0</v>
      </c>
      <c r="H95" s="61" t="str">
        <f>CALENDARIO!H94</f>
        <v>Vencedor jogo 84</v>
      </c>
      <c r="I95" s="56" t="str">
        <f ca="1">IF(NOW() &lt; CALENDARIO!$K94, "🔒", PALPITES!I94 &amp; " x " &amp; PALPITES!J94)</f>
        <v>🔒</v>
      </c>
      <c r="J95" s="56">
        <f>PALPITES!K94</f>
        <v>0</v>
      </c>
      <c r="K95" s="57" t="str">
        <f ca="1">IF(NOW() &lt; CALENDARIO!$K94, "🔒", PALPITES!M94 &amp; " x " &amp; PALPITES!N94)</f>
        <v>🔒</v>
      </c>
      <c r="L95" s="57">
        <f>PALPITES!O94</f>
        <v>0</v>
      </c>
      <c r="M95" s="56" t="str">
        <f ca="1">IF(NOW() &lt; CALENDARIO!$K94, "🔒", PALPITES!Q94 &amp; " x " &amp; PALPITES!R94)</f>
        <v>🔒</v>
      </c>
      <c r="N95" s="56">
        <f>PALPITES!S94</f>
        <v>0</v>
      </c>
      <c r="O95" s="57" t="str">
        <f ca="1">IF(NOW() &lt; CALENDARIO!$K94, "🔒", PALPITES!U94 &amp; " x " &amp; PALPITES!V94)</f>
        <v>🔒</v>
      </c>
      <c r="P95" s="57">
        <f>PALPITES!W94</f>
        <v>0</v>
      </c>
      <c r="Q95" s="56" t="str">
        <f ca="1">IF(NOW() &lt; CALENDARIO!$K94, "🔒", PALPITES!Y94 &amp; " x " &amp; PALPITES!Z94)</f>
        <v>🔒</v>
      </c>
      <c r="R95" s="56">
        <f>PALPITES!AA94</f>
        <v>0</v>
      </c>
      <c r="S95" s="57" t="str">
        <f ca="1">IF(NOW() &lt; CALENDARIO!$K94, "🔒", PALPITES!AC94 &amp; " x " &amp; PALPITES!AD94)</f>
        <v>🔒</v>
      </c>
      <c r="T95" s="57">
        <f>PALPITES!AE94</f>
        <v>0</v>
      </c>
      <c r="U95" s="56" t="str">
        <f ca="1">IF(NOW() &lt; CALENDARIO!$K94, "🔒", PALPITES!AG94 &amp; " x " &amp; PALPITES!AH94)</f>
        <v>🔒</v>
      </c>
      <c r="V95" s="56">
        <f>PALPITES!AI94</f>
        <v>0</v>
      </c>
      <c r="W95" s="57" t="str">
        <f ca="1">IF(NOW() &lt; CALENDARIO!$K94, "🔒", PALPITES!AK94 &amp; " x " &amp; PALPITES!AL94)</f>
        <v>🔒</v>
      </c>
      <c r="X95" s="57">
        <f>PALPITES!AM94</f>
        <v>0</v>
      </c>
      <c r="Y95" s="56" t="str">
        <f ca="1">IF(NOW() &lt; CALENDARIO!$K94, "🔒", PALPITES!AO94 &amp; " x " &amp; PALPITES!AP94)</f>
        <v>🔒</v>
      </c>
      <c r="Z95" s="56">
        <f>PALPITES!AQ94</f>
        <v>0</v>
      </c>
      <c r="AA95" s="57" t="str">
        <f ca="1">IF(NOW() &lt; CALENDARIO!$K94, "🔒", PALPITES!AS94 &amp; " x " &amp; PALPITES!AT94)</f>
        <v>🔒</v>
      </c>
      <c r="AB95" s="57">
        <f>PALPITES!AU94</f>
        <v>0</v>
      </c>
      <c r="AC95" s="56" t="str">
        <f ca="1">IF(NOW() &lt; CALENDARIO!$K94, "🔒", PALPITES!AW94 &amp; " x " &amp; PALPITES!AX94)</f>
        <v>🔒</v>
      </c>
      <c r="AD95" s="56">
        <f>PALPITES!AY94</f>
        <v>0</v>
      </c>
      <c r="AE95" s="57" t="str">
        <f ca="1">IF(NOW() &lt; CALENDARIO!$K94, "🔒", PALPITES!BA94 &amp; " x " &amp; PALPITES!BB94)</f>
        <v>🔒</v>
      </c>
      <c r="AF95" s="57">
        <f>PALPITES!BC94</f>
        <v>0</v>
      </c>
      <c r="AG95" s="56" t="str">
        <f ca="1">IF(NOW() &lt; CALENDARIO!$K94, "🔒", PALPITES!BE94 &amp; " x " &amp; PALPITES!BF94)</f>
        <v>🔒</v>
      </c>
      <c r="AH95" s="56">
        <f>PALPITES!BG94</f>
        <v>0</v>
      </c>
      <c r="AI95" s="57" t="str">
        <f ca="1">IF(NOW() &lt; CALENDARIO!$K94, "🔒", PALPITES!BI94 &amp; " x " &amp; PALPITES!BJ94)</f>
        <v>🔒</v>
      </c>
      <c r="AJ95" s="57">
        <f>PALPITES!BK94</f>
        <v>0</v>
      </c>
    </row>
    <row r="96" spans="1:36" ht="12.75">
      <c r="A96" s="58">
        <f>CALENDARIO!A95</f>
        <v>94</v>
      </c>
      <c r="B96" s="59">
        <f>CALENDARIO!B95</f>
        <v>46209</v>
      </c>
      <c r="C96" s="60">
        <f>CALENDARIO!C95</f>
        <v>0.875</v>
      </c>
      <c r="D96" s="61" t="str">
        <f>CALENDARIO!D95</f>
        <v>Vencedor jogo 81</v>
      </c>
      <c r="E96" s="58">
        <f>CALENDARIO!E95</f>
        <v>0</v>
      </c>
      <c r="F96" s="58" t="str">
        <f>CALENDARIO!F95</f>
        <v>x</v>
      </c>
      <c r="G96" s="58">
        <f>CALENDARIO!G95</f>
        <v>0</v>
      </c>
      <c r="H96" s="61" t="str">
        <f>CALENDARIO!H95</f>
        <v>Vencedor jogo 82</v>
      </c>
      <c r="I96" s="56" t="str">
        <f ca="1">IF(NOW() &lt; CALENDARIO!$K95, "🔒", PALPITES!I95 &amp; " x " &amp; PALPITES!J95)</f>
        <v>🔒</v>
      </c>
      <c r="J96" s="56">
        <f>PALPITES!K95</f>
        <v>0</v>
      </c>
      <c r="K96" s="57" t="str">
        <f ca="1">IF(NOW() &lt; CALENDARIO!$K95, "🔒", PALPITES!M95 &amp; " x " &amp; PALPITES!N95)</f>
        <v>🔒</v>
      </c>
      <c r="L96" s="57">
        <f>PALPITES!O95</f>
        <v>0</v>
      </c>
      <c r="M96" s="56" t="str">
        <f ca="1">IF(NOW() &lt; CALENDARIO!$K95, "🔒", PALPITES!Q95 &amp; " x " &amp; PALPITES!R95)</f>
        <v>🔒</v>
      </c>
      <c r="N96" s="56">
        <f>PALPITES!S95</f>
        <v>0</v>
      </c>
      <c r="O96" s="57" t="str">
        <f ca="1">IF(NOW() &lt; CALENDARIO!$K95, "🔒", PALPITES!U95 &amp; " x " &amp; PALPITES!V95)</f>
        <v>🔒</v>
      </c>
      <c r="P96" s="57">
        <f>PALPITES!W95</f>
        <v>0</v>
      </c>
      <c r="Q96" s="56" t="str">
        <f ca="1">IF(NOW() &lt; CALENDARIO!$K95, "🔒", PALPITES!Y95 &amp; " x " &amp; PALPITES!Z95)</f>
        <v>🔒</v>
      </c>
      <c r="R96" s="56">
        <f>PALPITES!AA95</f>
        <v>0</v>
      </c>
      <c r="S96" s="57" t="str">
        <f ca="1">IF(NOW() &lt; CALENDARIO!$K95, "🔒", PALPITES!AC95 &amp; " x " &amp; PALPITES!AD95)</f>
        <v>🔒</v>
      </c>
      <c r="T96" s="57">
        <f>PALPITES!AE95</f>
        <v>0</v>
      </c>
      <c r="U96" s="56" t="str">
        <f ca="1">IF(NOW() &lt; CALENDARIO!$K95, "🔒", PALPITES!AG95 &amp; " x " &amp; PALPITES!AH95)</f>
        <v>🔒</v>
      </c>
      <c r="V96" s="56">
        <f>PALPITES!AI95</f>
        <v>0</v>
      </c>
      <c r="W96" s="57" t="str">
        <f ca="1">IF(NOW() &lt; CALENDARIO!$K95, "🔒", PALPITES!AK95 &amp; " x " &amp; PALPITES!AL95)</f>
        <v>🔒</v>
      </c>
      <c r="X96" s="57">
        <f>PALPITES!AM95</f>
        <v>0</v>
      </c>
      <c r="Y96" s="56" t="str">
        <f ca="1">IF(NOW() &lt; CALENDARIO!$K95, "🔒", PALPITES!AO95 &amp; " x " &amp; PALPITES!AP95)</f>
        <v>🔒</v>
      </c>
      <c r="Z96" s="56">
        <f>PALPITES!AQ95</f>
        <v>0</v>
      </c>
      <c r="AA96" s="57" t="str">
        <f ca="1">IF(NOW() &lt; CALENDARIO!$K95, "🔒", PALPITES!AS95 &amp; " x " &amp; PALPITES!AT95)</f>
        <v>🔒</v>
      </c>
      <c r="AB96" s="57">
        <f>PALPITES!AU95</f>
        <v>0</v>
      </c>
      <c r="AC96" s="56" t="str">
        <f ca="1">IF(NOW() &lt; CALENDARIO!$K95, "🔒", PALPITES!AW95 &amp; " x " &amp; PALPITES!AX95)</f>
        <v>🔒</v>
      </c>
      <c r="AD96" s="56">
        <f>PALPITES!AY95</f>
        <v>0</v>
      </c>
      <c r="AE96" s="57" t="str">
        <f ca="1">IF(NOW() &lt; CALENDARIO!$K95, "🔒", PALPITES!BA95 &amp; " x " &amp; PALPITES!BB95)</f>
        <v>🔒</v>
      </c>
      <c r="AF96" s="57">
        <f>PALPITES!BC95</f>
        <v>0</v>
      </c>
      <c r="AG96" s="56" t="str">
        <f ca="1">IF(NOW() &lt; CALENDARIO!$K95, "🔒", PALPITES!BE95 &amp; " x " &amp; PALPITES!BF95)</f>
        <v>🔒</v>
      </c>
      <c r="AH96" s="56">
        <f>PALPITES!BG95</f>
        <v>0</v>
      </c>
      <c r="AI96" s="57" t="str">
        <f ca="1">IF(NOW() &lt; CALENDARIO!$K95, "🔒", PALPITES!BI95 &amp; " x " &amp; PALPITES!BJ95)</f>
        <v>🔒</v>
      </c>
      <c r="AJ96" s="57">
        <f>PALPITES!BK95</f>
        <v>0</v>
      </c>
    </row>
    <row r="97" spans="1:36" ht="12.75">
      <c r="A97" s="58">
        <f>CALENDARIO!A96</f>
        <v>95</v>
      </c>
      <c r="B97" s="59">
        <f>CALENDARIO!B96</f>
        <v>46210</v>
      </c>
      <c r="C97" s="60">
        <f>CALENDARIO!C96</f>
        <v>0.54166666666666663</v>
      </c>
      <c r="D97" s="61" t="str">
        <f>CALENDARIO!D96</f>
        <v>Vencedor jogo 86</v>
      </c>
      <c r="E97" s="58">
        <f>CALENDARIO!E96</f>
        <v>0</v>
      </c>
      <c r="F97" s="58" t="str">
        <f>CALENDARIO!F96</f>
        <v>x</v>
      </c>
      <c r="G97" s="58">
        <f>CALENDARIO!G96</f>
        <v>0</v>
      </c>
      <c r="H97" s="61" t="str">
        <f>CALENDARIO!H96</f>
        <v>Vencedor jogo 88</v>
      </c>
      <c r="I97" s="56" t="str">
        <f ca="1">IF(NOW() &lt; CALENDARIO!$K96, "🔒", PALPITES!I96 &amp; " x " &amp; PALPITES!J96)</f>
        <v>🔒</v>
      </c>
      <c r="J97" s="56">
        <f>PALPITES!K96</f>
        <v>0</v>
      </c>
      <c r="K97" s="57" t="str">
        <f ca="1">IF(NOW() &lt; CALENDARIO!$K96, "🔒", PALPITES!M96 &amp; " x " &amp; PALPITES!N96)</f>
        <v>🔒</v>
      </c>
      <c r="L97" s="57">
        <f>PALPITES!O96</f>
        <v>0</v>
      </c>
      <c r="M97" s="56" t="str">
        <f ca="1">IF(NOW() &lt; CALENDARIO!$K96, "🔒", PALPITES!Q96 &amp; " x " &amp; PALPITES!R96)</f>
        <v>🔒</v>
      </c>
      <c r="N97" s="56">
        <f>PALPITES!S96</f>
        <v>0</v>
      </c>
      <c r="O97" s="57" t="str">
        <f ca="1">IF(NOW() &lt; CALENDARIO!$K96, "🔒", PALPITES!U96 &amp; " x " &amp; PALPITES!V96)</f>
        <v>🔒</v>
      </c>
      <c r="P97" s="57">
        <f>PALPITES!W96</f>
        <v>0</v>
      </c>
      <c r="Q97" s="56" t="str">
        <f ca="1">IF(NOW() &lt; CALENDARIO!$K96, "🔒", PALPITES!Y96 &amp; " x " &amp; PALPITES!Z96)</f>
        <v>🔒</v>
      </c>
      <c r="R97" s="56">
        <f>PALPITES!AA96</f>
        <v>0</v>
      </c>
      <c r="S97" s="57" t="str">
        <f ca="1">IF(NOW() &lt; CALENDARIO!$K96, "🔒", PALPITES!AC96 &amp; " x " &amp; PALPITES!AD96)</f>
        <v>🔒</v>
      </c>
      <c r="T97" s="57">
        <f>PALPITES!AE96</f>
        <v>0</v>
      </c>
      <c r="U97" s="56" t="str">
        <f ca="1">IF(NOW() &lt; CALENDARIO!$K96, "🔒", PALPITES!AG96 &amp; " x " &amp; PALPITES!AH96)</f>
        <v>🔒</v>
      </c>
      <c r="V97" s="56">
        <f>PALPITES!AI96</f>
        <v>0</v>
      </c>
      <c r="W97" s="57" t="str">
        <f ca="1">IF(NOW() &lt; CALENDARIO!$K96, "🔒", PALPITES!AK96 &amp; " x " &amp; PALPITES!AL96)</f>
        <v>🔒</v>
      </c>
      <c r="X97" s="57">
        <f>PALPITES!AM96</f>
        <v>0</v>
      </c>
      <c r="Y97" s="56" t="str">
        <f ca="1">IF(NOW() &lt; CALENDARIO!$K96, "🔒", PALPITES!AO96 &amp; " x " &amp; PALPITES!AP96)</f>
        <v>🔒</v>
      </c>
      <c r="Z97" s="56">
        <f>PALPITES!AQ96</f>
        <v>0</v>
      </c>
      <c r="AA97" s="57" t="str">
        <f ca="1">IF(NOW() &lt; CALENDARIO!$K96, "🔒", PALPITES!AS96 &amp; " x " &amp; PALPITES!AT96)</f>
        <v>🔒</v>
      </c>
      <c r="AB97" s="57">
        <f>PALPITES!AU96</f>
        <v>0</v>
      </c>
      <c r="AC97" s="56" t="str">
        <f ca="1">IF(NOW() &lt; CALENDARIO!$K96, "🔒", PALPITES!AW96 &amp; " x " &amp; PALPITES!AX96)</f>
        <v>🔒</v>
      </c>
      <c r="AD97" s="56">
        <f>PALPITES!AY96</f>
        <v>0</v>
      </c>
      <c r="AE97" s="57" t="str">
        <f ca="1">IF(NOW() &lt; CALENDARIO!$K96, "🔒", PALPITES!BA96 &amp; " x " &amp; PALPITES!BB96)</f>
        <v>🔒</v>
      </c>
      <c r="AF97" s="57">
        <f>PALPITES!BC96</f>
        <v>0</v>
      </c>
      <c r="AG97" s="56" t="str">
        <f ca="1">IF(NOW() &lt; CALENDARIO!$K96, "🔒", PALPITES!BE96 &amp; " x " &amp; PALPITES!BF96)</f>
        <v>🔒</v>
      </c>
      <c r="AH97" s="56">
        <f>PALPITES!BG96</f>
        <v>0</v>
      </c>
      <c r="AI97" s="57" t="str">
        <f ca="1">IF(NOW() &lt; CALENDARIO!$K96, "🔒", PALPITES!BI96 &amp; " x " &amp; PALPITES!BJ96)</f>
        <v>🔒</v>
      </c>
      <c r="AJ97" s="57">
        <f>PALPITES!BK96</f>
        <v>0</v>
      </c>
    </row>
    <row r="98" spans="1:36" ht="12.75">
      <c r="A98" s="58">
        <f>CALENDARIO!A97</f>
        <v>96</v>
      </c>
      <c r="B98" s="59">
        <f>CALENDARIO!B97</f>
        <v>46210</v>
      </c>
      <c r="C98" s="60">
        <f>CALENDARIO!C97</f>
        <v>0.70833333333333337</v>
      </c>
      <c r="D98" s="61" t="str">
        <f>CALENDARIO!D97</f>
        <v>Vencedor jogo 85</v>
      </c>
      <c r="E98" s="58">
        <f>CALENDARIO!E97</f>
        <v>0</v>
      </c>
      <c r="F98" s="58" t="str">
        <f>CALENDARIO!F97</f>
        <v>x</v>
      </c>
      <c r="G98" s="58">
        <f>CALENDARIO!G97</f>
        <v>0</v>
      </c>
      <c r="H98" s="61" t="str">
        <f>CALENDARIO!H97</f>
        <v>Vencedor jogo 87</v>
      </c>
      <c r="I98" s="56" t="str">
        <f ca="1">IF(NOW() &lt; CALENDARIO!$K97, "🔒", PALPITES!I97 &amp; " x " &amp; PALPITES!J97)</f>
        <v>🔒</v>
      </c>
      <c r="J98" s="56">
        <f>PALPITES!K97</f>
        <v>0</v>
      </c>
      <c r="K98" s="57" t="str">
        <f ca="1">IF(NOW() &lt; CALENDARIO!$K97, "🔒", PALPITES!M97 &amp; " x " &amp; PALPITES!N97)</f>
        <v>🔒</v>
      </c>
      <c r="L98" s="57">
        <f>PALPITES!O97</f>
        <v>0</v>
      </c>
      <c r="M98" s="56" t="str">
        <f ca="1">IF(NOW() &lt; CALENDARIO!$K97, "🔒", PALPITES!Q97 &amp; " x " &amp; PALPITES!R97)</f>
        <v>🔒</v>
      </c>
      <c r="N98" s="56">
        <f>PALPITES!S97</f>
        <v>0</v>
      </c>
      <c r="O98" s="57" t="str">
        <f ca="1">IF(NOW() &lt; CALENDARIO!$K97, "🔒", PALPITES!U97 &amp; " x " &amp; PALPITES!V97)</f>
        <v>🔒</v>
      </c>
      <c r="P98" s="57">
        <f>PALPITES!W97</f>
        <v>0</v>
      </c>
      <c r="Q98" s="56" t="str">
        <f ca="1">IF(NOW() &lt; CALENDARIO!$K97, "🔒", PALPITES!Y97 &amp; " x " &amp; PALPITES!Z97)</f>
        <v>🔒</v>
      </c>
      <c r="R98" s="56">
        <f>PALPITES!AA97</f>
        <v>0</v>
      </c>
      <c r="S98" s="57" t="str">
        <f ca="1">IF(NOW() &lt; CALENDARIO!$K97, "🔒", PALPITES!AC97 &amp; " x " &amp; PALPITES!AD97)</f>
        <v>🔒</v>
      </c>
      <c r="T98" s="57">
        <f>PALPITES!AE97</f>
        <v>0</v>
      </c>
      <c r="U98" s="56" t="str">
        <f ca="1">IF(NOW() &lt; CALENDARIO!$K97, "🔒", PALPITES!AG97 &amp; " x " &amp; PALPITES!AH97)</f>
        <v>🔒</v>
      </c>
      <c r="V98" s="56">
        <f>PALPITES!AI97</f>
        <v>0</v>
      </c>
      <c r="W98" s="57" t="str">
        <f ca="1">IF(NOW() &lt; CALENDARIO!$K97, "🔒", PALPITES!AK97 &amp; " x " &amp; PALPITES!AL97)</f>
        <v>🔒</v>
      </c>
      <c r="X98" s="57">
        <f>PALPITES!AM97</f>
        <v>0</v>
      </c>
      <c r="Y98" s="56" t="str">
        <f ca="1">IF(NOW() &lt; CALENDARIO!$K97, "🔒", PALPITES!AO97 &amp; " x " &amp; PALPITES!AP97)</f>
        <v>🔒</v>
      </c>
      <c r="Z98" s="56">
        <f>PALPITES!AQ97</f>
        <v>0</v>
      </c>
      <c r="AA98" s="57" t="str">
        <f ca="1">IF(NOW() &lt; CALENDARIO!$K97, "🔒", PALPITES!AS97 &amp; " x " &amp; PALPITES!AT97)</f>
        <v>🔒</v>
      </c>
      <c r="AB98" s="57">
        <f>PALPITES!AU97</f>
        <v>0</v>
      </c>
      <c r="AC98" s="56" t="str">
        <f ca="1">IF(NOW() &lt; CALENDARIO!$K97, "🔒", PALPITES!AW97 &amp; " x " &amp; PALPITES!AX97)</f>
        <v>🔒</v>
      </c>
      <c r="AD98" s="56">
        <f>PALPITES!AY97</f>
        <v>0</v>
      </c>
      <c r="AE98" s="57" t="str">
        <f ca="1">IF(NOW() &lt; CALENDARIO!$K97, "🔒", PALPITES!BA97 &amp; " x " &amp; PALPITES!BB97)</f>
        <v>🔒</v>
      </c>
      <c r="AF98" s="57">
        <f>PALPITES!BC97</f>
        <v>0</v>
      </c>
      <c r="AG98" s="56" t="str">
        <f ca="1">IF(NOW() &lt; CALENDARIO!$K97, "🔒", PALPITES!BE97 &amp; " x " &amp; PALPITES!BF97)</f>
        <v>🔒</v>
      </c>
      <c r="AH98" s="56">
        <f>PALPITES!BG97</f>
        <v>0</v>
      </c>
      <c r="AI98" s="57" t="str">
        <f ca="1">IF(NOW() &lt; CALENDARIO!$K97, "🔒", PALPITES!BI97 &amp; " x " &amp; PALPITES!BJ97)</f>
        <v>🔒</v>
      </c>
      <c r="AJ98" s="57">
        <f>PALPITES!BK97</f>
        <v>0</v>
      </c>
    </row>
    <row r="99" spans="1:36" ht="12.75">
      <c r="A99" s="58">
        <f>CALENDARIO!A98</f>
        <v>97</v>
      </c>
      <c r="B99" s="59">
        <f>CALENDARIO!B98</f>
        <v>46212</v>
      </c>
      <c r="C99" s="60">
        <f>CALENDARIO!C98</f>
        <v>0.70833333333333337</v>
      </c>
      <c r="D99" s="61" t="str">
        <f>CALENDARIO!D98</f>
        <v>Vencedor jogo 89</v>
      </c>
      <c r="E99" s="58">
        <f>CALENDARIO!E98</f>
        <v>0</v>
      </c>
      <c r="F99" s="58" t="str">
        <f>CALENDARIO!F98</f>
        <v>x</v>
      </c>
      <c r="G99" s="58">
        <f>CALENDARIO!G98</f>
        <v>0</v>
      </c>
      <c r="H99" s="61" t="str">
        <f>CALENDARIO!H98</f>
        <v>Vencedor jogo 90</v>
      </c>
      <c r="I99" s="56" t="str">
        <f ca="1">IF(NOW() &lt; CALENDARIO!$K98, "🔒", PALPITES!I98 &amp; " x " &amp; PALPITES!J98)</f>
        <v>🔒</v>
      </c>
      <c r="J99" s="56">
        <f>PALPITES!K98</f>
        <v>0</v>
      </c>
      <c r="K99" s="57" t="str">
        <f ca="1">IF(NOW() &lt; CALENDARIO!$K98, "🔒", PALPITES!M98 &amp; " x " &amp; PALPITES!N98)</f>
        <v>🔒</v>
      </c>
      <c r="L99" s="57">
        <f>PALPITES!O98</f>
        <v>0</v>
      </c>
      <c r="M99" s="56" t="str">
        <f ca="1">IF(NOW() &lt; CALENDARIO!$K98, "🔒", PALPITES!Q98 &amp; " x " &amp; PALPITES!R98)</f>
        <v>🔒</v>
      </c>
      <c r="N99" s="56">
        <f>PALPITES!S98</f>
        <v>0</v>
      </c>
      <c r="O99" s="57" t="str">
        <f ca="1">IF(NOW() &lt; CALENDARIO!$K98, "🔒", PALPITES!U98 &amp; " x " &amp; PALPITES!V98)</f>
        <v>🔒</v>
      </c>
      <c r="P99" s="57">
        <f>PALPITES!W98</f>
        <v>0</v>
      </c>
      <c r="Q99" s="56" t="str">
        <f ca="1">IF(NOW() &lt; CALENDARIO!$K98, "🔒", PALPITES!Y98 &amp; " x " &amp; PALPITES!Z98)</f>
        <v>🔒</v>
      </c>
      <c r="R99" s="56">
        <f>PALPITES!AA98</f>
        <v>0</v>
      </c>
      <c r="S99" s="57" t="str">
        <f ca="1">IF(NOW() &lt; CALENDARIO!$K98, "🔒", PALPITES!AC98 &amp; " x " &amp; PALPITES!AD98)</f>
        <v>🔒</v>
      </c>
      <c r="T99" s="57">
        <f>PALPITES!AE98</f>
        <v>0</v>
      </c>
      <c r="U99" s="56" t="str">
        <f ca="1">IF(NOW() &lt; CALENDARIO!$K98, "🔒", PALPITES!AG98 &amp; " x " &amp; PALPITES!AH98)</f>
        <v>🔒</v>
      </c>
      <c r="V99" s="56">
        <f>PALPITES!AI98</f>
        <v>0</v>
      </c>
      <c r="W99" s="57" t="str">
        <f ca="1">IF(NOW() &lt; CALENDARIO!$K98, "🔒", PALPITES!AK98 &amp; " x " &amp; PALPITES!AL98)</f>
        <v>🔒</v>
      </c>
      <c r="X99" s="57">
        <f>PALPITES!AM98</f>
        <v>0</v>
      </c>
      <c r="Y99" s="56" t="str">
        <f ca="1">IF(NOW() &lt; CALENDARIO!$K98, "🔒", PALPITES!AO98 &amp; " x " &amp; PALPITES!AP98)</f>
        <v>🔒</v>
      </c>
      <c r="Z99" s="56">
        <f>PALPITES!AQ98</f>
        <v>0</v>
      </c>
      <c r="AA99" s="57" t="str">
        <f ca="1">IF(NOW() &lt; CALENDARIO!$K98, "🔒", PALPITES!AS98 &amp; " x " &amp; PALPITES!AT98)</f>
        <v>🔒</v>
      </c>
      <c r="AB99" s="57">
        <f>PALPITES!AU98</f>
        <v>0</v>
      </c>
      <c r="AC99" s="56" t="str">
        <f ca="1">IF(NOW() &lt; CALENDARIO!$K98, "🔒", PALPITES!AW98 &amp; " x " &amp; PALPITES!AX98)</f>
        <v>🔒</v>
      </c>
      <c r="AD99" s="56">
        <f>PALPITES!AY98</f>
        <v>0</v>
      </c>
      <c r="AE99" s="57" t="str">
        <f ca="1">IF(NOW() &lt; CALENDARIO!$K98, "🔒", PALPITES!BA98 &amp; " x " &amp; PALPITES!BB98)</f>
        <v>🔒</v>
      </c>
      <c r="AF99" s="57">
        <f>PALPITES!BC98</f>
        <v>0</v>
      </c>
      <c r="AG99" s="56" t="str">
        <f ca="1">IF(NOW() &lt; CALENDARIO!$K98, "🔒", PALPITES!BE98 &amp; " x " &amp; PALPITES!BF98)</f>
        <v>🔒</v>
      </c>
      <c r="AH99" s="56">
        <f>PALPITES!BG98</f>
        <v>0</v>
      </c>
      <c r="AI99" s="57" t="str">
        <f ca="1">IF(NOW() &lt; CALENDARIO!$K98, "🔒", PALPITES!BI98 &amp; " x " &amp; PALPITES!BJ98)</f>
        <v>🔒</v>
      </c>
      <c r="AJ99" s="57">
        <f>PALPITES!BK98</f>
        <v>0</v>
      </c>
    </row>
    <row r="100" spans="1:36" ht="12.75">
      <c r="A100" s="58">
        <f>CALENDARIO!A99</f>
        <v>98</v>
      </c>
      <c r="B100" s="59">
        <f>CALENDARIO!B99</f>
        <v>46213</v>
      </c>
      <c r="C100" s="60">
        <f>CALENDARIO!C99</f>
        <v>0.66666666666666663</v>
      </c>
      <c r="D100" s="61" t="str">
        <f>CALENDARIO!D99</f>
        <v>Vencedor jogo 93</v>
      </c>
      <c r="E100" s="58">
        <f>CALENDARIO!E99</f>
        <v>0</v>
      </c>
      <c r="F100" s="58" t="str">
        <f>CALENDARIO!F99</f>
        <v>x</v>
      </c>
      <c r="G100" s="58">
        <f>CALENDARIO!G99</f>
        <v>0</v>
      </c>
      <c r="H100" s="61" t="str">
        <f>CALENDARIO!H99</f>
        <v>Vencedor jogo 94</v>
      </c>
      <c r="I100" s="56" t="str">
        <f ca="1">IF(NOW() &lt; CALENDARIO!$K99, "🔒", PALPITES!I99 &amp; " x " &amp; PALPITES!J99)</f>
        <v>🔒</v>
      </c>
      <c r="J100" s="56">
        <f>PALPITES!K99</f>
        <v>0</v>
      </c>
      <c r="K100" s="57" t="str">
        <f ca="1">IF(NOW() &lt; CALENDARIO!$K99, "🔒", PALPITES!M99 &amp; " x " &amp; PALPITES!N99)</f>
        <v>🔒</v>
      </c>
      <c r="L100" s="57">
        <f>PALPITES!O99</f>
        <v>0</v>
      </c>
      <c r="M100" s="56" t="str">
        <f ca="1">IF(NOW() &lt; CALENDARIO!$K99, "🔒", PALPITES!Q99 &amp; " x " &amp; PALPITES!R99)</f>
        <v>🔒</v>
      </c>
      <c r="N100" s="56">
        <f>PALPITES!S99</f>
        <v>0</v>
      </c>
      <c r="O100" s="57" t="str">
        <f ca="1">IF(NOW() &lt; CALENDARIO!$K99, "🔒", PALPITES!U99 &amp; " x " &amp; PALPITES!V99)</f>
        <v>🔒</v>
      </c>
      <c r="P100" s="57">
        <f>PALPITES!W99</f>
        <v>0</v>
      </c>
      <c r="Q100" s="56" t="str">
        <f ca="1">IF(NOW() &lt; CALENDARIO!$K99, "🔒", PALPITES!Y99 &amp; " x " &amp; PALPITES!Z99)</f>
        <v>🔒</v>
      </c>
      <c r="R100" s="56">
        <f>PALPITES!AA99</f>
        <v>0</v>
      </c>
      <c r="S100" s="57" t="str">
        <f ca="1">IF(NOW() &lt; CALENDARIO!$K99, "🔒", PALPITES!AC99 &amp; " x " &amp; PALPITES!AD99)</f>
        <v>🔒</v>
      </c>
      <c r="T100" s="57">
        <f>PALPITES!AE99</f>
        <v>0</v>
      </c>
      <c r="U100" s="56" t="str">
        <f ca="1">IF(NOW() &lt; CALENDARIO!$K99, "🔒", PALPITES!AG99 &amp; " x " &amp; PALPITES!AH99)</f>
        <v>🔒</v>
      </c>
      <c r="V100" s="56">
        <f>PALPITES!AI99</f>
        <v>0</v>
      </c>
      <c r="W100" s="57" t="str">
        <f ca="1">IF(NOW() &lt; CALENDARIO!$K99, "🔒", PALPITES!AK99 &amp; " x " &amp; PALPITES!AL99)</f>
        <v>🔒</v>
      </c>
      <c r="X100" s="57">
        <f>PALPITES!AM99</f>
        <v>0</v>
      </c>
      <c r="Y100" s="56" t="str">
        <f ca="1">IF(NOW() &lt; CALENDARIO!$K99, "🔒", PALPITES!AO99 &amp; " x " &amp; PALPITES!AP99)</f>
        <v>🔒</v>
      </c>
      <c r="Z100" s="56">
        <f>PALPITES!AQ99</f>
        <v>0</v>
      </c>
      <c r="AA100" s="57" t="str">
        <f ca="1">IF(NOW() &lt; CALENDARIO!$K99, "🔒", PALPITES!AS99 &amp; " x " &amp; PALPITES!AT99)</f>
        <v>🔒</v>
      </c>
      <c r="AB100" s="57">
        <f>PALPITES!AU99</f>
        <v>0</v>
      </c>
      <c r="AC100" s="56" t="str">
        <f ca="1">IF(NOW() &lt; CALENDARIO!$K99, "🔒", PALPITES!AW99 &amp; " x " &amp; PALPITES!AX99)</f>
        <v>🔒</v>
      </c>
      <c r="AD100" s="56">
        <f>PALPITES!AY99</f>
        <v>0</v>
      </c>
      <c r="AE100" s="57" t="str">
        <f ca="1">IF(NOW() &lt; CALENDARIO!$K99, "🔒", PALPITES!BA99 &amp; " x " &amp; PALPITES!BB99)</f>
        <v>🔒</v>
      </c>
      <c r="AF100" s="57">
        <f>PALPITES!BC99</f>
        <v>0</v>
      </c>
      <c r="AG100" s="56" t="str">
        <f ca="1">IF(NOW() &lt; CALENDARIO!$K99, "🔒", PALPITES!BE99 &amp; " x " &amp; PALPITES!BF99)</f>
        <v>🔒</v>
      </c>
      <c r="AH100" s="56">
        <f>PALPITES!BG99</f>
        <v>0</v>
      </c>
      <c r="AI100" s="57" t="str">
        <f ca="1">IF(NOW() &lt; CALENDARIO!$K99, "🔒", PALPITES!BI99 &amp; " x " &amp; PALPITES!BJ99)</f>
        <v>🔒</v>
      </c>
      <c r="AJ100" s="57">
        <f>PALPITES!BK99</f>
        <v>0</v>
      </c>
    </row>
    <row r="101" spans="1:36" ht="12.75">
      <c r="A101" s="58">
        <f>CALENDARIO!A100</f>
        <v>99</v>
      </c>
      <c r="B101" s="59">
        <f>CALENDARIO!B100</f>
        <v>46215</v>
      </c>
      <c r="C101" s="60">
        <f>CALENDARIO!C100</f>
        <v>0.75</v>
      </c>
      <c r="D101" s="61" t="str">
        <f>CALENDARIO!D100</f>
        <v>Vencedor jogo 91</v>
      </c>
      <c r="E101" s="58">
        <f>CALENDARIO!E100</f>
        <v>0</v>
      </c>
      <c r="F101" s="58" t="str">
        <f>CALENDARIO!F100</f>
        <v>x</v>
      </c>
      <c r="G101" s="58">
        <f>CALENDARIO!G100</f>
        <v>0</v>
      </c>
      <c r="H101" s="61" t="str">
        <f>CALENDARIO!H100</f>
        <v>Vencedor jogo 92</v>
      </c>
      <c r="I101" s="56" t="str">
        <f ca="1">IF(NOW() &lt; CALENDARIO!$K100, "🔒", PALPITES!I100 &amp; " x " &amp; PALPITES!J100)</f>
        <v>🔒</v>
      </c>
      <c r="J101" s="56">
        <f>PALPITES!K100</f>
        <v>0</v>
      </c>
      <c r="K101" s="57" t="str">
        <f ca="1">IF(NOW() &lt; CALENDARIO!$K100, "🔒", PALPITES!M100 &amp; " x " &amp; PALPITES!N100)</f>
        <v>🔒</v>
      </c>
      <c r="L101" s="57">
        <f>PALPITES!O100</f>
        <v>0</v>
      </c>
      <c r="M101" s="56" t="str">
        <f ca="1">IF(NOW() &lt; CALENDARIO!$K100, "🔒", PALPITES!Q100 &amp; " x " &amp; PALPITES!R100)</f>
        <v>🔒</v>
      </c>
      <c r="N101" s="56">
        <f>PALPITES!S100</f>
        <v>0</v>
      </c>
      <c r="O101" s="57" t="str">
        <f ca="1">IF(NOW() &lt; CALENDARIO!$K100, "🔒", PALPITES!U100 &amp; " x " &amp; PALPITES!V100)</f>
        <v>🔒</v>
      </c>
      <c r="P101" s="57">
        <f>PALPITES!W100</f>
        <v>0</v>
      </c>
      <c r="Q101" s="56" t="str">
        <f ca="1">IF(NOW() &lt; CALENDARIO!$K100, "🔒", PALPITES!Y100 &amp; " x " &amp; PALPITES!Z100)</f>
        <v>🔒</v>
      </c>
      <c r="R101" s="56">
        <f>PALPITES!AA100</f>
        <v>0</v>
      </c>
      <c r="S101" s="57" t="str">
        <f ca="1">IF(NOW() &lt; CALENDARIO!$K100, "🔒", PALPITES!AC100 &amp; " x " &amp; PALPITES!AD100)</f>
        <v>🔒</v>
      </c>
      <c r="T101" s="57">
        <f>PALPITES!AE100</f>
        <v>0</v>
      </c>
      <c r="U101" s="56" t="str">
        <f ca="1">IF(NOW() &lt; CALENDARIO!$K100, "🔒", PALPITES!AG100 &amp; " x " &amp; PALPITES!AH100)</f>
        <v>🔒</v>
      </c>
      <c r="V101" s="56">
        <f>PALPITES!AI100</f>
        <v>0</v>
      </c>
      <c r="W101" s="57" t="str">
        <f ca="1">IF(NOW() &lt; CALENDARIO!$K100, "🔒", PALPITES!AK100 &amp; " x " &amp; PALPITES!AL100)</f>
        <v>🔒</v>
      </c>
      <c r="X101" s="57">
        <f>PALPITES!AM100</f>
        <v>0</v>
      </c>
      <c r="Y101" s="56" t="str">
        <f ca="1">IF(NOW() &lt; CALENDARIO!$K100, "🔒", PALPITES!AO100 &amp; " x " &amp; PALPITES!AP100)</f>
        <v>🔒</v>
      </c>
      <c r="Z101" s="56">
        <f>PALPITES!AQ100</f>
        <v>0</v>
      </c>
      <c r="AA101" s="57" t="str">
        <f ca="1">IF(NOW() &lt; CALENDARIO!$K100, "🔒", PALPITES!AS100 &amp; " x " &amp; PALPITES!AT100)</f>
        <v>🔒</v>
      </c>
      <c r="AB101" s="57">
        <f>PALPITES!AU100</f>
        <v>0</v>
      </c>
      <c r="AC101" s="56" t="str">
        <f ca="1">IF(NOW() &lt; CALENDARIO!$K100, "🔒", PALPITES!AW100 &amp; " x " &amp; PALPITES!AX100)</f>
        <v>🔒</v>
      </c>
      <c r="AD101" s="56">
        <f>PALPITES!AY100</f>
        <v>0</v>
      </c>
      <c r="AE101" s="57" t="str">
        <f ca="1">IF(NOW() &lt; CALENDARIO!$K100, "🔒", PALPITES!BA100 &amp; " x " &amp; PALPITES!BB100)</f>
        <v>🔒</v>
      </c>
      <c r="AF101" s="57">
        <f>PALPITES!BC100</f>
        <v>0</v>
      </c>
      <c r="AG101" s="56" t="str">
        <f ca="1">IF(NOW() &lt; CALENDARIO!$K100, "🔒", PALPITES!BE100 &amp; " x " &amp; PALPITES!BF100)</f>
        <v>🔒</v>
      </c>
      <c r="AH101" s="56">
        <f>PALPITES!BG100</f>
        <v>0</v>
      </c>
      <c r="AI101" s="57" t="str">
        <f ca="1">IF(NOW() &lt; CALENDARIO!$K100, "🔒", PALPITES!BI100 &amp; " x " &amp; PALPITES!BJ100)</f>
        <v>🔒</v>
      </c>
      <c r="AJ101" s="57">
        <f>PALPITES!BK100</f>
        <v>0</v>
      </c>
    </row>
    <row r="102" spans="1:36" ht="12.75">
      <c r="A102" s="58">
        <f>CALENDARIO!A101</f>
        <v>100</v>
      </c>
      <c r="B102" s="59">
        <f>CALENDARIO!B101</f>
        <v>46215</v>
      </c>
      <c r="C102" s="60">
        <f>CALENDARIO!C101</f>
        <v>0.91666666666666663</v>
      </c>
      <c r="D102" s="61" t="str">
        <f>CALENDARIO!D101</f>
        <v>Vencedor jogo 95</v>
      </c>
      <c r="E102" s="58">
        <f>CALENDARIO!E101</f>
        <v>0</v>
      </c>
      <c r="F102" s="58" t="str">
        <f>CALENDARIO!F101</f>
        <v>x</v>
      </c>
      <c r="G102" s="58">
        <f>CALENDARIO!G101</f>
        <v>0</v>
      </c>
      <c r="H102" s="61" t="str">
        <f>CALENDARIO!H101</f>
        <v>Vencedor jogo 96</v>
      </c>
      <c r="I102" s="56" t="str">
        <f ca="1">IF(NOW() &lt; CALENDARIO!$K101, "🔒", PALPITES!I101 &amp; " x " &amp; PALPITES!J101)</f>
        <v>🔒</v>
      </c>
      <c r="J102" s="56">
        <f>PALPITES!K101</f>
        <v>0</v>
      </c>
      <c r="K102" s="57" t="str">
        <f ca="1">IF(NOW() &lt; CALENDARIO!$K101, "🔒", PALPITES!M101 &amp; " x " &amp; PALPITES!N101)</f>
        <v>🔒</v>
      </c>
      <c r="L102" s="57">
        <f>PALPITES!O101</f>
        <v>0</v>
      </c>
      <c r="M102" s="56" t="str">
        <f ca="1">IF(NOW() &lt; CALENDARIO!$K101, "🔒", PALPITES!Q101 &amp; " x " &amp; PALPITES!R101)</f>
        <v>🔒</v>
      </c>
      <c r="N102" s="56">
        <f>PALPITES!S101</f>
        <v>0</v>
      </c>
      <c r="O102" s="57" t="str">
        <f ca="1">IF(NOW() &lt; CALENDARIO!$K101, "🔒", PALPITES!U101 &amp; " x " &amp; PALPITES!V101)</f>
        <v>🔒</v>
      </c>
      <c r="P102" s="57">
        <f>PALPITES!W101</f>
        <v>0</v>
      </c>
      <c r="Q102" s="56" t="str">
        <f ca="1">IF(NOW() &lt; CALENDARIO!$K101, "🔒", PALPITES!Y101 &amp; " x " &amp; PALPITES!Z101)</f>
        <v>🔒</v>
      </c>
      <c r="R102" s="56">
        <f>PALPITES!AA101</f>
        <v>0</v>
      </c>
      <c r="S102" s="57" t="str">
        <f ca="1">IF(NOW() &lt; CALENDARIO!$K101, "🔒", PALPITES!AC101 &amp; " x " &amp; PALPITES!AD101)</f>
        <v>🔒</v>
      </c>
      <c r="T102" s="57">
        <f>PALPITES!AE101</f>
        <v>0</v>
      </c>
      <c r="U102" s="56" t="str">
        <f ca="1">IF(NOW() &lt; CALENDARIO!$K101, "🔒", PALPITES!AG101 &amp; " x " &amp; PALPITES!AH101)</f>
        <v>🔒</v>
      </c>
      <c r="V102" s="56">
        <f>PALPITES!AI101</f>
        <v>0</v>
      </c>
      <c r="W102" s="57" t="str">
        <f ca="1">IF(NOW() &lt; CALENDARIO!$K101, "🔒", PALPITES!AK101 &amp; " x " &amp; PALPITES!AL101)</f>
        <v>🔒</v>
      </c>
      <c r="X102" s="57">
        <f>PALPITES!AM101</f>
        <v>0</v>
      </c>
      <c r="Y102" s="56" t="str">
        <f ca="1">IF(NOW() &lt; CALENDARIO!$K101, "🔒", PALPITES!AO101 &amp; " x " &amp; PALPITES!AP101)</f>
        <v>🔒</v>
      </c>
      <c r="Z102" s="56">
        <f>PALPITES!AQ101</f>
        <v>0</v>
      </c>
      <c r="AA102" s="57" t="str">
        <f ca="1">IF(NOW() &lt; CALENDARIO!$K101, "🔒", PALPITES!AS101 &amp; " x " &amp; PALPITES!AT101)</f>
        <v>🔒</v>
      </c>
      <c r="AB102" s="57">
        <f>PALPITES!AU101</f>
        <v>0</v>
      </c>
      <c r="AC102" s="56" t="str">
        <f ca="1">IF(NOW() &lt; CALENDARIO!$K101, "🔒", PALPITES!AW101 &amp; " x " &amp; PALPITES!AX101)</f>
        <v>🔒</v>
      </c>
      <c r="AD102" s="56">
        <f>PALPITES!AY101</f>
        <v>0</v>
      </c>
      <c r="AE102" s="57" t="str">
        <f ca="1">IF(NOW() &lt; CALENDARIO!$K101, "🔒", PALPITES!BA101 &amp; " x " &amp; PALPITES!BB101)</f>
        <v>🔒</v>
      </c>
      <c r="AF102" s="57">
        <f>PALPITES!BC101</f>
        <v>0</v>
      </c>
      <c r="AG102" s="56" t="str">
        <f ca="1">IF(NOW() &lt; CALENDARIO!$K101, "🔒", PALPITES!BE101 &amp; " x " &amp; PALPITES!BF101)</f>
        <v>🔒</v>
      </c>
      <c r="AH102" s="56">
        <f>PALPITES!BG101</f>
        <v>0</v>
      </c>
      <c r="AI102" s="57" t="str">
        <f ca="1">IF(NOW() &lt; CALENDARIO!$K101, "🔒", PALPITES!BI101 &amp; " x " &amp; PALPITES!BJ101)</f>
        <v>🔒</v>
      </c>
      <c r="AJ102" s="57">
        <f>PALPITES!BK101</f>
        <v>0</v>
      </c>
    </row>
    <row r="103" spans="1:36" ht="12.75">
      <c r="A103" s="58">
        <f>CALENDARIO!A102</f>
        <v>101</v>
      </c>
      <c r="B103" s="59">
        <f>CALENDARIO!B102</f>
        <v>46217</v>
      </c>
      <c r="C103" s="60">
        <f>CALENDARIO!C102</f>
        <v>0.66666666666666663</v>
      </c>
      <c r="D103" s="61" t="str">
        <f>CALENDARIO!D102</f>
        <v>Vencedor jogo 97</v>
      </c>
      <c r="E103" s="58">
        <f>CALENDARIO!E102</f>
        <v>0</v>
      </c>
      <c r="F103" s="58" t="str">
        <f>CALENDARIO!F102</f>
        <v>x</v>
      </c>
      <c r="G103" s="58">
        <f>CALENDARIO!G102</f>
        <v>0</v>
      </c>
      <c r="H103" s="61" t="str">
        <f>CALENDARIO!H102</f>
        <v>Vencedor jogo 98</v>
      </c>
      <c r="I103" s="56" t="str">
        <f ca="1">IF(NOW() &lt; CALENDARIO!$K102, "🔒", PALPITES!I102 &amp; " x " &amp; PALPITES!J102)</f>
        <v>🔒</v>
      </c>
      <c r="J103" s="56">
        <f>PALPITES!K102</f>
        <v>0</v>
      </c>
      <c r="K103" s="57" t="str">
        <f ca="1">IF(NOW() &lt; CALENDARIO!$K102, "🔒", PALPITES!M102 &amp; " x " &amp; PALPITES!N102)</f>
        <v>🔒</v>
      </c>
      <c r="L103" s="57">
        <f>PALPITES!O102</f>
        <v>0</v>
      </c>
      <c r="M103" s="56" t="str">
        <f ca="1">IF(NOW() &lt; CALENDARIO!$K102, "🔒", PALPITES!Q102 &amp; " x " &amp; PALPITES!R102)</f>
        <v>🔒</v>
      </c>
      <c r="N103" s="56">
        <f>PALPITES!S102</f>
        <v>0</v>
      </c>
      <c r="O103" s="57" t="str">
        <f ca="1">IF(NOW() &lt; CALENDARIO!$K102, "🔒", PALPITES!U102 &amp; " x " &amp; PALPITES!V102)</f>
        <v>🔒</v>
      </c>
      <c r="P103" s="57">
        <f>PALPITES!W102</f>
        <v>0</v>
      </c>
      <c r="Q103" s="56" t="str">
        <f ca="1">IF(NOW() &lt; CALENDARIO!$K102, "🔒", PALPITES!Y102 &amp; " x " &amp; PALPITES!Z102)</f>
        <v>🔒</v>
      </c>
      <c r="R103" s="56">
        <f>PALPITES!AA102</f>
        <v>0</v>
      </c>
      <c r="S103" s="57" t="str">
        <f ca="1">IF(NOW() &lt; CALENDARIO!$K102, "🔒", PALPITES!AC102 &amp; " x " &amp; PALPITES!AD102)</f>
        <v>🔒</v>
      </c>
      <c r="T103" s="57">
        <f>PALPITES!AE102</f>
        <v>0</v>
      </c>
      <c r="U103" s="56" t="str">
        <f ca="1">IF(NOW() &lt; CALENDARIO!$K102, "🔒", PALPITES!AG102 &amp; " x " &amp; PALPITES!AH102)</f>
        <v>🔒</v>
      </c>
      <c r="V103" s="56">
        <f>PALPITES!AI102</f>
        <v>0</v>
      </c>
      <c r="W103" s="57" t="str">
        <f ca="1">IF(NOW() &lt; CALENDARIO!$K102, "🔒", PALPITES!AK102 &amp; " x " &amp; PALPITES!AL102)</f>
        <v>🔒</v>
      </c>
      <c r="X103" s="57">
        <f>PALPITES!AM102</f>
        <v>0</v>
      </c>
      <c r="Y103" s="56" t="str">
        <f ca="1">IF(NOW() &lt; CALENDARIO!$K102, "🔒", PALPITES!AO102 &amp; " x " &amp; PALPITES!AP102)</f>
        <v>🔒</v>
      </c>
      <c r="Z103" s="56">
        <f>PALPITES!AQ102</f>
        <v>0</v>
      </c>
      <c r="AA103" s="57" t="str">
        <f ca="1">IF(NOW() &lt; CALENDARIO!$K102, "🔒", PALPITES!AS102 &amp; " x " &amp; PALPITES!AT102)</f>
        <v>🔒</v>
      </c>
      <c r="AB103" s="57">
        <f>PALPITES!AU102</f>
        <v>0</v>
      </c>
      <c r="AC103" s="56" t="str">
        <f ca="1">IF(NOW() &lt; CALENDARIO!$K102, "🔒", PALPITES!AW102 &amp; " x " &amp; PALPITES!AX102)</f>
        <v>🔒</v>
      </c>
      <c r="AD103" s="56">
        <f>PALPITES!AY102</f>
        <v>0</v>
      </c>
      <c r="AE103" s="57" t="str">
        <f ca="1">IF(NOW() &lt; CALENDARIO!$K102, "🔒", PALPITES!BA102 &amp; " x " &amp; PALPITES!BB102)</f>
        <v>🔒</v>
      </c>
      <c r="AF103" s="57">
        <f>PALPITES!BC102</f>
        <v>0</v>
      </c>
      <c r="AG103" s="56" t="str">
        <f ca="1">IF(NOW() &lt; CALENDARIO!$K102, "🔒", PALPITES!BE102 &amp; " x " &amp; PALPITES!BF102)</f>
        <v>🔒</v>
      </c>
      <c r="AH103" s="56">
        <f>PALPITES!BG102</f>
        <v>0</v>
      </c>
      <c r="AI103" s="57" t="str">
        <f ca="1">IF(NOW() &lt; CALENDARIO!$K102, "🔒", PALPITES!BI102 &amp; " x " &amp; PALPITES!BJ102)</f>
        <v>🔒</v>
      </c>
      <c r="AJ103" s="57">
        <f>PALPITES!BK102</f>
        <v>0</v>
      </c>
    </row>
    <row r="104" spans="1:36" ht="12.75">
      <c r="A104" s="58">
        <f>CALENDARIO!A103</f>
        <v>102</v>
      </c>
      <c r="B104" s="59">
        <f>CALENDARIO!B103</f>
        <v>46218</v>
      </c>
      <c r="C104" s="60">
        <f>CALENDARIO!C103</f>
        <v>0.66666666666666663</v>
      </c>
      <c r="D104" s="61" t="str">
        <f>CALENDARIO!D103</f>
        <v>Vencedor jogo 99</v>
      </c>
      <c r="E104" s="58">
        <f>CALENDARIO!E103</f>
        <v>0</v>
      </c>
      <c r="F104" s="58" t="str">
        <f>CALENDARIO!F103</f>
        <v>x</v>
      </c>
      <c r="G104" s="58">
        <f>CALENDARIO!G103</f>
        <v>0</v>
      </c>
      <c r="H104" s="61" t="str">
        <f>CALENDARIO!H103</f>
        <v>Vencedor jogo 100</v>
      </c>
      <c r="I104" s="56" t="str">
        <f ca="1">IF(NOW() &lt; CALENDARIO!$K103, "🔒", PALPITES!I103 &amp; " x " &amp; PALPITES!J103)</f>
        <v>🔒</v>
      </c>
      <c r="J104" s="56">
        <f>PALPITES!K103</f>
        <v>0</v>
      </c>
      <c r="K104" s="57" t="str">
        <f ca="1">IF(NOW() &lt; CALENDARIO!$K103, "🔒", PALPITES!M103 &amp; " x " &amp; PALPITES!N103)</f>
        <v>🔒</v>
      </c>
      <c r="L104" s="57">
        <f>PALPITES!O103</f>
        <v>0</v>
      </c>
      <c r="M104" s="56" t="str">
        <f ca="1">IF(NOW() &lt; CALENDARIO!$K103, "🔒", PALPITES!Q103 &amp; " x " &amp; PALPITES!R103)</f>
        <v>🔒</v>
      </c>
      <c r="N104" s="56">
        <f>PALPITES!S103</f>
        <v>0</v>
      </c>
      <c r="O104" s="57" t="str">
        <f ca="1">IF(NOW() &lt; CALENDARIO!$K103, "🔒", PALPITES!U103 &amp; " x " &amp; PALPITES!V103)</f>
        <v>🔒</v>
      </c>
      <c r="P104" s="57">
        <f>PALPITES!W103</f>
        <v>0</v>
      </c>
      <c r="Q104" s="56" t="str">
        <f ca="1">IF(NOW() &lt; CALENDARIO!$K103, "🔒", PALPITES!Y103 &amp; " x " &amp; PALPITES!Z103)</f>
        <v>🔒</v>
      </c>
      <c r="R104" s="56">
        <f>PALPITES!AA103</f>
        <v>0</v>
      </c>
      <c r="S104" s="57" t="str">
        <f ca="1">IF(NOW() &lt; CALENDARIO!$K103, "🔒", PALPITES!AC103 &amp; " x " &amp; PALPITES!AD103)</f>
        <v>🔒</v>
      </c>
      <c r="T104" s="57">
        <f>PALPITES!AE103</f>
        <v>0</v>
      </c>
      <c r="U104" s="56" t="str">
        <f ca="1">IF(NOW() &lt; CALENDARIO!$K103, "🔒", PALPITES!AG103 &amp; " x " &amp; PALPITES!AH103)</f>
        <v>🔒</v>
      </c>
      <c r="V104" s="56">
        <f>PALPITES!AI103</f>
        <v>0</v>
      </c>
      <c r="W104" s="57" t="str">
        <f ca="1">IF(NOW() &lt; CALENDARIO!$K103, "🔒", PALPITES!AK103 &amp; " x " &amp; PALPITES!AL103)</f>
        <v>🔒</v>
      </c>
      <c r="X104" s="57">
        <f>PALPITES!AM103</f>
        <v>0</v>
      </c>
      <c r="Y104" s="56" t="str">
        <f ca="1">IF(NOW() &lt; CALENDARIO!$K103, "🔒", PALPITES!AO103 &amp; " x " &amp; PALPITES!AP103)</f>
        <v>🔒</v>
      </c>
      <c r="Z104" s="56">
        <f>PALPITES!AQ103</f>
        <v>0</v>
      </c>
      <c r="AA104" s="57" t="str">
        <f ca="1">IF(NOW() &lt; CALENDARIO!$K103, "🔒", PALPITES!AS103 &amp; " x " &amp; PALPITES!AT103)</f>
        <v>🔒</v>
      </c>
      <c r="AB104" s="57">
        <f>PALPITES!AU103</f>
        <v>0</v>
      </c>
      <c r="AC104" s="56" t="str">
        <f ca="1">IF(NOW() &lt; CALENDARIO!$K103, "🔒", PALPITES!AW103 &amp; " x " &amp; PALPITES!AX103)</f>
        <v>🔒</v>
      </c>
      <c r="AD104" s="56">
        <f>PALPITES!AY103</f>
        <v>0</v>
      </c>
      <c r="AE104" s="57" t="str">
        <f ca="1">IF(NOW() &lt; CALENDARIO!$K103, "🔒", PALPITES!BA103 &amp; " x " &amp; PALPITES!BB103)</f>
        <v>🔒</v>
      </c>
      <c r="AF104" s="57">
        <f>PALPITES!BC103</f>
        <v>0</v>
      </c>
      <c r="AG104" s="56" t="str">
        <f ca="1">IF(NOW() &lt; CALENDARIO!$K103, "🔒", PALPITES!BE103 &amp; " x " &amp; PALPITES!BF103)</f>
        <v>🔒</v>
      </c>
      <c r="AH104" s="56">
        <f>PALPITES!BG103</f>
        <v>0</v>
      </c>
      <c r="AI104" s="57" t="str">
        <f ca="1">IF(NOW() &lt; CALENDARIO!$K103, "🔒", PALPITES!BI103 &amp; " x " &amp; PALPITES!BJ103)</f>
        <v>🔒</v>
      </c>
      <c r="AJ104" s="57">
        <f>PALPITES!BK103</f>
        <v>0</v>
      </c>
    </row>
    <row r="105" spans="1:36" ht="12.75">
      <c r="A105" s="58">
        <f>CALENDARIO!A104</f>
        <v>103</v>
      </c>
      <c r="B105" s="59">
        <f>CALENDARIO!B104</f>
        <v>46221</v>
      </c>
      <c r="C105" s="60">
        <f>CALENDARIO!C104</f>
        <v>0.75</v>
      </c>
      <c r="D105" s="61" t="str">
        <f>CALENDARIO!D104</f>
        <v>Perdedor jogo 101</v>
      </c>
      <c r="E105" s="58">
        <f>CALENDARIO!E104</f>
        <v>0</v>
      </c>
      <c r="F105" s="58" t="str">
        <f>CALENDARIO!F104</f>
        <v>x</v>
      </c>
      <c r="G105" s="58">
        <f>CALENDARIO!G104</f>
        <v>0</v>
      </c>
      <c r="H105" s="61" t="str">
        <f>CALENDARIO!H104</f>
        <v>Perdedor jogo 102</v>
      </c>
      <c r="I105" s="56" t="str">
        <f ca="1">IF(NOW() &lt; CALENDARIO!$K104, "🔒", PALPITES!I104 &amp; " x " &amp; PALPITES!J104)</f>
        <v>🔒</v>
      </c>
      <c r="J105" s="56">
        <f>PALPITES!K104</f>
        <v>0</v>
      </c>
      <c r="K105" s="57" t="str">
        <f ca="1">IF(NOW() &lt; CALENDARIO!$K104, "🔒", PALPITES!M104 &amp; " x " &amp; PALPITES!N104)</f>
        <v>🔒</v>
      </c>
      <c r="L105" s="57">
        <f>PALPITES!O104</f>
        <v>0</v>
      </c>
      <c r="M105" s="56" t="str">
        <f ca="1">IF(NOW() &lt; CALENDARIO!$K104, "🔒", PALPITES!Q104 &amp; " x " &amp; PALPITES!R104)</f>
        <v>🔒</v>
      </c>
      <c r="N105" s="56">
        <f>PALPITES!S104</f>
        <v>0</v>
      </c>
      <c r="O105" s="57" t="str">
        <f ca="1">IF(NOW() &lt; CALENDARIO!$K104, "🔒", PALPITES!U104 &amp; " x " &amp; PALPITES!V104)</f>
        <v>🔒</v>
      </c>
      <c r="P105" s="57">
        <f>PALPITES!W104</f>
        <v>0</v>
      </c>
      <c r="Q105" s="56" t="str">
        <f ca="1">IF(NOW() &lt; CALENDARIO!$K104, "🔒", PALPITES!Y104 &amp; " x " &amp; PALPITES!Z104)</f>
        <v>🔒</v>
      </c>
      <c r="R105" s="56">
        <f>PALPITES!AA104</f>
        <v>0</v>
      </c>
      <c r="S105" s="57" t="str">
        <f ca="1">IF(NOW() &lt; CALENDARIO!$K104, "🔒", PALPITES!AC104 &amp; " x " &amp; PALPITES!AD104)</f>
        <v>🔒</v>
      </c>
      <c r="T105" s="57">
        <f>PALPITES!AE104</f>
        <v>0</v>
      </c>
      <c r="U105" s="56" t="str">
        <f ca="1">IF(NOW() &lt; CALENDARIO!$K104, "🔒", PALPITES!AG104 &amp; " x " &amp; PALPITES!AH104)</f>
        <v>🔒</v>
      </c>
      <c r="V105" s="56">
        <f>PALPITES!AI104</f>
        <v>0</v>
      </c>
      <c r="W105" s="57" t="str">
        <f ca="1">IF(NOW() &lt; CALENDARIO!$K104, "🔒", PALPITES!AK104 &amp; " x " &amp; PALPITES!AL104)</f>
        <v>🔒</v>
      </c>
      <c r="X105" s="57">
        <f>PALPITES!AM104</f>
        <v>0</v>
      </c>
      <c r="Y105" s="56" t="str">
        <f ca="1">IF(NOW() &lt; CALENDARIO!$K104, "🔒", PALPITES!AO104 &amp; " x " &amp; PALPITES!AP104)</f>
        <v>🔒</v>
      </c>
      <c r="Z105" s="56">
        <f>PALPITES!AQ104</f>
        <v>0</v>
      </c>
      <c r="AA105" s="57" t="str">
        <f ca="1">IF(NOW() &lt; CALENDARIO!$K104, "🔒", PALPITES!AS104 &amp; " x " &amp; PALPITES!AT104)</f>
        <v>🔒</v>
      </c>
      <c r="AB105" s="57">
        <f>PALPITES!AU104</f>
        <v>0</v>
      </c>
      <c r="AC105" s="56" t="str">
        <f ca="1">IF(NOW() &lt; CALENDARIO!$K104, "🔒", PALPITES!AW104 &amp; " x " &amp; PALPITES!AX104)</f>
        <v>🔒</v>
      </c>
      <c r="AD105" s="56">
        <f>PALPITES!AY104</f>
        <v>0</v>
      </c>
      <c r="AE105" s="57" t="str">
        <f ca="1">IF(NOW() &lt; CALENDARIO!$K104, "🔒", PALPITES!BA104 &amp; " x " &amp; PALPITES!BB104)</f>
        <v>🔒</v>
      </c>
      <c r="AF105" s="57">
        <f>PALPITES!BC104</f>
        <v>0</v>
      </c>
      <c r="AG105" s="56" t="str">
        <f ca="1">IF(NOW() &lt; CALENDARIO!$K104, "🔒", PALPITES!BE104 &amp; " x " &amp; PALPITES!BF104)</f>
        <v>🔒</v>
      </c>
      <c r="AH105" s="56">
        <f>PALPITES!BG104</f>
        <v>0</v>
      </c>
      <c r="AI105" s="57" t="str">
        <f ca="1">IF(NOW() &lt; CALENDARIO!$K104, "🔒", PALPITES!BI104 &amp; " x " &amp; PALPITES!BJ104)</f>
        <v>🔒</v>
      </c>
      <c r="AJ105" s="57">
        <f>PALPITES!BK104</f>
        <v>0</v>
      </c>
    </row>
    <row r="106" spans="1:36" ht="12.75">
      <c r="A106" s="58">
        <f>CALENDARIO!A105</f>
        <v>104</v>
      </c>
      <c r="B106" s="59">
        <f>CALENDARIO!B105</f>
        <v>46222</v>
      </c>
      <c r="C106" s="60">
        <f>CALENDARIO!C105</f>
        <v>0.66666666666666663</v>
      </c>
      <c r="D106" s="61" t="str">
        <f>CALENDARIO!D105</f>
        <v>Vencedor jogo 101</v>
      </c>
      <c r="E106" s="58">
        <f>CALENDARIO!E105</f>
        <v>0</v>
      </c>
      <c r="F106" s="58" t="str">
        <f>CALENDARIO!F105</f>
        <v>x</v>
      </c>
      <c r="G106" s="58">
        <f>CALENDARIO!G105</f>
        <v>0</v>
      </c>
      <c r="H106" s="61" t="str">
        <f>CALENDARIO!H105</f>
        <v>Vencedor jogo 102</v>
      </c>
      <c r="I106" s="56" t="str">
        <f ca="1">IF(NOW() &lt; CALENDARIO!$K105, "🔒", PALPITES!I105 &amp; " x " &amp; PALPITES!J105)</f>
        <v>🔒</v>
      </c>
      <c r="J106" s="56">
        <f>PALPITES!K105</f>
        <v>0</v>
      </c>
      <c r="K106" s="57" t="str">
        <f ca="1">IF(NOW() &lt; CALENDARIO!$K105, "🔒", PALPITES!M105 &amp; " x " &amp; PALPITES!N105)</f>
        <v>🔒</v>
      </c>
      <c r="L106" s="57">
        <f>PALPITES!O105</f>
        <v>0</v>
      </c>
      <c r="M106" s="56" t="str">
        <f ca="1">IF(NOW() &lt; CALENDARIO!$K105, "🔒", PALPITES!Q105 &amp; " x " &amp; PALPITES!R105)</f>
        <v>🔒</v>
      </c>
      <c r="N106" s="56">
        <f>PALPITES!S105</f>
        <v>0</v>
      </c>
      <c r="O106" s="57" t="str">
        <f ca="1">IF(NOW() &lt; CALENDARIO!$K105, "🔒", PALPITES!U105 &amp; " x " &amp; PALPITES!V105)</f>
        <v>🔒</v>
      </c>
      <c r="P106" s="57">
        <f>PALPITES!W105</f>
        <v>0</v>
      </c>
      <c r="Q106" s="56" t="str">
        <f ca="1">IF(NOW() &lt; CALENDARIO!$K105, "🔒", PALPITES!Y105 &amp; " x " &amp; PALPITES!Z105)</f>
        <v>🔒</v>
      </c>
      <c r="R106" s="56">
        <f>PALPITES!AA105</f>
        <v>0</v>
      </c>
      <c r="S106" s="57" t="str">
        <f ca="1">IF(NOW() &lt; CALENDARIO!$K105, "🔒", PALPITES!AC105 &amp; " x " &amp; PALPITES!AD105)</f>
        <v>🔒</v>
      </c>
      <c r="T106" s="57">
        <f>PALPITES!AE105</f>
        <v>0</v>
      </c>
      <c r="U106" s="56" t="str">
        <f ca="1">IF(NOW() &lt; CALENDARIO!$K105, "🔒", PALPITES!AG105 &amp; " x " &amp; PALPITES!AH105)</f>
        <v>🔒</v>
      </c>
      <c r="V106" s="56">
        <f>PALPITES!AI105</f>
        <v>0</v>
      </c>
      <c r="W106" s="57" t="str">
        <f ca="1">IF(NOW() &lt; CALENDARIO!$K105, "🔒", PALPITES!AK105 &amp; " x " &amp; PALPITES!AL105)</f>
        <v>🔒</v>
      </c>
      <c r="X106" s="57">
        <f>PALPITES!AM105</f>
        <v>0</v>
      </c>
      <c r="Y106" s="56" t="str">
        <f ca="1">IF(NOW() &lt; CALENDARIO!$K105, "🔒", PALPITES!AO105 &amp; " x " &amp; PALPITES!AP105)</f>
        <v>🔒</v>
      </c>
      <c r="Z106" s="56">
        <f>PALPITES!AQ105</f>
        <v>0</v>
      </c>
      <c r="AA106" s="57" t="str">
        <f ca="1">IF(NOW() &lt; CALENDARIO!$K105, "🔒", PALPITES!AS105 &amp; " x " &amp; PALPITES!AT105)</f>
        <v>🔒</v>
      </c>
      <c r="AB106" s="57">
        <f>PALPITES!AU105</f>
        <v>0</v>
      </c>
      <c r="AC106" s="56" t="str">
        <f ca="1">IF(NOW() &lt; CALENDARIO!$K105, "🔒", PALPITES!AW105 &amp; " x " &amp; PALPITES!AX105)</f>
        <v>🔒</v>
      </c>
      <c r="AD106" s="56">
        <f>PALPITES!AY105</f>
        <v>0</v>
      </c>
      <c r="AE106" s="57" t="str">
        <f ca="1">IF(NOW() &lt; CALENDARIO!$K105, "🔒", PALPITES!BA105 &amp; " x " &amp; PALPITES!BB105)</f>
        <v>🔒</v>
      </c>
      <c r="AF106" s="57">
        <f>PALPITES!BC105</f>
        <v>0</v>
      </c>
      <c r="AG106" s="56" t="str">
        <f ca="1">IF(NOW() &lt; CALENDARIO!$K105, "🔒", PALPITES!BE105 &amp; " x " &amp; PALPITES!BF105)</f>
        <v>🔒</v>
      </c>
      <c r="AH106" s="56">
        <f>PALPITES!BG105</f>
        <v>0</v>
      </c>
      <c r="AI106" s="57" t="str">
        <f ca="1">IF(NOW() &lt; CALENDARIO!$K105, "🔒", PALPITES!BI105 &amp; " x " &amp; PALPITES!BJ105)</f>
        <v>🔒</v>
      </c>
      <c r="AJ106" s="57">
        <f>PALPITES!BK105</f>
        <v>0</v>
      </c>
    </row>
    <row r="107" spans="1:36" ht="12.75">
      <c r="A107" s="58"/>
      <c r="B107" s="58"/>
      <c r="C107" s="58"/>
      <c r="D107" s="61"/>
      <c r="E107" s="58"/>
      <c r="F107" s="58"/>
      <c r="G107" s="58"/>
      <c r="H107" s="62"/>
      <c r="I107" s="56" t="s">
        <v>279</v>
      </c>
      <c r="J107" s="56" t="e">
        <f ca="1">SUM(J3:J106)</f>
        <v>#VALUE!</v>
      </c>
      <c r="K107" s="57" t="s">
        <v>279</v>
      </c>
      <c r="L107" s="57">
        <f ca="1">SUM(L3:L106)</f>
        <v>0</v>
      </c>
      <c r="M107" s="56" t="s">
        <v>279</v>
      </c>
      <c r="N107" s="56">
        <f ca="1">SUM(N3:N106)</f>
        <v>0</v>
      </c>
      <c r="O107" s="57" t="s">
        <v>279</v>
      </c>
      <c r="P107" s="57">
        <f ca="1">SUM(P3:P106)</f>
        <v>0</v>
      </c>
      <c r="Q107" s="56" t="s">
        <v>279</v>
      </c>
      <c r="R107" s="56">
        <f>SUM(R3:R106)</f>
        <v>0</v>
      </c>
      <c r="S107" s="57" t="s">
        <v>279</v>
      </c>
      <c r="T107" s="57">
        <f ca="1">SUM(T3:T106)</f>
        <v>0</v>
      </c>
      <c r="U107" s="56" t="s">
        <v>279</v>
      </c>
      <c r="V107" s="56">
        <f ca="1">SUM(V3:V106)</f>
        <v>0</v>
      </c>
      <c r="W107" s="57" t="s">
        <v>279</v>
      </c>
      <c r="X107" s="57">
        <f ca="1">SUM(X3:X106)</f>
        <v>0</v>
      </c>
      <c r="Y107" s="56" t="s">
        <v>279</v>
      </c>
      <c r="Z107" s="56">
        <f ca="1">SUM(Z3:Z106)</f>
        <v>0</v>
      </c>
      <c r="AA107" s="57" t="s">
        <v>279</v>
      </c>
      <c r="AB107" s="57">
        <f ca="1">SUM(AB3:AB106)</f>
        <v>0</v>
      </c>
      <c r="AC107" s="56" t="s">
        <v>279</v>
      </c>
      <c r="AD107" s="56">
        <f>SUM(AD3:AD106)</f>
        <v>0</v>
      </c>
      <c r="AE107" s="57" t="s">
        <v>279</v>
      </c>
      <c r="AF107" s="57">
        <f ca="1">SUM(AF3:AF106)</f>
        <v>0</v>
      </c>
      <c r="AG107" s="56" t="s">
        <v>279</v>
      </c>
      <c r="AH107" s="56">
        <f ca="1">SUM(AH3:AH106)</f>
        <v>0</v>
      </c>
      <c r="AI107" s="57" t="s">
        <v>279</v>
      </c>
      <c r="AJ107" s="57">
        <f ca="1">SUM(AJ3:AJ106)</f>
        <v>0</v>
      </c>
    </row>
    <row r="108" spans="1:36" ht="12.75">
      <c r="A108" s="49"/>
      <c r="B108" s="49"/>
      <c r="C108" s="49"/>
      <c r="D108" s="52"/>
      <c r="E108" s="49"/>
      <c r="F108" s="49"/>
      <c r="G108" s="49"/>
      <c r="H108" s="54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</row>
    <row r="109" spans="1:36" ht="12.75">
      <c r="A109" s="49"/>
      <c r="B109" s="49"/>
      <c r="C109" s="49"/>
      <c r="D109" s="52"/>
      <c r="E109" s="49"/>
      <c r="F109" s="49"/>
      <c r="G109" s="49"/>
      <c r="H109" s="54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</row>
    <row r="110" spans="1:36" ht="12.75">
      <c r="A110" s="49"/>
      <c r="B110" s="49"/>
      <c r="C110" s="49"/>
      <c r="D110" s="52"/>
      <c r="E110" s="49"/>
      <c r="F110" s="49"/>
      <c r="G110" s="49"/>
      <c r="H110" s="54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</row>
    <row r="111" spans="1:36" ht="12.75">
      <c r="A111" s="49"/>
      <c r="B111" s="49"/>
      <c r="C111" s="49"/>
      <c r="D111" s="52"/>
      <c r="E111" s="49"/>
      <c r="F111" s="49"/>
      <c r="G111" s="49"/>
      <c r="H111" s="54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</row>
    <row r="112" spans="1:36" ht="12.75">
      <c r="A112" s="49"/>
      <c r="B112" s="49"/>
      <c r="C112" s="49"/>
      <c r="D112" s="52"/>
      <c r="E112" s="49"/>
      <c r="F112" s="49"/>
      <c r="G112" s="49"/>
      <c r="H112" s="54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</row>
    <row r="113" spans="1:36" ht="12.75">
      <c r="A113" s="53"/>
      <c r="B113" s="53"/>
      <c r="C113" s="53"/>
      <c r="D113" s="54"/>
      <c r="E113" s="53"/>
      <c r="F113" s="53"/>
      <c r="G113" s="53"/>
      <c r="H113" s="54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</row>
    <row r="114" spans="1:36" ht="12.75">
      <c r="A114" s="53"/>
      <c r="B114" s="53"/>
      <c r="C114" s="53"/>
      <c r="D114" s="54"/>
      <c r="E114" s="53"/>
      <c r="F114" s="53"/>
      <c r="G114" s="53"/>
      <c r="H114" s="54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</row>
    <row r="115" spans="1:36" ht="12.75">
      <c r="A115" s="53"/>
      <c r="B115" s="53"/>
      <c r="C115" s="53"/>
      <c r="D115" s="54"/>
      <c r="E115" s="53"/>
      <c r="F115" s="53"/>
      <c r="G115" s="53"/>
      <c r="H115" s="54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</row>
    <row r="116" spans="1:36" ht="12.75">
      <c r="A116" s="53"/>
      <c r="B116" s="53"/>
      <c r="C116" s="53"/>
      <c r="D116" s="54"/>
      <c r="E116" s="53"/>
      <c r="F116" s="53"/>
      <c r="G116" s="53"/>
      <c r="H116" s="54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</row>
    <row r="117" spans="1:36" ht="12.75">
      <c r="A117" s="53"/>
      <c r="B117" s="53"/>
      <c r="C117" s="53"/>
      <c r="D117" s="54"/>
      <c r="E117" s="53"/>
      <c r="F117" s="53"/>
      <c r="G117" s="53"/>
      <c r="H117" s="54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</row>
    <row r="118" spans="1:36" ht="12.75">
      <c r="A118" s="53"/>
      <c r="B118" s="53"/>
      <c r="C118" s="53"/>
      <c r="D118" s="54"/>
      <c r="E118" s="53"/>
      <c r="F118" s="53"/>
      <c r="G118" s="53"/>
      <c r="H118" s="54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</row>
    <row r="119" spans="1:36" ht="12.75">
      <c r="A119" s="53"/>
      <c r="B119" s="53"/>
      <c r="C119" s="53"/>
      <c r="D119" s="54"/>
      <c r="E119" s="53"/>
      <c r="F119" s="53"/>
      <c r="G119" s="53"/>
      <c r="H119" s="54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</row>
    <row r="120" spans="1:36" ht="12.75">
      <c r="A120" s="53"/>
      <c r="B120" s="53"/>
      <c r="C120" s="53"/>
      <c r="D120" s="54"/>
      <c r="E120" s="53"/>
      <c r="F120" s="53"/>
      <c r="G120" s="53"/>
      <c r="H120" s="54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</row>
    <row r="121" spans="1:36" ht="12.75">
      <c r="A121" s="53"/>
      <c r="B121" s="53"/>
      <c r="C121" s="53"/>
      <c r="D121" s="54"/>
      <c r="E121" s="53"/>
      <c r="F121" s="53"/>
      <c r="G121" s="53"/>
      <c r="H121" s="54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</row>
    <row r="122" spans="1:36" ht="12.75">
      <c r="A122" s="53"/>
      <c r="B122" s="53"/>
      <c r="C122" s="53"/>
      <c r="D122" s="54"/>
      <c r="E122" s="53"/>
      <c r="F122" s="53"/>
      <c r="G122" s="53"/>
      <c r="H122" s="54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</row>
    <row r="123" spans="1:36" ht="12.75">
      <c r="A123" s="53"/>
      <c r="B123" s="53"/>
      <c r="C123" s="53"/>
      <c r="D123" s="54"/>
      <c r="E123" s="53"/>
      <c r="F123" s="53"/>
      <c r="G123" s="53"/>
      <c r="H123" s="54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</row>
    <row r="124" spans="1:36" ht="12.75">
      <c r="A124" s="53"/>
      <c r="B124" s="53"/>
      <c r="C124" s="53"/>
      <c r="D124" s="54"/>
      <c r="E124" s="53"/>
      <c r="F124" s="53"/>
      <c r="G124" s="53"/>
      <c r="H124" s="54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</row>
  </sheetData>
  <mergeCells count="22">
    <mergeCell ref="AA1:AB1"/>
    <mergeCell ref="AC1:AD1"/>
    <mergeCell ref="AE1:AF1"/>
    <mergeCell ref="AG1:AH1"/>
    <mergeCell ref="AI1:AJ1"/>
    <mergeCell ref="F1:F2"/>
    <mergeCell ref="G1:G2"/>
    <mergeCell ref="U1:V1"/>
    <mergeCell ref="W1:X1"/>
    <mergeCell ref="Y1:Z1"/>
    <mergeCell ref="H1:H2"/>
    <mergeCell ref="I1:J1"/>
    <mergeCell ref="K1:L1"/>
    <mergeCell ref="M1:N1"/>
    <mergeCell ref="O1:P1"/>
    <mergeCell ref="Q1:R1"/>
    <mergeCell ref="S1:T1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2"/>
  <sheetViews>
    <sheetView showGridLines="0" workbookViewId="0">
      <selection activeCell="G15" sqref="G15"/>
    </sheetView>
  </sheetViews>
  <sheetFormatPr defaultColWidth="12.5703125" defaultRowHeight="15.75" customHeight="1"/>
  <cols>
    <col min="1" max="1" width="8.140625" customWidth="1"/>
    <col min="2" max="2" width="15.7109375" customWidth="1"/>
    <col min="4" max="4" width="14" customWidth="1"/>
    <col min="5" max="5" width="13.42578125" customWidth="1"/>
    <col min="17" max="17" width="34.85546875" customWidth="1"/>
  </cols>
  <sheetData>
    <row r="1" spans="1:28" ht="33" customHeight="1">
      <c r="A1" s="63"/>
      <c r="B1" s="64"/>
      <c r="C1" s="63"/>
      <c r="D1" s="24"/>
      <c r="E1" s="24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28" ht="12.75">
      <c r="A2" s="63"/>
      <c r="B2" s="64"/>
      <c r="C2" s="63"/>
      <c r="D2" s="24"/>
      <c r="E2" s="24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28" ht="22.5" customHeight="1">
      <c r="A3" s="63"/>
      <c r="B3" s="66" t="s">
        <v>280</v>
      </c>
      <c r="C3" s="67" t="s">
        <v>281</v>
      </c>
      <c r="D3" s="68" t="s">
        <v>278</v>
      </c>
      <c r="E3" s="68" t="s">
        <v>282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28" ht="22.5" customHeight="1">
      <c r="B4" s="69" t="e">
        <f t="array" aca="1" ref="B4:B17" ca="1">_xludf.SEQUENCE(14, 1, 1, 1)</f>
        <v>#NAME?</v>
      </c>
      <c r="C4" s="43" t="s">
        <v>260</v>
      </c>
      <c r="D4" s="69" t="e">
        <v>#N/A</v>
      </c>
      <c r="E4" s="69" t="e">
        <v>#N/A</v>
      </c>
    </row>
    <row r="5" spans="1:28" ht="22.5" customHeight="1">
      <c r="B5" s="69" t="e">
        <f ca="1"/>
        <v>#NAME?</v>
      </c>
      <c r="C5" s="43" t="s">
        <v>261</v>
      </c>
      <c r="D5" s="69">
        <v>0</v>
      </c>
      <c r="E5" s="69">
        <v>0</v>
      </c>
    </row>
    <row r="6" spans="1:28" ht="22.5" customHeight="1">
      <c r="B6" s="69" t="e">
        <f ca="1"/>
        <v>#NAME?</v>
      </c>
      <c r="C6" s="43" t="s">
        <v>262</v>
      </c>
      <c r="D6" s="69">
        <v>0</v>
      </c>
      <c r="E6" s="69">
        <v>0</v>
      </c>
    </row>
    <row r="7" spans="1:28" ht="22.5" customHeight="1">
      <c r="B7" s="69" t="e">
        <f ca="1"/>
        <v>#NAME?</v>
      </c>
      <c r="C7" s="43" t="s">
        <v>263</v>
      </c>
      <c r="D7" s="69">
        <v>0</v>
      </c>
      <c r="E7" s="69">
        <v>0</v>
      </c>
    </row>
    <row r="8" spans="1:28" ht="22.5" customHeight="1">
      <c r="B8" s="69" t="e">
        <f ca="1"/>
        <v>#NAME?</v>
      </c>
      <c r="C8" s="43" t="s">
        <v>264</v>
      </c>
      <c r="D8" s="69">
        <v>0</v>
      </c>
      <c r="E8" s="69">
        <v>0</v>
      </c>
    </row>
    <row r="9" spans="1:28" ht="22.5" customHeight="1">
      <c r="B9" s="69" t="e">
        <f ca="1"/>
        <v>#NAME?</v>
      </c>
      <c r="C9" s="43" t="s">
        <v>265</v>
      </c>
      <c r="D9" s="69">
        <v>0</v>
      </c>
      <c r="E9" s="69">
        <v>0</v>
      </c>
    </row>
    <row r="10" spans="1:28" ht="22.5" customHeight="1">
      <c r="B10" s="69" t="e">
        <f ca="1"/>
        <v>#NAME?</v>
      </c>
      <c r="C10" s="43" t="s">
        <v>266</v>
      </c>
      <c r="D10" s="69">
        <v>0</v>
      </c>
      <c r="E10" s="69">
        <v>0</v>
      </c>
    </row>
    <row r="11" spans="1:28" ht="22.5" customHeight="1">
      <c r="B11" s="69" t="e">
        <f ca="1"/>
        <v>#NAME?</v>
      </c>
      <c r="C11" s="43" t="s">
        <v>267</v>
      </c>
      <c r="D11" s="69">
        <v>0</v>
      </c>
      <c r="E11" s="69">
        <v>0</v>
      </c>
    </row>
    <row r="12" spans="1:28" ht="22.5" customHeight="1">
      <c r="B12" s="69" t="e">
        <f ca="1"/>
        <v>#NAME?</v>
      </c>
      <c r="C12" s="43" t="s">
        <v>268</v>
      </c>
      <c r="D12" s="69">
        <v>0</v>
      </c>
      <c r="E12" s="69">
        <v>0</v>
      </c>
    </row>
    <row r="13" spans="1:28" ht="22.5" customHeight="1">
      <c r="B13" s="69" t="e">
        <f ca="1"/>
        <v>#NAME?</v>
      </c>
      <c r="C13" s="43" t="s">
        <v>269</v>
      </c>
      <c r="D13" s="69">
        <v>0</v>
      </c>
      <c r="E13" s="69">
        <v>0</v>
      </c>
    </row>
    <row r="14" spans="1:28" ht="22.5" customHeight="1">
      <c r="B14" s="69" t="e">
        <f ca="1"/>
        <v>#NAME?</v>
      </c>
      <c r="C14" s="43" t="s">
        <v>270</v>
      </c>
      <c r="D14" s="69">
        <v>0</v>
      </c>
      <c r="E14" s="69">
        <v>0</v>
      </c>
    </row>
    <row r="15" spans="1:28" ht="22.5" customHeight="1">
      <c r="B15" s="69" t="e">
        <f ca="1"/>
        <v>#NAME?</v>
      </c>
      <c r="C15" s="43" t="s">
        <v>271</v>
      </c>
      <c r="D15" s="69">
        <v>0</v>
      </c>
      <c r="E15" s="69">
        <v>0</v>
      </c>
    </row>
    <row r="16" spans="1:28" ht="22.5" customHeight="1">
      <c r="B16" s="69" t="e">
        <f ca="1"/>
        <v>#NAME?</v>
      </c>
      <c r="C16" s="43" t="s">
        <v>272</v>
      </c>
      <c r="D16" s="69">
        <v>0</v>
      </c>
      <c r="E16" s="69">
        <v>0</v>
      </c>
    </row>
    <row r="17" spans="2:5" ht="22.5" customHeight="1">
      <c r="B17" s="69" t="e">
        <f ca="1"/>
        <v>#NAME?</v>
      </c>
      <c r="C17" s="43" t="s">
        <v>273</v>
      </c>
      <c r="D17" s="69">
        <v>0</v>
      </c>
      <c r="E17" s="69">
        <v>0</v>
      </c>
    </row>
    <row r="18" spans="2:5" ht="12.75">
      <c r="B18" s="23"/>
      <c r="D18" s="23"/>
      <c r="E18" s="23"/>
    </row>
    <row r="19" spans="2:5" ht="12.75">
      <c r="B19" s="23"/>
      <c r="D19" s="23"/>
      <c r="E19" s="23"/>
    </row>
    <row r="20" spans="2:5" ht="12.75">
      <c r="B20" s="23"/>
      <c r="D20" s="23"/>
      <c r="E20" s="23"/>
    </row>
    <row r="21" spans="2:5" ht="12.75">
      <c r="B21" s="23"/>
      <c r="D21" s="23"/>
      <c r="E21" s="23"/>
    </row>
    <row r="22" spans="2:5" ht="12.75">
      <c r="B22" s="23"/>
      <c r="D22" s="23"/>
      <c r="E22" s="23"/>
    </row>
    <row r="23" spans="2:5" ht="12.75">
      <c r="B23" s="23"/>
      <c r="D23" s="23"/>
      <c r="E23" s="23"/>
    </row>
    <row r="24" spans="2:5" ht="12.75">
      <c r="B24" s="23"/>
      <c r="D24" s="23"/>
      <c r="E24" s="23"/>
    </row>
    <row r="25" spans="2:5" ht="12.75">
      <c r="B25" s="23"/>
      <c r="D25" s="23"/>
      <c r="E25" s="23"/>
    </row>
    <row r="26" spans="2:5" ht="12.75">
      <c r="B26" s="23"/>
      <c r="D26" s="23"/>
      <c r="E26" s="23"/>
    </row>
    <row r="27" spans="2:5" ht="12.75">
      <c r="B27" s="23"/>
      <c r="D27" s="23"/>
      <c r="E27" s="23"/>
    </row>
    <row r="28" spans="2:5" ht="12.75">
      <c r="B28" s="23"/>
      <c r="D28" s="23"/>
      <c r="E28" s="23"/>
    </row>
    <row r="29" spans="2:5" ht="12.75">
      <c r="B29" s="23"/>
      <c r="D29" s="23"/>
      <c r="E29" s="23"/>
    </row>
    <row r="30" spans="2:5" ht="12.75">
      <c r="B30" s="23"/>
      <c r="D30" s="23"/>
      <c r="E30" s="23"/>
    </row>
    <row r="31" spans="2:5" ht="12.75">
      <c r="B31" s="23"/>
      <c r="D31" s="23"/>
      <c r="E31" s="23"/>
    </row>
    <row r="32" spans="2:5" ht="12.75">
      <c r="B32" s="23"/>
      <c r="D32" s="23"/>
      <c r="E32" s="23"/>
    </row>
    <row r="33" spans="2:5" ht="12.75">
      <c r="B33" s="23"/>
      <c r="D33" s="23"/>
      <c r="E33" s="23"/>
    </row>
    <row r="34" spans="2:5" ht="12.75">
      <c r="B34" s="23"/>
      <c r="D34" s="23"/>
      <c r="E34" s="23"/>
    </row>
    <row r="35" spans="2:5" ht="12.75">
      <c r="B35" s="23"/>
      <c r="D35" s="23"/>
      <c r="E35" s="23"/>
    </row>
    <row r="36" spans="2:5" ht="12.75">
      <c r="B36" s="23"/>
      <c r="D36" s="23"/>
      <c r="E36" s="23"/>
    </row>
    <row r="37" spans="2:5" ht="12.75">
      <c r="B37" s="23"/>
      <c r="D37" s="23"/>
      <c r="E37" s="23"/>
    </row>
    <row r="38" spans="2:5" ht="12.75">
      <c r="B38" s="23"/>
      <c r="D38" s="23"/>
      <c r="E38" s="23"/>
    </row>
    <row r="39" spans="2:5" ht="12.75">
      <c r="B39" s="23"/>
      <c r="D39" s="23"/>
      <c r="E39" s="23"/>
    </row>
    <row r="40" spans="2:5" ht="12.75">
      <c r="B40" s="23"/>
      <c r="D40" s="23"/>
      <c r="E40" s="23"/>
    </row>
    <row r="41" spans="2:5" ht="12.75">
      <c r="B41" s="23"/>
      <c r="D41" s="23"/>
      <c r="E41" s="23"/>
    </row>
    <row r="42" spans="2:5" ht="12.75">
      <c r="B42" s="23"/>
      <c r="D42" s="23"/>
      <c r="E42" s="23"/>
    </row>
    <row r="43" spans="2:5" ht="12.75">
      <c r="B43" s="23"/>
      <c r="D43" s="23"/>
      <c r="E43" s="23"/>
    </row>
    <row r="44" spans="2:5" ht="12.75">
      <c r="B44" s="23"/>
      <c r="D44" s="23"/>
      <c r="E44" s="23"/>
    </row>
    <row r="45" spans="2:5" ht="12.75">
      <c r="B45" s="23"/>
      <c r="D45" s="23"/>
      <c r="E45" s="23"/>
    </row>
    <row r="46" spans="2:5" ht="12.75">
      <c r="B46" s="23"/>
      <c r="D46" s="23"/>
      <c r="E46" s="23"/>
    </row>
    <row r="47" spans="2:5" ht="12.75">
      <c r="B47" s="23"/>
      <c r="D47" s="23"/>
      <c r="E47" s="23"/>
    </row>
    <row r="48" spans="2:5" ht="12.75">
      <c r="B48" s="23"/>
      <c r="D48" s="23"/>
      <c r="E48" s="23"/>
    </row>
    <row r="49" spans="2:5" ht="12.75">
      <c r="B49" s="23"/>
      <c r="D49" s="23"/>
      <c r="E49" s="23"/>
    </row>
    <row r="50" spans="2:5" ht="12.75">
      <c r="B50" s="23"/>
      <c r="D50" s="23"/>
      <c r="E50" s="23"/>
    </row>
    <row r="51" spans="2:5" ht="12.75">
      <c r="B51" s="23"/>
      <c r="D51" s="23"/>
      <c r="E51" s="23"/>
    </row>
    <row r="52" spans="2:5" ht="12.75">
      <c r="B52" s="23"/>
      <c r="D52" s="23"/>
      <c r="E52" s="23"/>
    </row>
    <row r="53" spans="2:5" ht="12.75">
      <c r="B53" s="23"/>
      <c r="D53" s="23"/>
      <c r="E53" s="23"/>
    </row>
    <row r="54" spans="2:5" ht="12.75">
      <c r="B54" s="23"/>
      <c r="D54" s="23"/>
      <c r="E54" s="23"/>
    </row>
    <row r="55" spans="2:5" ht="12.75">
      <c r="B55" s="23"/>
      <c r="D55" s="23"/>
      <c r="E55" s="23"/>
    </row>
    <row r="56" spans="2:5" ht="12.75">
      <c r="B56" s="23"/>
      <c r="D56" s="23"/>
      <c r="E56" s="23"/>
    </row>
    <row r="57" spans="2:5" ht="12.75">
      <c r="B57" s="23"/>
      <c r="D57" s="23"/>
      <c r="E57" s="23"/>
    </row>
    <row r="58" spans="2:5" ht="12.75">
      <c r="B58" s="23"/>
      <c r="D58" s="23"/>
      <c r="E58" s="23"/>
    </row>
    <row r="59" spans="2:5" ht="12.75">
      <c r="B59" s="23"/>
      <c r="D59" s="23"/>
      <c r="E59" s="23"/>
    </row>
    <row r="60" spans="2:5" ht="12.75">
      <c r="B60" s="23"/>
      <c r="D60" s="23"/>
      <c r="E60" s="23"/>
    </row>
    <row r="61" spans="2:5" ht="12.75">
      <c r="B61" s="23"/>
      <c r="D61" s="23"/>
      <c r="E61" s="23"/>
    </row>
    <row r="62" spans="2:5" ht="12.75">
      <c r="B62" s="23"/>
      <c r="D62" s="23"/>
      <c r="E62" s="23"/>
    </row>
    <row r="63" spans="2:5" ht="12.75">
      <c r="B63" s="23"/>
      <c r="D63" s="23"/>
      <c r="E63" s="23"/>
    </row>
    <row r="64" spans="2:5" ht="12.75">
      <c r="B64" s="23"/>
      <c r="D64" s="23"/>
      <c r="E64" s="23"/>
    </row>
    <row r="65" spans="2:5" ht="12.75">
      <c r="B65" s="23"/>
      <c r="D65" s="23"/>
      <c r="E65" s="23"/>
    </row>
    <row r="66" spans="2:5" ht="12.75">
      <c r="B66" s="23"/>
      <c r="D66" s="23"/>
      <c r="E66" s="23"/>
    </row>
    <row r="67" spans="2:5" ht="12.75">
      <c r="B67" s="23"/>
      <c r="D67" s="23"/>
      <c r="E67" s="23"/>
    </row>
    <row r="68" spans="2:5" ht="12.75">
      <c r="B68" s="23"/>
      <c r="D68" s="23"/>
      <c r="E68" s="23"/>
    </row>
    <row r="69" spans="2:5" ht="12.75">
      <c r="B69" s="23"/>
      <c r="D69" s="23"/>
      <c r="E69" s="23"/>
    </row>
    <row r="70" spans="2:5" ht="12.75">
      <c r="B70" s="23"/>
      <c r="D70" s="23"/>
      <c r="E70" s="23"/>
    </row>
    <row r="71" spans="2:5" ht="12.75">
      <c r="B71" s="23"/>
      <c r="D71" s="23"/>
      <c r="E71" s="23"/>
    </row>
    <row r="72" spans="2:5" ht="12.75">
      <c r="B72" s="23"/>
      <c r="D72" s="23"/>
      <c r="E72" s="23"/>
    </row>
    <row r="73" spans="2:5" ht="12.75">
      <c r="B73" s="23"/>
      <c r="D73" s="23"/>
      <c r="E73" s="23"/>
    </row>
    <row r="74" spans="2:5" ht="12.75">
      <c r="B74" s="23"/>
      <c r="D74" s="23"/>
      <c r="E74" s="23"/>
    </row>
    <row r="75" spans="2:5" ht="12.75">
      <c r="B75" s="23"/>
      <c r="D75" s="23"/>
      <c r="E75" s="23"/>
    </row>
    <row r="76" spans="2:5" ht="12.75">
      <c r="B76" s="23"/>
      <c r="D76" s="23"/>
      <c r="E76" s="23"/>
    </row>
    <row r="77" spans="2:5" ht="12.75">
      <c r="B77" s="23"/>
      <c r="D77" s="23"/>
      <c r="E77" s="23"/>
    </row>
    <row r="78" spans="2:5" ht="12.75">
      <c r="B78" s="23"/>
      <c r="D78" s="23"/>
      <c r="E78" s="23"/>
    </row>
    <row r="79" spans="2:5" ht="12.75">
      <c r="B79" s="23"/>
      <c r="D79" s="23"/>
      <c r="E79" s="23"/>
    </row>
    <row r="80" spans="2:5" ht="12.75">
      <c r="B80" s="23"/>
      <c r="D80" s="23"/>
      <c r="E80" s="23"/>
    </row>
    <row r="81" spans="2:5" ht="12.75">
      <c r="B81" s="23"/>
      <c r="D81" s="23"/>
      <c r="E81" s="23"/>
    </row>
    <row r="82" spans="2:5" ht="12.75">
      <c r="B82" s="23"/>
      <c r="D82" s="23"/>
      <c r="E82" s="23"/>
    </row>
    <row r="83" spans="2:5" ht="12.75">
      <c r="B83" s="23"/>
      <c r="D83" s="23"/>
      <c r="E83" s="23"/>
    </row>
    <row r="84" spans="2:5" ht="12.75">
      <c r="B84" s="23"/>
      <c r="D84" s="23"/>
      <c r="E84" s="23"/>
    </row>
    <row r="85" spans="2:5" ht="12.75">
      <c r="B85" s="23"/>
      <c r="D85" s="23"/>
      <c r="E85" s="23"/>
    </row>
    <row r="86" spans="2:5" ht="12.75">
      <c r="B86" s="23"/>
      <c r="D86" s="23"/>
      <c r="E86" s="23"/>
    </row>
    <row r="87" spans="2:5" ht="12.75">
      <c r="B87" s="23"/>
      <c r="D87" s="23"/>
      <c r="E87" s="23"/>
    </row>
    <row r="88" spans="2:5" ht="12.75">
      <c r="B88" s="23"/>
      <c r="D88" s="23"/>
      <c r="E88" s="23"/>
    </row>
    <row r="89" spans="2:5" ht="12.75">
      <c r="B89" s="23"/>
      <c r="D89" s="23"/>
      <c r="E89" s="23"/>
    </row>
    <row r="90" spans="2:5" ht="12.75">
      <c r="B90" s="23"/>
      <c r="D90" s="23"/>
      <c r="E90" s="23"/>
    </row>
    <row r="91" spans="2:5" ht="12.75">
      <c r="B91" s="23"/>
      <c r="D91" s="23"/>
      <c r="E91" s="23"/>
    </row>
    <row r="92" spans="2:5" ht="12.75">
      <c r="B92" s="23"/>
      <c r="D92" s="23"/>
      <c r="E92" s="23"/>
    </row>
    <row r="93" spans="2:5" ht="12.75">
      <c r="B93" s="23"/>
      <c r="D93" s="23"/>
      <c r="E93" s="23"/>
    </row>
    <row r="94" spans="2:5" ht="12.75">
      <c r="B94" s="23"/>
      <c r="D94" s="23"/>
      <c r="E94" s="23"/>
    </row>
    <row r="95" spans="2:5" ht="12.75">
      <c r="B95" s="23"/>
      <c r="D95" s="23"/>
      <c r="E95" s="23"/>
    </row>
    <row r="96" spans="2:5" ht="12.75">
      <c r="B96" s="23"/>
      <c r="D96" s="23"/>
      <c r="E96" s="23"/>
    </row>
    <row r="97" spans="2:5" ht="12.75">
      <c r="B97" s="23"/>
      <c r="D97" s="23"/>
      <c r="E97" s="23"/>
    </row>
    <row r="98" spans="2:5" ht="12.75">
      <c r="B98" s="23"/>
      <c r="D98" s="23"/>
      <c r="E98" s="23"/>
    </row>
    <row r="99" spans="2:5" ht="12.75">
      <c r="B99" s="23"/>
      <c r="D99" s="23"/>
      <c r="E99" s="23"/>
    </row>
    <row r="100" spans="2:5" ht="12.75">
      <c r="B100" s="23"/>
      <c r="D100" s="23"/>
      <c r="E100" s="23"/>
    </row>
    <row r="101" spans="2:5" ht="12.75">
      <c r="B101" s="23"/>
      <c r="D101" s="23"/>
      <c r="E101" s="23"/>
    </row>
    <row r="102" spans="2:5" ht="12.75">
      <c r="B102" s="23"/>
      <c r="D102" s="23"/>
      <c r="E102" s="23"/>
    </row>
    <row r="103" spans="2:5" ht="12.75">
      <c r="B103" s="23"/>
      <c r="D103" s="23"/>
      <c r="E103" s="23"/>
    </row>
    <row r="104" spans="2:5" ht="12.75">
      <c r="B104" s="23"/>
      <c r="D104" s="23"/>
      <c r="E104" s="23"/>
    </row>
    <row r="105" spans="2:5" ht="12.75">
      <c r="B105" s="23"/>
      <c r="D105" s="23"/>
      <c r="E105" s="23"/>
    </row>
    <row r="106" spans="2:5" ht="12.75">
      <c r="B106" s="23"/>
      <c r="D106" s="23"/>
      <c r="E106" s="23"/>
    </row>
    <row r="107" spans="2:5" ht="12.75">
      <c r="B107" s="23"/>
      <c r="D107" s="23"/>
      <c r="E107" s="23"/>
    </row>
    <row r="108" spans="2:5" ht="12.75">
      <c r="B108" s="23"/>
      <c r="D108" s="23"/>
      <c r="E108" s="23"/>
    </row>
    <row r="109" spans="2:5" ht="12.75">
      <c r="B109" s="23"/>
      <c r="D109" s="23"/>
      <c r="E109" s="23"/>
    </row>
    <row r="110" spans="2:5" ht="12.75">
      <c r="B110" s="23"/>
      <c r="D110" s="23"/>
      <c r="E110" s="23"/>
    </row>
    <row r="111" spans="2:5" ht="12.75">
      <c r="B111" s="23"/>
      <c r="D111" s="23"/>
      <c r="E111" s="23"/>
    </row>
    <row r="112" spans="2:5" ht="12.75">
      <c r="B112" s="23"/>
      <c r="D112" s="23"/>
      <c r="E112" s="23"/>
    </row>
    <row r="113" spans="2:5" ht="12.75">
      <c r="B113" s="23"/>
      <c r="D113" s="23"/>
      <c r="E113" s="23"/>
    </row>
    <row r="114" spans="2:5" ht="12.75">
      <c r="B114" s="23"/>
      <c r="D114" s="23"/>
      <c r="E114" s="23"/>
    </row>
    <row r="115" spans="2:5" ht="12.75">
      <c r="B115" s="23"/>
      <c r="D115" s="23"/>
      <c r="E115" s="23"/>
    </row>
    <row r="116" spans="2:5" ht="12.75">
      <c r="B116" s="23"/>
      <c r="D116" s="23"/>
      <c r="E116" s="23"/>
    </row>
    <row r="117" spans="2:5" ht="12.75">
      <c r="B117" s="23"/>
      <c r="D117" s="23"/>
      <c r="E117" s="23"/>
    </row>
    <row r="118" spans="2:5" ht="12.75">
      <c r="B118" s="23"/>
      <c r="D118" s="23"/>
      <c r="E118" s="23"/>
    </row>
    <row r="119" spans="2:5" ht="12.75">
      <c r="B119" s="23"/>
      <c r="D119" s="23"/>
      <c r="E119" s="23"/>
    </row>
    <row r="120" spans="2:5" ht="12.75">
      <c r="B120" s="23"/>
      <c r="D120" s="23"/>
      <c r="E120" s="23"/>
    </row>
    <row r="121" spans="2:5" ht="12.75">
      <c r="B121" s="23"/>
      <c r="D121" s="23"/>
      <c r="E121" s="23"/>
    </row>
    <row r="122" spans="2:5" ht="12.75">
      <c r="B122" s="23"/>
      <c r="D122" s="23"/>
      <c r="E122" s="23"/>
    </row>
    <row r="123" spans="2:5" ht="12.75">
      <c r="B123" s="23"/>
      <c r="D123" s="23"/>
      <c r="E123" s="23"/>
    </row>
    <row r="124" spans="2:5" ht="12.75">
      <c r="B124" s="23"/>
      <c r="D124" s="23"/>
      <c r="E124" s="23"/>
    </row>
    <row r="125" spans="2:5" ht="12.75">
      <c r="B125" s="23"/>
      <c r="D125" s="23"/>
      <c r="E125" s="23"/>
    </row>
    <row r="126" spans="2:5" ht="12.75">
      <c r="B126" s="23"/>
      <c r="D126" s="23"/>
      <c r="E126" s="23"/>
    </row>
    <row r="127" spans="2:5" ht="12.75">
      <c r="B127" s="23"/>
      <c r="D127" s="23"/>
      <c r="E127" s="23"/>
    </row>
    <row r="128" spans="2:5" ht="12.75">
      <c r="B128" s="23"/>
      <c r="D128" s="23"/>
      <c r="E128" s="23"/>
    </row>
    <row r="129" spans="2:5" ht="12.75">
      <c r="B129" s="23"/>
      <c r="D129" s="23"/>
      <c r="E129" s="23"/>
    </row>
    <row r="130" spans="2:5" ht="12.75">
      <c r="B130" s="23"/>
      <c r="D130" s="23"/>
      <c r="E130" s="23"/>
    </row>
    <row r="131" spans="2:5" ht="12.75">
      <c r="B131" s="23"/>
      <c r="D131" s="23"/>
      <c r="E131" s="23"/>
    </row>
    <row r="132" spans="2:5" ht="12.75">
      <c r="B132" s="23"/>
      <c r="D132" s="23"/>
      <c r="E132" s="23"/>
    </row>
    <row r="133" spans="2:5" ht="12.75">
      <c r="B133" s="23"/>
      <c r="D133" s="23"/>
      <c r="E133" s="23"/>
    </row>
    <row r="134" spans="2:5" ht="12.75">
      <c r="B134" s="23"/>
      <c r="D134" s="23"/>
      <c r="E134" s="23"/>
    </row>
    <row r="135" spans="2:5" ht="12.75">
      <c r="B135" s="23"/>
      <c r="D135" s="23"/>
      <c r="E135" s="23"/>
    </row>
    <row r="136" spans="2:5" ht="12.75">
      <c r="B136" s="23"/>
      <c r="D136" s="23"/>
      <c r="E136" s="23"/>
    </row>
    <row r="137" spans="2:5" ht="12.75">
      <c r="B137" s="23"/>
      <c r="D137" s="23"/>
      <c r="E137" s="23"/>
    </row>
    <row r="138" spans="2:5" ht="12.75">
      <c r="B138" s="23"/>
      <c r="D138" s="23"/>
      <c r="E138" s="23"/>
    </row>
    <row r="139" spans="2:5" ht="12.75">
      <c r="B139" s="23"/>
      <c r="D139" s="23"/>
      <c r="E139" s="23"/>
    </row>
    <row r="140" spans="2:5" ht="12.75">
      <c r="B140" s="23"/>
      <c r="D140" s="23"/>
      <c r="E140" s="23"/>
    </row>
    <row r="141" spans="2:5" ht="12.75">
      <c r="B141" s="23"/>
      <c r="D141" s="23"/>
      <c r="E141" s="23"/>
    </row>
    <row r="142" spans="2:5" ht="12.75">
      <c r="B142" s="23"/>
      <c r="D142" s="23"/>
      <c r="E142" s="23"/>
    </row>
    <row r="143" spans="2:5" ht="12.75">
      <c r="B143" s="23"/>
      <c r="D143" s="23"/>
      <c r="E143" s="23"/>
    </row>
    <row r="144" spans="2:5" ht="12.75">
      <c r="B144" s="23"/>
      <c r="D144" s="23"/>
      <c r="E144" s="23"/>
    </row>
    <row r="145" spans="2:5" ht="12.75">
      <c r="B145" s="23"/>
      <c r="D145" s="23"/>
      <c r="E145" s="23"/>
    </row>
    <row r="146" spans="2:5" ht="12.75">
      <c r="B146" s="23"/>
      <c r="D146" s="23"/>
      <c r="E146" s="23"/>
    </row>
    <row r="147" spans="2:5" ht="12.75">
      <c r="B147" s="23"/>
      <c r="D147" s="23"/>
      <c r="E147" s="23"/>
    </row>
    <row r="148" spans="2:5" ht="12.75">
      <c r="B148" s="23"/>
      <c r="D148" s="23"/>
      <c r="E148" s="23"/>
    </row>
    <row r="149" spans="2:5" ht="12.75">
      <c r="B149" s="23"/>
      <c r="D149" s="23"/>
      <c r="E149" s="23"/>
    </row>
    <row r="150" spans="2:5" ht="12.75">
      <c r="B150" s="23"/>
      <c r="D150" s="23"/>
      <c r="E150" s="23"/>
    </row>
    <row r="151" spans="2:5" ht="12.75">
      <c r="B151" s="23"/>
      <c r="D151" s="23"/>
      <c r="E151" s="23"/>
    </row>
    <row r="152" spans="2:5" ht="12.75">
      <c r="B152" s="23"/>
      <c r="D152" s="23"/>
      <c r="E152" s="23"/>
    </row>
    <row r="153" spans="2:5" ht="12.75">
      <c r="B153" s="23"/>
      <c r="D153" s="23"/>
      <c r="E153" s="23"/>
    </row>
    <row r="154" spans="2:5" ht="12.75">
      <c r="B154" s="23"/>
      <c r="D154" s="23"/>
      <c r="E154" s="23"/>
    </row>
    <row r="155" spans="2:5" ht="12.75">
      <c r="B155" s="23"/>
      <c r="D155" s="23"/>
      <c r="E155" s="23"/>
    </row>
    <row r="156" spans="2:5" ht="12.75">
      <c r="B156" s="23"/>
      <c r="D156" s="23"/>
      <c r="E156" s="23"/>
    </row>
    <row r="157" spans="2:5" ht="12.75">
      <c r="B157" s="23"/>
      <c r="D157" s="23"/>
      <c r="E157" s="23"/>
    </row>
    <row r="158" spans="2:5" ht="12.75">
      <c r="B158" s="23"/>
      <c r="D158" s="23"/>
      <c r="E158" s="23"/>
    </row>
    <row r="159" spans="2:5" ht="12.75">
      <c r="B159" s="23"/>
      <c r="D159" s="23"/>
      <c r="E159" s="23"/>
    </row>
    <row r="160" spans="2:5" ht="12.75">
      <c r="B160" s="23"/>
      <c r="D160" s="23"/>
      <c r="E160" s="23"/>
    </row>
    <row r="161" spans="2:5" ht="12.75">
      <c r="B161" s="23"/>
      <c r="D161" s="23"/>
      <c r="E161" s="23"/>
    </row>
    <row r="162" spans="2:5" ht="12.75">
      <c r="B162" s="23"/>
      <c r="D162" s="23"/>
      <c r="E162" s="23"/>
    </row>
    <row r="163" spans="2:5" ht="12.75">
      <c r="B163" s="23"/>
      <c r="D163" s="23"/>
      <c r="E163" s="23"/>
    </row>
    <row r="164" spans="2:5" ht="12.75">
      <c r="B164" s="23"/>
      <c r="D164" s="23"/>
      <c r="E164" s="23"/>
    </row>
    <row r="165" spans="2:5" ht="12.75">
      <c r="B165" s="23"/>
      <c r="D165" s="23"/>
      <c r="E165" s="23"/>
    </row>
    <row r="166" spans="2:5" ht="12.75">
      <c r="B166" s="23"/>
      <c r="D166" s="23"/>
      <c r="E166" s="23"/>
    </row>
    <row r="167" spans="2:5" ht="12.75">
      <c r="B167" s="23"/>
      <c r="D167" s="23"/>
      <c r="E167" s="23"/>
    </row>
    <row r="168" spans="2:5" ht="12.75">
      <c r="B168" s="23"/>
      <c r="D168" s="23"/>
      <c r="E168" s="23"/>
    </row>
    <row r="169" spans="2:5" ht="12.75">
      <c r="B169" s="23"/>
      <c r="D169" s="23"/>
      <c r="E169" s="23"/>
    </row>
    <row r="170" spans="2:5" ht="12.75">
      <c r="B170" s="23"/>
      <c r="D170" s="23"/>
      <c r="E170" s="23"/>
    </row>
    <row r="171" spans="2:5" ht="12.75">
      <c r="B171" s="23"/>
      <c r="D171" s="23"/>
      <c r="E171" s="23"/>
    </row>
    <row r="172" spans="2:5" ht="12.75">
      <c r="B172" s="23"/>
      <c r="D172" s="23"/>
      <c r="E172" s="23"/>
    </row>
    <row r="173" spans="2:5" ht="12.75">
      <c r="B173" s="23"/>
      <c r="D173" s="23"/>
      <c r="E173" s="23"/>
    </row>
    <row r="174" spans="2:5" ht="12.75">
      <c r="B174" s="23"/>
      <c r="D174" s="23"/>
      <c r="E174" s="23"/>
    </row>
    <row r="175" spans="2:5" ht="12.75">
      <c r="B175" s="23"/>
      <c r="D175" s="23"/>
      <c r="E175" s="23"/>
    </row>
    <row r="176" spans="2:5" ht="12.75">
      <c r="B176" s="23"/>
      <c r="D176" s="23"/>
      <c r="E176" s="23"/>
    </row>
    <row r="177" spans="2:5" ht="12.75">
      <c r="B177" s="23"/>
      <c r="D177" s="23"/>
      <c r="E177" s="23"/>
    </row>
    <row r="178" spans="2:5" ht="12.75">
      <c r="B178" s="23"/>
      <c r="D178" s="23"/>
      <c r="E178" s="23"/>
    </row>
    <row r="179" spans="2:5" ht="12.75">
      <c r="B179" s="23"/>
      <c r="D179" s="23"/>
      <c r="E179" s="23"/>
    </row>
    <row r="180" spans="2:5" ht="12.75">
      <c r="B180" s="23"/>
      <c r="D180" s="23"/>
      <c r="E180" s="23"/>
    </row>
    <row r="181" spans="2:5" ht="12.75">
      <c r="B181" s="23"/>
      <c r="D181" s="23"/>
      <c r="E181" s="23"/>
    </row>
    <row r="182" spans="2:5" ht="12.75">
      <c r="B182" s="23"/>
      <c r="D182" s="23"/>
      <c r="E182" s="23"/>
    </row>
    <row r="183" spans="2:5" ht="12.75">
      <c r="B183" s="23"/>
      <c r="D183" s="23"/>
      <c r="E183" s="23"/>
    </row>
    <row r="184" spans="2:5" ht="12.75">
      <c r="B184" s="23"/>
      <c r="D184" s="23"/>
      <c r="E184" s="23"/>
    </row>
    <row r="185" spans="2:5" ht="12.75">
      <c r="B185" s="23"/>
      <c r="D185" s="23"/>
      <c r="E185" s="23"/>
    </row>
    <row r="186" spans="2:5" ht="12.75">
      <c r="B186" s="23"/>
      <c r="D186" s="23"/>
      <c r="E186" s="23"/>
    </row>
    <row r="187" spans="2:5" ht="12.75">
      <c r="B187" s="23"/>
      <c r="D187" s="23"/>
      <c r="E187" s="23"/>
    </row>
    <row r="188" spans="2:5" ht="12.75">
      <c r="B188" s="23"/>
      <c r="D188" s="23"/>
      <c r="E188" s="23"/>
    </row>
    <row r="189" spans="2:5" ht="12.75">
      <c r="B189" s="23"/>
      <c r="D189" s="23"/>
      <c r="E189" s="23"/>
    </row>
    <row r="190" spans="2:5" ht="12.75">
      <c r="B190" s="23"/>
      <c r="D190" s="23"/>
      <c r="E190" s="23"/>
    </row>
    <row r="191" spans="2:5" ht="12.75">
      <c r="B191" s="23"/>
      <c r="D191" s="23"/>
      <c r="E191" s="23"/>
    </row>
    <row r="192" spans="2:5" ht="12.75">
      <c r="B192" s="23"/>
      <c r="D192" s="23"/>
      <c r="E192" s="23"/>
    </row>
    <row r="193" spans="2:5" ht="12.75">
      <c r="B193" s="23"/>
      <c r="D193" s="23"/>
      <c r="E193" s="23"/>
    </row>
    <row r="194" spans="2:5" ht="12.75">
      <c r="B194" s="23"/>
      <c r="D194" s="23"/>
      <c r="E194" s="23"/>
    </row>
    <row r="195" spans="2:5" ht="12.75">
      <c r="B195" s="23"/>
      <c r="D195" s="23"/>
      <c r="E195" s="23"/>
    </row>
    <row r="196" spans="2:5" ht="12.75">
      <c r="B196" s="23"/>
      <c r="D196" s="23"/>
      <c r="E196" s="23"/>
    </row>
    <row r="197" spans="2:5" ht="12.75">
      <c r="B197" s="23"/>
      <c r="D197" s="23"/>
      <c r="E197" s="23"/>
    </row>
    <row r="198" spans="2:5" ht="12.75">
      <c r="B198" s="23"/>
      <c r="D198" s="23"/>
      <c r="E198" s="23"/>
    </row>
    <row r="199" spans="2:5" ht="12.75">
      <c r="B199" s="23"/>
      <c r="D199" s="23"/>
      <c r="E199" s="23"/>
    </row>
    <row r="200" spans="2:5" ht="12.75">
      <c r="B200" s="23"/>
      <c r="D200" s="23"/>
      <c r="E200" s="23"/>
    </row>
    <row r="201" spans="2:5" ht="12.75">
      <c r="B201" s="23"/>
      <c r="D201" s="23"/>
      <c r="E201" s="23"/>
    </row>
    <row r="202" spans="2:5" ht="12.75">
      <c r="B202" s="23"/>
      <c r="D202" s="23"/>
      <c r="E202" s="23"/>
    </row>
    <row r="203" spans="2:5" ht="12.75">
      <c r="B203" s="23"/>
      <c r="D203" s="23"/>
      <c r="E203" s="23"/>
    </row>
    <row r="204" spans="2:5" ht="12.75">
      <c r="B204" s="23"/>
      <c r="D204" s="23"/>
      <c r="E204" s="23"/>
    </row>
    <row r="205" spans="2:5" ht="12.75">
      <c r="B205" s="23"/>
      <c r="D205" s="23"/>
      <c r="E205" s="23"/>
    </row>
    <row r="206" spans="2:5" ht="12.75">
      <c r="B206" s="23"/>
      <c r="D206" s="23"/>
      <c r="E206" s="23"/>
    </row>
    <row r="207" spans="2:5" ht="12.75">
      <c r="B207" s="23"/>
      <c r="D207" s="23"/>
      <c r="E207" s="23"/>
    </row>
    <row r="208" spans="2:5" ht="12.75">
      <c r="B208" s="23"/>
      <c r="D208" s="23"/>
      <c r="E208" s="23"/>
    </row>
    <row r="209" spans="2:5" ht="12.75">
      <c r="B209" s="23"/>
      <c r="D209" s="23"/>
      <c r="E209" s="23"/>
    </row>
    <row r="210" spans="2:5" ht="12.75">
      <c r="B210" s="23"/>
      <c r="D210" s="23"/>
      <c r="E210" s="23"/>
    </row>
    <row r="211" spans="2:5" ht="12.75">
      <c r="B211" s="23"/>
      <c r="D211" s="23"/>
      <c r="E211" s="23"/>
    </row>
    <row r="212" spans="2:5" ht="12.75">
      <c r="B212" s="23"/>
      <c r="D212" s="23"/>
      <c r="E212" s="23"/>
    </row>
    <row r="213" spans="2:5" ht="12.75">
      <c r="B213" s="23"/>
      <c r="D213" s="23"/>
      <c r="E213" s="23"/>
    </row>
    <row r="214" spans="2:5" ht="12.75">
      <c r="B214" s="23"/>
      <c r="D214" s="23"/>
      <c r="E214" s="23"/>
    </row>
    <row r="215" spans="2:5" ht="12.75">
      <c r="B215" s="23"/>
      <c r="D215" s="23"/>
      <c r="E215" s="23"/>
    </row>
    <row r="216" spans="2:5" ht="12.75">
      <c r="B216" s="23"/>
      <c r="D216" s="23"/>
      <c r="E216" s="23"/>
    </row>
    <row r="217" spans="2:5" ht="12.75">
      <c r="B217" s="23"/>
      <c r="D217" s="23"/>
      <c r="E217" s="23"/>
    </row>
    <row r="218" spans="2:5" ht="12.75">
      <c r="B218" s="23"/>
      <c r="D218" s="23"/>
      <c r="E218" s="23"/>
    </row>
    <row r="219" spans="2:5" ht="12.75">
      <c r="B219" s="23"/>
      <c r="D219" s="23"/>
      <c r="E219" s="23"/>
    </row>
    <row r="220" spans="2:5" ht="12.75">
      <c r="B220" s="23"/>
      <c r="D220" s="23"/>
      <c r="E220" s="23"/>
    </row>
    <row r="221" spans="2:5" ht="12.75">
      <c r="B221" s="23"/>
      <c r="D221" s="23"/>
      <c r="E221" s="23"/>
    </row>
    <row r="222" spans="2:5" ht="12.75">
      <c r="B222" s="23"/>
      <c r="D222" s="23"/>
      <c r="E222" s="23"/>
    </row>
    <row r="223" spans="2:5" ht="12.75">
      <c r="B223" s="23"/>
      <c r="D223" s="23"/>
      <c r="E223" s="23"/>
    </row>
    <row r="224" spans="2:5" ht="12.75">
      <c r="B224" s="23"/>
      <c r="D224" s="23"/>
      <c r="E224" s="23"/>
    </row>
    <row r="225" spans="2:5" ht="12.75">
      <c r="B225" s="23"/>
      <c r="D225" s="23"/>
      <c r="E225" s="23"/>
    </row>
    <row r="226" spans="2:5" ht="12.75">
      <c r="B226" s="23"/>
      <c r="D226" s="23"/>
      <c r="E226" s="23"/>
    </row>
    <row r="227" spans="2:5" ht="12.75">
      <c r="B227" s="23"/>
      <c r="D227" s="23"/>
      <c r="E227" s="23"/>
    </row>
    <row r="228" spans="2:5" ht="12.75">
      <c r="B228" s="23"/>
      <c r="D228" s="23"/>
      <c r="E228" s="23"/>
    </row>
    <row r="229" spans="2:5" ht="12.75">
      <c r="B229" s="23"/>
      <c r="D229" s="23"/>
      <c r="E229" s="23"/>
    </row>
    <row r="230" spans="2:5" ht="12.75">
      <c r="B230" s="23"/>
      <c r="D230" s="23"/>
      <c r="E230" s="23"/>
    </row>
    <row r="231" spans="2:5" ht="12.75">
      <c r="B231" s="23"/>
      <c r="D231" s="23"/>
      <c r="E231" s="23"/>
    </row>
    <row r="232" spans="2:5" ht="12.75">
      <c r="B232" s="23"/>
      <c r="D232" s="23"/>
      <c r="E232" s="23"/>
    </row>
    <row r="233" spans="2:5" ht="12.75">
      <c r="B233" s="23"/>
      <c r="D233" s="23"/>
      <c r="E233" s="23"/>
    </row>
    <row r="234" spans="2:5" ht="12.75">
      <c r="B234" s="23"/>
      <c r="D234" s="23"/>
      <c r="E234" s="23"/>
    </row>
    <row r="235" spans="2:5" ht="12.75">
      <c r="B235" s="23"/>
      <c r="D235" s="23"/>
      <c r="E235" s="23"/>
    </row>
    <row r="236" spans="2:5" ht="12.75">
      <c r="B236" s="23"/>
      <c r="D236" s="23"/>
      <c r="E236" s="23"/>
    </row>
    <row r="237" spans="2:5" ht="12.75">
      <c r="B237" s="23"/>
      <c r="D237" s="23"/>
      <c r="E237" s="23"/>
    </row>
    <row r="238" spans="2:5" ht="12.75">
      <c r="B238" s="23"/>
      <c r="D238" s="23"/>
      <c r="E238" s="23"/>
    </row>
    <row r="239" spans="2:5" ht="12.75">
      <c r="B239" s="23"/>
      <c r="D239" s="23"/>
      <c r="E239" s="23"/>
    </row>
    <row r="240" spans="2:5" ht="12.75">
      <c r="B240" s="23"/>
      <c r="D240" s="23"/>
      <c r="E240" s="23"/>
    </row>
    <row r="241" spans="2:5" ht="12.75">
      <c r="B241" s="23"/>
      <c r="D241" s="23"/>
      <c r="E241" s="23"/>
    </row>
    <row r="242" spans="2:5" ht="12.75">
      <c r="B242" s="23"/>
      <c r="D242" s="23"/>
      <c r="E242" s="23"/>
    </row>
    <row r="243" spans="2:5" ht="12.75">
      <c r="B243" s="23"/>
      <c r="D243" s="23"/>
      <c r="E243" s="23"/>
    </row>
    <row r="244" spans="2:5" ht="12.75">
      <c r="B244" s="23"/>
      <c r="D244" s="23"/>
      <c r="E244" s="23"/>
    </row>
    <row r="245" spans="2:5" ht="12.75">
      <c r="B245" s="23"/>
      <c r="D245" s="23"/>
      <c r="E245" s="23"/>
    </row>
    <row r="246" spans="2:5" ht="12.75">
      <c r="B246" s="23"/>
      <c r="D246" s="23"/>
      <c r="E246" s="23"/>
    </row>
    <row r="247" spans="2:5" ht="12.75">
      <c r="B247" s="23"/>
      <c r="D247" s="23"/>
      <c r="E247" s="23"/>
    </row>
    <row r="248" spans="2:5" ht="12.75">
      <c r="B248" s="23"/>
      <c r="D248" s="23"/>
      <c r="E248" s="23"/>
    </row>
    <row r="249" spans="2:5" ht="12.75">
      <c r="B249" s="23"/>
      <c r="D249" s="23"/>
      <c r="E249" s="23"/>
    </row>
    <row r="250" spans="2:5" ht="12.75">
      <c r="B250" s="23"/>
      <c r="D250" s="23"/>
      <c r="E250" s="23"/>
    </row>
    <row r="251" spans="2:5" ht="12.75">
      <c r="B251" s="23"/>
      <c r="D251" s="23"/>
      <c r="E251" s="23"/>
    </row>
    <row r="252" spans="2:5" ht="12.75">
      <c r="B252" s="23"/>
      <c r="D252" s="23"/>
      <c r="E252" s="23"/>
    </row>
    <row r="253" spans="2:5" ht="12.75">
      <c r="B253" s="23"/>
      <c r="D253" s="23"/>
      <c r="E253" s="23"/>
    </row>
    <row r="254" spans="2:5" ht="12.75">
      <c r="B254" s="23"/>
      <c r="D254" s="23"/>
      <c r="E254" s="23"/>
    </row>
    <row r="255" spans="2:5" ht="12.75">
      <c r="B255" s="23"/>
      <c r="D255" s="23"/>
      <c r="E255" s="23"/>
    </row>
    <row r="256" spans="2:5" ht="12.75">
      <c r="B256" s="23"/>
      <c r="D256" s="23"/>
      <c r="E256" s="23"/>
    </row>
    <row r="257" spans="2:5" ht="12.75">
      <c r="B257" s="23"/>
      <c r="D257" s="23"/>
      <c r="E257" s="23"/>
    </row>
    <row r="258" spans="2:5" ht="12.75">
      <c r="B258" s="23"/>
      <c r="D258" s="23"/>
      <c r="E258" s="23"/>
    </row>
    <row r="259" spans="2:5" ht="12.75">
      <c r="B259" s="23"/>
      <c r="D259" s="23"/>
      <c r="E259" s="23"/>
    </row>
    <row r="260" spans="2:5" ht="12.75">
      <c r="B260" s="23"/>
      <c r="D260" s="23"/>
      <c r="E260" s="23"/>
    </row>
    <row r="261" spans="2:5" ht="12.75">
      <c r="B261" s="23"/>
      <c r="D261" s="23"/>
      <c r="E261" s="23"/>
    </row>
    <row r="262" spans="2:5" ht="12.75">
      <c r="B262" s="23"/>
      <c r="D262" s="23"/>
      <c r="E262" s="23"/>
    </row>
    <row r="263" spans="2:5" ht="12.75">
      <c r="B263" s="23"/>
      <c r="D263" s="23"/>
      <c r="E263" s="23"/>
    </row>
    <row r="264" spans="2:5" ht="12.75">
      <c r="B264" s="23"/>
      <c r="D264" s="23"/>
      <c r="E264" s="23"/>
    </row>
    <row r="265" spans="2:5" ht="12.75">
      <c r="B265" s="23"/>
      <c r="D265" s="23"/>
      <c r="E265" s="23"/>
    </row>
    <row r="266" spans="2:5" ht="12.75">
      <c r="B266" s="23"/>
      <c r="D266" s="23"/>
      <c r="E266" s="23"/>
    </row>
    <row r="267" spans="2:5" ht="12.75">
      <c r="B267" s="23"/>
      <c r="D267" s="23"/>
      <c r="E267" s="23"/>
    </row>
    <row r="268" spans="2:5" ht="12.75">
      <c r="B268" s="23"/>
      <c r="D268" s="23"/>
      <c r="E268" s="23"/>
    </row>
    <row r="269" spans="2:5" ht="12.75">
      <c r="B269" s="23"/>
      <c r="D269" s="23"/>
      <c r="E269" s="23"/>
    </row>
    <row r="270" spans="2:5" ht="12.75">
      <c r="B270" s="23"/>
      <c r="D270" s="23"/>
      <c r="E270" s="23"/>
    </row>
    <row r="271" spans="2:5" ht="12.75">
      <c r="B271" s="23"/>
      <c r="D271" s="23"/>
      <c r="E271" s="23"/>
    </row>
    <row r="272" spans="2:5" ht="12.75">
      <c r="B272" s="23"/>
      <c r="D272" s="23"/>
      <c r="E272" s="23"/>
    </row>
    <row r="273" spans="2:5" ht="12.75">
      <c r="B273" s="23"/>
      <c r="D273" s="23"/>
      <c r="E273" s="23"/>
    </row>
    <row r="274" spans="2:5" ht="12.75">
      <c r="B274" s="23"/>
      <c r="D274" s="23"/>
      <c r="E274" s="23"/>
    </row>
    <row r="275" spans="2:5" ht="12.75">
      <c r="B275" s="23"/>
      <c r="D275" s="23"/>
      <c r="E275" s="23"/>
    </row>
    <row r="276" spans="2:5" ht="12.75">
      <c r="B276" s="23"/>
      <c r="D276" s="23"/>
      <c r="E276" s="23"/>
    </row>
    <row r="277" spans="2:5" ht="12.75">
      <c r="B277" s="23"/>
      <c r="D277" s="23"/>
      <c r="E277" s="23"/>
    </row>
    <row r="278" spans="2:5" ht="12.75">
      <c r="B278" s="23"/>
      <c r="D278" s="23"/>
      <c r="E278" s="23"/>
    </row>
    <row r="279" spans="2:5" ht="12.75">
      <c r="B279" s="23"/>
      <c r="D279" s="23"/>
      <c r="E279" s="23"/>
    </row>
    <row r="280" spans="2:5" ht="12.75">
      <c r="B280" s="23"/>
      <c r="D280" s="23"/>
      <c r="E280" s="23"/>
    </row>
    <row r="281" spans="2:5" ht="12.75">
      <c r="B281" s="23"/>
      <c r="D281" s="23"/>
      <c r="E281" s="23"/>
    </row>
    <row r="282" spans="2:5" ht="12.75">
      <c r="B282" s="23"/>
      <c r="D282" s="23"/>
      <c r="E282" s="23"/>
    </row>
    <row r="283" spans="2:5" ht="12.75">
      <c r="B283" s="23"/>
      <c r="D283" s="23"/>
      <c r="E283" s="23"/>
    </row>
    <row r="284" spans="2:5" ht="12.75">
      <c r="B284" s="23"/>
      <c r="D284" s="23"/>
      <c r="E284" s="23"/>
    </row>
    <row r="285" spans="2:5" ht="12.75">
      <c r="B285" s="23"/>
      <c r="D285" s="23"/>
      <c r="E285" s="23"/>
    </row>
    <row r="286" spans="2:5" ht="12.75">
      <c r="B286" s="23"/>
      <c r="D286" s="23"/>
      <c r="E286" s="23"/>
    </row>
    <row r="287" spans="2:5" ht="12.75">
      <c r="B287" s="23"/>
      <c r="D287" s="23"/>
      <c r="E287" s="23"/>
    </row>
    <row r="288" spans="2:5" ht="12.75">
      <c r="B288" s="23"/>
      <c r="D288" s="23"/>
      <c r="E288" s="23"/>
    </row>
    <row r="289" spans="2:5" ht="12.75">
      <c r="B289" s="23"/>
      <c r="D289" s="23"/>
      <c r="E289" s="23"/>
    </row>
    <row r="290" spans="2:5" ht="12.75">
      <c r="B290" s="23"/>
      <c r="D290" s="23"/>
      <c r="E290" s="23"/>
    </row>
    <row r="291" spans="2:5" ht="12.75">
      <c r="B291" s="23"/>
      <c r="D291" s="23"/>
      <c r="E291" s="23"/>
    </row>
    <row r="292" spans="2:5" ht="12.75">
      <c r="B292" s="23"/>
      <c r="D292" s="23"/>
      <c r="E292" s="23"/>
    </row>
    <row r="293" spans="2:5" ht="12.75">
      <c r="B293" s="23"/>
      <c r="D293" s="23"/>
      <c r="E293" s="23"/>
    </row>
    <row r="294" spans="2:5" ht="12.75">
      <c r="B294" s="23"/>
      <c r="D294" s="23"/>
      <c r="E294" s="23"/>
    </row>
    <row r="295" spans="2:5" ht="12.75">
      <c r="B295" s="23"/>
      <c r="D295" s="23"/>
      <c r="E295" s="23"/>
    </row>
    <row r="296" spans="2:5" ht="12.75">
      <c r="B296" s="23"/>
      <c r="D296" s="23"/>
      <c r="E296" s="23"/>
    </row>
    <row r="297" spans="2:5" ht="12.75">
      <c r="B297" s="23"/>
      <c r="D297" s="23"/>
      <c r="E297" s="23"/>
    </row>
    <row r="298" spans="2:5" ht="12.75">
      <c r="B298" s="23"/>
      <c r="D298" s="23"/>
      <c r="E298" s="23"/>
    </row>
    <row r="299" spans="2:5" ht="12.75">
      <c r="B299" s="23"/>
      <c r="D299" s="23"/>
      <c r="E299" s="23"/>
    </row>
    <row r="300" spans="2:5" ht="12.75">
      <c r="B300" s="23"/>
      <c r="D300" s="23"/>
      <c r="E300" s="23"/>
    </row>
    <row r="301" spans="2:5" ht="12.75">
      <c r="B301" s="23"/>
      <c r="D301" s="23"/>
      <c r="E301" s="23"/>
    </row>
    <row r="302" spans="2:5" ht="12.75">
      <c r="B302" s="23"/>
      <c r="D302" s="23"/>
      <c r="E302" s="23"/>
    </row>
    <row r="303" spans="2:5" ht="12.75">
      <c r="B303" s="23"/>
      <c r="D303" s="23"/>
      <c r="E303" s="23"/>
    </row>
    <row r="304" spans="2:5" ht="12.75">
      <c r="B304" s="23"/>
      <c r="D304" s="23"/>
      <c r="E304" s="23"/>
    </row>
    <row r="305" spans="2:5" ht="12.75">
      <c r="B305" s="23"/>
      <c r="D305" s="23"/>
      <c r="E305" s="23"/>
    </row>
    <row r="306" spans="2:5" ht="12.75">
      <c r="B306" s="23"/>
      <c r="D306" s="23"/>
      <c r="E306" s="23"/>
    </row>
    <row r="307" spans="2:5" ht="12.75">
      <c r="B307" s="23"/>
      <c r="D307" s="23"/>
      <c r="E307" s="23"/>
    </row>
    <row r="308" spans="2:5" ht="12.75">
      <c r="B308" s="23"/>
      <c r="D308" s="23"/>
      <c r="E308" s="23"/>
    </row>
    <row r="309" spans="2:5" ht="12.75">
      <c r="B309" s="23"/>
      <c r="D309" s="23"/>
      <c r="E309" s="23"/>
    </row>
    <row r="310" spans="2:5" ht="12.75">
      <c r="B310" s="23"/>
      <c r="D310" s="23"/>
      <c r="E310" s="23"/>
    </row>
    <row r="311" spans="2:5" ht="12.75">
      <c r="B311" s="23"/>
      <c r="D311" s="23"/>
      <c r="E311" s="23"/>
    </row>
    <row r="312" spans="2:5" ht="12.75">
      <c r="B312" s="23"/>
      <c r="D312" s="23"/>
      <c r="E312" s="23"/>
    </row>
    <row r="313" spans="2:5" ht="12.75">
      <c r="B313" s="23"/>
      <c r="D313" s="23"/>
      <c r="E313" s="23"/>
    </row>
    <row r="314" spans="2:5" ht="12.75">
      <c r="B314" s="23"/>
      <c r="D314" s="23"/>
      <c r="E314" s="23"/>
    </row>
    <row r="315" spans="2:5" ht="12.75">
      <c r="B315" s="23"/>
      <c r="D315" s="23"/>
      <c r="E315" s="23"/>
    </row>
    <row r="316" spans="2:5" ht="12.75">
      <c r="B316" s="23"/>
      <c r="D316" s="23"/>
      <c r="E316" s="23"/>
    </row>
    <row r="317" spans="2:5" ht="12.75">
      <c r="B317" s="23"/>
      <c r="D317" s="23"/>
      <c r="E317" s="23"/>
    </row>
    <row r="318" spans="2:5" ht="12.75">
      <c r="B318" s="23"/>
      <c r="D318" s="23"/>
      <c r="E318" s="23"/>
    </row>
    <row r="319" spans="2:5" ht="12.75">
      <c r="B319" s="23"/>
      <c r="D319" s="23"/>
      <c r="E319" s="23"/>
    </row>
    <row r="320" spans="2:5" ht="12.75">
      <c r="B320" s="23"/>
      <c r="D320" s="23"/>
      <c r="E320" s="23"/>
    </row>
    <row r="321" spans="2:5" ht="12.75">
      <c r="B321" s="23"/>
      <c r="D321" s="23"/>
      <c r="E321" s="23"/>
    </row>
    <row r="322" spans="2:5" ht="12.75">
      <c r="B322" s="23"/>
      <c r="D322" s="23"/>
      <c r="E322" s="23"/>
    </row>
    <row r="323" spans="2:5" ht="12.75">
      <c r="B323" s="23"/>
      <c r="D323" s="23"/>
      <c r="E323" s="23"/>
    </row>
    <row r="324" spans="2:5" ht="12.75">
      <c r="B324" s="23"/>
      <c r="D324" s="23"/>
      <c r="E324" s="23"/>
    </row>
    <row r="325" spans="2:5" ht="12.75">
      <c r="B325" s="23"/>
      <c r="D325" s="23"/>
      <c r="E325" s="23"/>
    </row>
    <row r="326" spans="2:5" ht="12.75">
      <c r="B326" s="23"/>
      <c r="D326" s="23"/>
      <c r="E326" s="23"/>
    </row>
    <row r="327" spans="2:5" ht="12.75">
      <c r="B327" s="23"/>
      <c r="D327" s="23"/>
      <c r="E327" s="23"/>
    </row>
    <row r="328" spans="2:5" ht="12.75">
      <c r="B328" s="23"/>
      <c r="D328" s="23"/>
      <c r="E328" s="23"/>
    </row>
    <row r="329" spans="2:5" ht="12.75">
      <c r="B329" s="23"/>
      <c r="D329" s="23"/>
      <c r="E329" s="23"/>
    </row>
    <row r="330" spans="2:5" ht="12.75">
      <c r="B330" s="23"/>
      <c r="D330" s="23"/>
      <c r="E330" s="23"/>
    </row>
    <row r="331" spans="2:5" ht="12.75">
      <c r="B331" s="23"/>
      <c r="D331" s="23"/>
      <c r="E331" s="23"/>
    </row>
    <row r="332" spans="2:5" ht="12.75">
      <c r="B332" s="23"/>
      <c r="D332" s="23"/>
      <c r="E332" s="23"/>
    </row>
    <row r="333" spans="2:5" ht="12.75">
      <c r="B333" s="23"/>
      <c r="D333" s="23"/>
      <c r="E333" s="23"/>
    </row>
    <row r="334" spans="2:5" ht="12.75">
      <c r="B334" s="23"/>
      <c r="D334" s="23"/>
      <c r="E334" s="23"/>
    </row>
    <row r="335" spans="2:5" ht="12.75">
      <c r="B335" s="23"/>
      <c r="D335" s="23"/>
      <c r="E335" s="23"/>
    </row>
    <row r="336" spans="2:5" ht="12.75">
      <c r="B336" s="23"/>
      <c r="D336" s="23"/>
      <c r="E336" s="23"/>
    </row>
    <row r="337" spans="2:5" ht="12.75">
      <c r="B337" s="23"/>
      <c r="D337" s="23"/>
      <c r="E337" s="23"/>
    </row>
    <row r="338" spans="2:5" ht="12.75">
      <c r="B338" s="23"/>
      <c r="D338" s="23"/>
      <c r="E338" s="23"/>
    </row>
    <row r="339" spans="2:5" ht="12.75">
      <c r="B339" s="23"/>
      <c r="D339" s="23"/>
      <c r="E339" s="23"/>
    </row>
    <row r="340" spans="2:5" ht="12.75">
      <c r="B340" s="23"/>
      <c r="D340" s="23"/>
      <c r="E340" s="23"/>
    </row>
    <row r="341" spans="2:5" ht="12.75">
      <c r="B341" s="23"/>
      <c r="D341" s="23"/>
      <c r="E341" s="23"/>
    </row>
    <row r="342" spans="2:5" ht="12.75">
      <c r="B342" s="23"/>
      <c r="D342" s="23"/>
      <c r="E342" s="23"/>
    </row>
    <row r="343" spans="2:5" ht="12.75">
      <c r="B343" s="23"/>
      <c r="D343" s="23"/>
      <c r="E343" s="23"/>
    </row>
    <row r="344" spans="2:5" ht="12.75">
      <c r="B344" s="23"/>
      <c r="D344" s="23"/>
      <c r="E344" s="23"/>
    </row>
    <row r="345" spans="2:5" ht="12.75">
      <c r="B345" s="23"/>
      <c r="D345" s="23"/>
      <c r="E345" s="23"/>
    </row>
    <row r="346" spans="2:5" ht="12.75">
      <c r="B346" s="23"/>
      <c r="D346" s="23"/>
      <c r="E346" s="23"/>
    </row>
    <row r="347" spans="2:5" ht="12.75">
      <c r="B347" s="23"/>
      <c r="D347" s="23"/>
      <c r="E347" s="23"/>
    </row>
    <row r="348" spans="2:5" ht="12.75">
      <c r="B348" s="23"/>
      <c r="D348" s="23"/>
      <c r="E348" s="23"/>
    </row>
    <row r="349" spans="2:5" ht="12.75">
      <c r="B349" s="23"/>
      <c r="D349" s="23"/>
      <c r="E349" s="23"/>
    </row>
    <row r="350" spans="2:5" ht="12.75">
      <c r="B350" s="23"/>
      <c r="D350" s="23"/>
      <c r="E350" s="23"/>
    </row>
    <row r="351" spans="2:5" ht="12.75">
      <c r="B351" s="23"/>
      <c r="D351" s="23"/>
      <c r="E351" s="23"/>
    </row>
    <row r="352" spans="2:5" ht="12.75">
      <c r="B352" s="23"/>
      <c r="D352" s="23"/>
      <c r="E352" s="23"/>
    </row>
    <row r="353" spans="2:5" ht="12.75">
      <c r="B353" s="23"/>
      <c r="D353" s="23"/>
      <c r="E353" s="23"/>
    </row>
    <row r="354" spans="2:5" ht="12.75">
      <c r="B354" s="23"/>
      <c r="D354" s="23"/>
      <c r="E354" s="23"/>
    </row>
    <row r="355" spans="2:5" ht="12.75">
      <c r="B355" s="23"/>
      <c r="D355" s="23"/>
      <c r="E355" s="23"/>
    </row>
    <row r="356" spans="2:5" ht="12.75">
      <c r="B356" s="23"/>
      <c r="D356" s="23"/>
      <c r="E356" s="23"/>
    </row>
    <row r="357" spans="2:5" ht="12.75">
      <c r="B357" s="23"/>
      <c r="D357" s="23"/>
      <c r="E357" s="23"/>
    </row>
    <row r="358" spans="2:5" ht="12.75">
      <c r="B358" s="23"/>
      <c r="D358" s="23"/>
      <c r="E358" s="23"/>
    </row>
    <row r="359" spans="2:5" ht="12.75">
      <c r="B359" s="23"/>
      <c r="D359" s="23"/>
      <c r="E359" s="23"/>
    </row>
    <row r="360" spans="2:5" ht="12.75">
      <c r="B360" s="23"/>
      <c r="D360" s="23"/>
      <c r="E360" s="23"/>
    </row>
    <row r="361" spans="2:5" ht="12.75">
      <c r="B361" s="23"/>
      <c r="D361" s="23"/>
      <c r="E361" s="23"/>
    </row>
    <row r="362" spans="2:5" ht="12.75">
      <c r="B362" s="23"/>
      <c r="D362" s="23"/>
      <c r="E362" s="23"/>
    </row>
    <row r="363" spans="2:5" ht="12.75">
      <c r="B363" s="23"/>
      <c r="D363" s="23"/>
      <c r="E363" s="23"/>
    </row>
    <row r="364" spans="2:5" ht="12.75">
      <c r="B364" s="23"/>
      <c r="D364" s="23"/>
      <c r="E364" s="23"/>
    </row>
    <row r="365" spans="2:5" ht="12.75">
      <c r="B365" s="23"/>
      <c r="D365" s="23"/>
      <c r="E365" s="23"/>
    </row>
    <row r="366" spans="2:5" ht="12.75">
      <c r="B366" s="23"/>
      <c r="D366" s="23"/>
      <c r="E366" s="23"/>
    </row>
    <row r="367" spans="2:5" ht="12.75">
      <c r="B367" s="23"/>
      <c r="D367" s="23"/>
      <c r="E367" s="23"/>
    </row>
    <row r="368" spans="2:5" ht="12.75">
      <c r="B368" s="23"/>
      <c r="D368" s="23"/>
      <c r="E368" s="23"/>
    </row>
    <row r="369" spans="2:5" ht="12.75">
      <c r="B369" s="23"/>
      <c r="D369" s="23"/>
      <c r="E369" s="23"/>
    </row>
    <row r="370" spans="2:5" ht="12.75">
      <c r="B370" s="23"/>
      <c r="D370" s="23"/>
      <c r="E370" s="23"/>
    </row>
    <row r="371" spans="2:5" ht="12.75">
      <c r="B371" s="23"/>
      <c r="D371" s="23"/>
      <c r="E371" s="23"/>
    </row>
    <row r="372" spans="2:5" ht="12.75">
      <c r="B372" s="23"/>
      <c r="D372" s="23"/>
      <c r="E372" s="23"/>
    </row>
    <row r="373" spans="2:5" ht="12.75">
      <c r="B373" s="23"/>
      <c r="D373" s="23"/>
      <c r="E373" s="23"/>
    </row>
    <row r="374" spans="2:5" ht="12.75">
      <c r="B374" s="23"/>
      <c r="D374" s="23"/>
      <c r="E374" s="23"/>
    </row>
    <row r="375" spans="2:5" ht="12.75">
      <c r="B375" s="23"/>
      <c r="D375" s="23"/>
      <c r="E375" s="23"/>
    </row>
    <row r="376" spans="2:5" ht="12.75">
      <c r="B376" s="23"/>
      <c r="D376" s="23"/>
      <c r="E376" s="23"/>
    </row>
    <row r="377" spans="2:5" ht="12.75">
      <c r="B377" s="23"/>
      <c r="D377" s="23"/>
      <c r="E377" s="23"/>
    </row>
    <row r="378" spans="2:5" ht="12.75">
      <c r="B378" s="23"/>
      <c r="D378" s="23"/>
      <c r="E378" s="23"/>
    </row>
    <row r="379" spans="2:5" ht="12.75">
      <c r="B379" s="23"/>
      <c r="D379" s="23"/>
      <c r="E379" s="23"/>
    </row>
    <row r="380" spans="2:5" ht="12.75">
      <c r="B380" s="23"/>
      <c r="D380" s="23"/>
      <c r="E380" s="23"/>
    </row>
    <row r="381" spans="2:5" ht="12.75">
      <c r="B381" s="23"/>
      <c r="D381" s="23"/>
      <c r="E381" s="23"/>
    </row>
    <row r="382" spans="2:5" ht="12.75">
      <c r="B382" s="23"/>
      <c r="D382" s="23"/>
      <c r="E382" s="23"/>
    </row>
    <row r="383" spans="2:5" ht="12.75">
      <c r="B383" s="23"/>
      <c r="D383" s="23"/>
      <c r="E383" s="23"/>
    </row>
    <row r="384" spans="2:5" ht="12.75">
      <c r="B384" s="23"/>
      <c r="D384" s="23"/>
      <c r="E384" s="23"/>
    </row>
    <row r="385" spans="2:5" ht="12.75">
      <c r="B385" s="23"/>
      <c r="D385" s="23"/>
      <c r="E385" s="23"/>
    </row>
    <row r="386" spans="2:5" ht="12.75">
      <c r="B386" s="23"/>
      <c r="D386" s="23"/>
      <c r="E386" s="23"/>
    </row>
    <row r="387" spans="2:5" ht="12.75">
      <c r="B387" s="23"/>
      <c r="D387" s="23"/>
      <c r="E387" s="23"/>
    </row>
    <row r="388" spans="2:5" ht="12.75">
      <c r="B388" s="23"/>
      <c r="D388" s="23"/>
      <c r="E388" s="23"/>
    </row>
    <row r="389" spans="2:5" ht="12.75">
      <c r="B389" s="23"/>
      <c r="D389" s="23"/>
      <c r="E389" s="23"/>
    </row>
    <row r="390" spans="2:5" ht="12.75">
      <c r="B390" s="23"/>
      <c r="D390" s="23"/>
      <c r="E390" s="23"/>
    </row>
    <row r="391" spans="2:5" ht="12.75">
      <c r="B391" s="23"/>
      <c r="D391" s="23"/>
      <c r="E391" s="23"/>
    </row>
    <row r="392" spans="2:5" ht="12.75">
      <c r="B392" s="23"/>
      <c r="D392" s="23"/>
      <c r="E392" s="23"/>
    </row>
    <row r="393" spans="2:5" ht="12.75">
      <c r="B393" s="23"/>
      <c r="D393" s="23"/>
      <c r="E393" s="23"/>
    </row>
    <row r="394" spans="2:5" ht="12.75">
      <c r="B394" s="23"/>
      <c r="D394" s="23"/>
      <c r="E394" s="23"/>
    </row>
    <row r="395" spans="2:5" ht="12.75">
      <c r="B395" s="23"/>
      <c r="D395" s="23"/>
      <c r="E395" s="23"/>
    </row>
    <row r="396" spans="2:5" ht="12.75">
      <c r="B396" s="23"/>
      <c r="D396" s="23"/>
      <c r="E396" s="23"/>
    </row>
    <row r="397" spans="2:5" ht="12.75">
      <c r="B397" s="23"/>
      <c r="D397" s="23"/>
      <c r="E397" s="23"/>
    </row>
    <row r="398" spans="2:5" ht="12.75">
      <c r="B398" s="23"/>
      <c r="D398" s="23"/>
      <c r="E398" s="23"/>
    </row>
    <row r="399" spans="2:5" ht="12.75">
      <c r="B399" s="23"/>
      <c r="D399" s="23"/>
      <c r="E399" s="23"/>
    </row>
    <row r="400" spans="2:5" ht="12.75">
      <c r="B400" s="23"/>
      <c r="D400" s="23"/>
      <c r="E400" s="23"/>
    </row>
    <row r="401" spans="2:5" ht="12.75">
      <c r="B401" s="23"/>
      <c r="D401" s="23"/>
      <c r="E401" s="23"/>
    </row>
    <row r="402" spans="2:5" ht="12.75">
      <c r="B402" s="23"/>
      <c r="D402" s="23"/>
      <c r="E402" s="23"/>
    </row>
    <row r="403" spans="2:5" ht="12.75">
      <c r="B403" s="23"/>
      <c r="D403" s="23"/>
      <c r="E403" s="23"/>
    </row>
    <row r="404" spans="2:5" ht="12.75">
      <c r="B404" s="23"/>
      <c r="D404" s="23"/>
      <c r="E404" s="23"/>
    </row>
    <row r="405" spans="2:5" ht="12.75">
      <c r="B405" s="23"/>
      <c r="D405" s="23"/>
      <c r="E405" s="23"/>
    </row>
    <row r="406" spans="2:5" ht="12.75">
      <c r="B406" s="23"/>
      <c r="D406" s="23"/>
      <c r="E406" s="23"/>
    </row>
    <row r="407" spans="2:5" ht="12.75">
      <c r="B407" s="23"/>
      <c r="D407" s="23"/>
      <c r="E407" s="23"/>
    </row>
    <row r="408" spans="2:5" ht="12.75">
      <c r="B408" s="23"/>
      <c r="D408" s="23"/>
      <c r="E408" s="23"/>
    </row>
    <row r="409" spans="2:5" ht="12.75">
      <c r="B409" s="23"/>
      <c r="D409" s="23"/>
      <c r="E409" s="23"/>
    </row>
    <row r="410" spans="2:5" ht="12.75">
      <c r="B410" s="23"/>
      <c r="D410" s="23"/>
      <c r="E410" s="23"/>
    </row>
    <row r="411" spans="2:5" ht="12.75">
      <c r="B411" s="23"/>
      <c r="D411" s="23"/>
      <c r="E411" s="23"/>
    </row>
    <row r="412" spans="2:5" ht="12.75">
      <c r="B412" s="23"/>
      <c r="D412" s="23"/>
      <c r="E412" s="23"/>
    </row>
    <row r="413" spans="2:5" ht="12.75">
      <c r="B413" s="23"/>
      <c r="D413" s="23"/>
      <c r="E413" s="23"/>
    </row>
    <row r="414" spans="2:5" ht="12.75">
      <c r="B414" s="23"/>
      <c r="D414" s="23"/>
      <c r="E414" s="23"/>
    </row>
    <row r="415" spans="2:5" ht="12.75">
      <c r="B415" s="23"/>
      <c r="D415" s="23"/>
      <c r="E415" s="23"/>
    </row>
    <row r="416" spans="2:5" ht="12.75">
      <c r="B416" s="23"/>
      <c r="D416" s="23"/>
      <c r="E416" s="23"/>
    </row>
    <row r="417" spans="2:5" ht="12.75">
      <c r="B417" s="23"/>
      <c r="D417" s="23"/>
      <c r="E417" s="23"/>
    </row>
    <row r="418" spans="2:5" ht="12.75">
      <c r="B418" s="23"/>
      <c r="D418" s="23"/>
      <c r="E418" s="23"/>
    </row>
    <row r="419" spans="2:5" ht="12.75">
      <c r="B419" s="23"/>
      <c r="D419" s="23"/>
      <c r="E419" s="23"/>
    </row>
    <row r="420" spans="2:5" ht="12.75">
      <c r="B420" s="23"/>
      <c r="D420" s="23"/>
      <c r="E420" s="23"/>
    </row>
    <row r="421" spans="2:5" ht="12.75">
      <c r="B421" s="23"/>
      <c r="D421" s="23"/>
      <c r="E421" s="23"/>
    </row>
    <row r="422" spans="2:5" ht="12.75">
      <c r="B422" s="23"/>
      <c r="D422" s="23"/>
      <c r="E422" s="23"/>
    </row>
    <row r="423" spans="2:5" ht="12.75">
      <c r="B423" s="23"/>
      <c r="D423" s="23"/>
      <c r="E423" s="23"/>
    </row>
    <row r="424" spans="2:5" ht="12.75">
      <c r="B424" s="23"/>
      <c r="D424" s="23"/>
      <c r="E424" s="23"/>
    </row>
    <row r="425" spans="2:5" ht="12.75">
      <c r="B425" s="23"/>
      <c r="D425" s="23"/>
      <c r="E425" s="23"/>
    </row>
    <row r="426" spans="2:5" ht="12.75">
      <c r="B426" s="23"/>
      <c r="D426" s="23"/>
      <c r="E426" s="23"/>
    </row>
    <row r="427" spans="2:5" ht="12.75">
      <c r="B427" s="23"/>
      <c r="D427" s="23"/>
      <c r="E427" s="23"/>
    </row>
    <row r="428" spans="2:5" ht="12.75">
      <c r="B428" s="23"/>
      <c r="D428" s="23"/>
      <c r="E428" s="23"/>
    </row>
    <row r="429" spans="2:5" ht="12.75">
      <c r="B429" s="23"/>
      <c r="D429" s="23"/>
      <c r="E429" s="23"/>
    </row>
    <row r="430" spans="2:5" ht="12.75">
      <c r="B430" s="23"/>
      <c r="D430" s="23"/>
      <c r="E430" s="23"/>
    </row>
    <row r="431" spans="2:5" ht="12.75">
      <c r="B431" s="23"/>
      <c r="D431" s="23"/>
      <c r="E431" s="23"/>
    </row>
    <row r="432" spans="2:5" ht="12.75">
      <c r="B432" s="23"/>
      <c r="D432" s="23"/>
      <c r="E432" s="23"/>
    </row>
    <row r="433" spans="2:5" ht="12.75">
      <c r="B433" s="23"/>
      <c r="D433" s="23"/>
      <c r="E433" s="23"/>
    </row>
    <row r="434" spans="2:5" ht="12.75">
      <c r="B434" s="23"/>
      <c r="D434" s="23"/>
      <c r="E434" s="23"/>
    </row>
    <row r="435" spans="2:5" ht="12.75">
      <c r="B435" s="23"/>
      <c r="D435" s="23"/>
      <c r="E435" s="23"/>
    </row>
    <row r="436" spans="2:5" ht="12.75">
      <c r="B436" s="23"/>
      <c r="D436" s="23"/>
      <c r="E436" s="23"/>
    </row>
    <row r="437" spans="2:5" ht="12.75">
      <c r="B437" s="23"/>
      <c r="D437" s="23"/>
      <c r="E437" s="23"/>
    </row>
    <row r="438" spans="2:5" ht="12.75">
      <c r="B438" s="23"/>
      <c r="D438" s="23"/>
      <c r="E438" s="23"/>
    </row>
    <row r="439" spans="2:5" ht="12.75">
      <c r="B439" s="23"/>
      <c r="D439" s="23"/>
      <c r="E439" s="23"/>
    </row>
    <row r="440" spans="2:5" ht="12.75">
      <c r="B440" s="23"/>
      <c r="D440" s="23"/>
      <c r="E440" s="23"/>
    </row>
    <row r="441" spans="2:5" ht="12.75">
      <c r="B441" s="23"/>
      <c r="D441" s="23"/>
      <c r="E441" s="23"/>
    </row>
    <row r="442" spans="2:5" ht="12.75">
      <c r="B442" s="23"/>
      <c r="D442" s="23"/>
      <c r="E442" s="23"/>
    </row>
    <row r="443" spans="2:5" ht="12.75">
      <c r="B443" s="23"/>
      <c r="D443" s="23"/>
      <c r="E443" s="23"/>
    </row>
    <row r="444" spans="2:5" ht="12.75">
      <c r="B444" s="23"/>
      <c r="D444" s="23"/>
      <c r="E444" s="23"/>
    </row>
    <row r="445" spans="2:5" ht="12.75">
      <c r="B445" s="23"/>
      <c r="D445" s="23"/>
      <c r="E445" s="23"/>
    </row>
    <row r="446" spans="2:5" ht="12.75">
      <c r="B446" s="23"/>
      <c r="D446" s="23"/>
      <c r="E446" s="23"/>
    </row>
    <row r="447" spans="2:5" ht="12.75">
      <c r="B447" s="23"/>
      <c r="D447" s="23"/>
      <c r="E447" s="23"/>
    </row>
    <row r="448" spans="2:5" ht="12.75">
      <c r="B448" s="23"/>
      <c r="D448" s="23"/>
      <c r="E448" s="23"/>
    </row>
    <row r="449" spans="2:5" ht="12.75">
      <c r="B449" s="23"/>
      <c r="D449" s="23"/>
      <c r="E449" s="23"/>
    </row>
    <row r="450" spans="2:5" ht="12.75">
      <c r="B450" s="23"/>
      <c r="D450" s="23"/>
      <c r="E450" s="23"/>
    </row>
    <row r="451" spans="2:5" ht="12.75">
      <c r="B451" s="23"/>
      <c r="D451" s="23"/>
      <c r="E451" s="23"/>
    </row>
    <row r="452" spans="2:5" ht="12.75">
      <c r="B452" s="23"/>
      <c r="D452" s="23"/>
      <c r="E452" s="23"/>
    </row>
    <row r="453" spans="2:5" ht="12.75">
      <c r="B453" s="23"/>
      <c r="D453" s="23"/>
      <c r="E453" s="23"/>
    </row>
    <row r="454" spans="2:5" ht="12.75">
      <c r="B454" s="23"/>
      <c r="D454" s="23"/>
      <c r="E454" s="23"/>
    </row>
    <row r="455" spans="2:5" ht="12.75">
      <c r="B455" s="23"/>
      <c r="D455" s="23"/>
      <c r="E455" s="23"/>
    </row>
    <row r="456" spans="2:5" ht="12.75">
      <c r="B456" s="23"/>
      <c r="D456" s="23"/>
      <c r="E456" s="23"/>
    </row>
    <row r="457" spans="2:5" ht="12.75">
      <c r="B457" s="23"/>
      <c r="D457" s="23"/>
      <c r="E457" s="23"/>
    </row>
    <row r="458" spans="2:5" ht="12.75">
      <c r="B458" s="23"/>
      <c r="D458" s="23"/>
      <c r="E458" s="23"/>
    </row>
    <row r="459" spans="2:5" ht="12.75">
      <c r="B459" s="23"/>
      <c r="D459" s="23"/>
      <c r="E459" s="23"/>
    </row>
    <row r="460" spans="2:5" ht="12.75">
      <c r="B460" s="23"/>
      <c r="D460" s="23"/>
      <c r="E460" s="23"/>
    </row>
    <row r="461" spans="2:5" ht="12.75">
      <c r="B461" s="23"/>
      <c r="D461" s="23"/>
      <c r="E461" s="23"/>
    </row>
    <row r="462" spans="2:5" ht="12.75">
      <c r="B462" s="23"/>
      <c r="D462" s="23"/>
      <c r="E462" s="23"/>
    </row>
    <row r="463" spans="2:5" ht="12.75">
      <c r="B463" s="23"/>
      <c r="D463" s="23"/>
      <c r="E463" s="23"/>
    </row>
    <row r="464" spans="2:5" ht="12.75">
      <c r="B464" s="23"/>
      <c r="D464" s="23"/>
      <c r="E464" s="23"/>
    </row>
    <row r="465" spans="2:5" ht="12.75">
      <c r="B465" s="23"/>
      <c r="D465" s="23"/>
      <c r="E465" s="23"/>
    </row>
    <row r="466" spans="2:5" ht="12.75">
      <c r="B466" s="23"/>
      <c r="D466" s="23"/>
      <c r="E466" s="23"/>
    </row>
    <row r="467" spans="2:5" ht="12.75">
      <c r="B467" s="23"/>
      <c r="D467" s="23"/>
      <c r="E467" s="23"/>
    </row>
    <row r="468" spans="2:5" ht="12.75">
      <c r="B468" s="23"/>
      <c r="D468" s="23"/>
      <c r="E468" s="23"/>
    </row>
    <row r="469" spans="2:5" ht="12.75">
      <c r="B469" s="23"/>
      <c r="D469" s="23"/>
      <c r="E469" s="23"/>
    </row>
    <row r="470" spans="2:5" ht="12.75">
      <c r="B470" s="23"/>
      <c r="D470" s="23"/>
      <c r="E470" s="23"/>
    </row>
    <row r="471" spans="2:5" ht="12.75">
      <c r="B471" s="23"/>
      <c r="D471" s="23"/>
      <c r="E471" s="23"/>
    </row>
    <row r="472" spans="2:5" ht="12.75">
      <c r="B472" s="23"/>
      <c r="D472" s="23"/>
      <c r="E472" s="23"/>
    </row>
    <row r="473" spans="2:5" ht="12.75">
      <c r="B473" s="23"/>
      <c r="D473" s="23"/>
      <c r="E473" s="23"/>
    </row>
    <row r="474" spans="2:5" ht="12.75">
      <c r="B474" s="23"/>
      <c r="D474" s="23"/>
      <c r="E474" s="23"/>
    </row>
    <row r="475" spans="2:5" ht="12.75">
      <c r="B475" s="23"/>
      <c r="D475" s="23"/>
      <c r="E475" s="23"/>
    </row>
    <row r="476" spans="2:5" ht="12.75">
      <c r="B476" s="23"/>
      <c r="D476" s="23"/>
      <c r="E476" s="23"/>
    </row>
    <row r="477" spans="2:5" ht="12.75">
      <c r="B477" s="23"/>
      <c r="D477" s="23"/>
      <c r="E477" s="23"/>
    </row>
    <row r="478" spans="2:5" ht="12.75">
      <c r="B478" s="23"/>
      <c r="D478" s="23"/>
      <c r="E478" s="23"/>
    </row>
    <row r="479" spans="2:5" ht="12.75">
      <c r="B479" s="23"/>
      <c r="D479" s="23"/>
      <c r="E479" s="23"/>
    </row>
    <row r="480" spans="2:5" ht="12.75">
      <c r="B480" s="23"/>
      <c r="D480" s="23"/>
      <c r="E480" s="23"/>
    </row>
    <row r="481" spans="2:5" ht="12.75">
      <c r="B481" s="23"/>
      <c r="D481" s="23"/>
      <c r="E481" s="23"/>
    </row>
    <row r="482" spans="2:5" ht="12.75">
      <c r="B482" s="23"/>
      <c r="D482" s="23"/>
      <c r="E482" s="23"/>
    </row>
    <row r="483" spans="2:5" ht="12.75">
      <c r="B483" s="23"/>
      <c r="D483" s="23"/>
      <c r="E483" s="23"/>
    </row>
    <row r="484" spans="2:5" ht="12.75">
      <c r="B484" s="23"/>
      <c r="D484" s="23"/>
      <c r="E484" s="23"/>
    </row>
    <row r="485" spans="2:5" ht="12.75">
      <c r="B485" s="23"/>
      <c r="D485" s="23"/>
      <c r="E485" s="23"/>
    </row>
    <row r="486" spans="2:5" ht="12.75">
      <c r="B486" s="23"/>
      <c r="D486" s="23"/>
      <c r="E486" s="23"/>
    </row>
    <row r="487" spans="2:5" ht="12.75">
      <c r="B487" s="23"/>
      <c r="D487" s="23"/>
      <c r="E487" s="23"/>
    </row>
    <row r="488" spans="2:5" ht="12.75">
      <c r="B488" s="23"/>
      <c r="D488" s="23"/>
      <c r="E488" s="23"/>
    </row>
    <row r="489" spans="2:5" ht="12.75">
      <c r="B489" s="23"/>
      <c r="D489" s="23"/>
      <c r="E489" s="23"/>
    </row>
    <row r="490" spans="2:5" ht="12.75">
      <c r="B490" s="23"/>
      <c r="D490" s="23"/>
      <c r="E490" s="23"/>
    </row>
    <row r="491" spans="2:5" ht="12.75">
      <c r="B491" s="23"/>
      <c r="D491" s="23"/>
      <c r="E491" s="23"/>
    </row>
    <row r="492" spans="2:5" ht="12.75">
      <c r="B492" s="23"/>
      <c r="D492" s="23"/>
      <c r="E492" s="23"/>
    </row>
    <row r="493" spans="2:5" ht="12.75">
      <c r="B493" s="23"/>
      <c r="D493" s="23"/>
      <c r="E493" s="23"/>
    </row>
    <row r="494" spans="2:5" ht="12.75">
      <c r="B494" s="23"/>
      <c r="D494" s="23"/>
      <c r="E494" s="23"/>
    </row>
    <row r="495" spans="2:5" ht="12.75">
      <c r="B495" s="23"/>
      <c r="D495" s="23"/>
      <c r="E495" s="23"/>
    </row>
    <row r="496" spans="2:5" ht="12.75">
      <c r="B496" s="23"/>
      <c r="D496" s="23"/>
      <c r="E496" s="23"/>
    </row>
    <row r="497" spans="2:5" ht="12.75">
      <c r="B497" s="23"/>
      <c r="D497" s="23"/>
      <c r="E497" s="23"/>
    </row>
    <row r="498" spans="2:5" ht="12.75">
      <c r="B498" s="23"/>
      <c r="D498" s="23"/>
      <c r="E498" s="23"/>
    </row>
    <row r="499" spans="2:5" ht="12.75">
      <c r="B499" s="23"/>
      <c r="D499" s="23"/>
      <c r="E499" s="23"/>
    </row>
    <row r="500" spans="2:5" ht="12.75">
      <c r="B500" s="23"/>
      <c r="D500" s="23"/>
      <c r="E500" s="23"/>
    </row>
    <row r="501" spans="2:5" ht="12.75">
      <c r="B501" s="23"/>
      <c r="D501" s="23"/>
      <c r="E501" s="23"/>
    </row>
    <row r="502" spans="2:5" ht="12.75">
      <c r="B502" s="23"/>
      <c r="D502" s="23"/>
      <c r="E502" s="23"/>
    </row>
    <row r="503" spans="2:5" ht="12.75">
      <c r="B503" s="23"/>
      <c r="D503" s="23"/>
      <c r="E503" s="23"/>
    </row>
    <row r="504" spans="2:5" ht="12.75">
      <c r="B504" s="23"/>
      <c r="D504" s="23"/>
      <c r="E504" s="23"/>
    </row>
    <row r="505" spans="2:5" ht="12.75">
      <c r="B505" s="23"/>
      <c r="D505" s="23"/>
      <c r="E505" s="23"/>
    </row>
    <row r="506" spans="2:5" ht="12.75">
      <c r="B506" s="23"/>
      <c r="D506" s="23"/>
      <c r="E506" s="23"/>
    </row>
    <row r="507" spans="2:5" ht="12.75">
      <c r="B507" s="23"/>
      <c r="D507" s="23"/>
      <c r="E507" s="23"/>
    </row>
    <row r="508" spans="2:5" ht="12.75">
      <c r="B508" s="23"/>
      <c r="D508" s="23"/>
      <c r="E508" s="23"/>
    </row>
    <row r="509" spans="2:5" ht="12.75">
      <c r="B509" s="23"/>
      <c r="D509" s="23"/>
      <c r="E509" s="23"/>
    </row>
    <row r="510" spans="2:5" ht="12.75">
      <c r="B510" s="23"/>
      <c r="D510" s="23"/>
      <c r="E510" s="23"/>
    </row>
    <row r="511" spans="2:5" ht="12.75">
      <c r="B511" s="23"/>
      <c r="D511" s="23"/>
      <c r="E511" s="23"/>
    </row>
    <row r="512" spans="2:5" ht="12.75">
      <c r="B512" s="23"/>
      <c r="D512" s="23"/>
      <c r="E512" s="23"/>
    </row>
    <row r="513" spans="2:5" ht="12.75">
      <c r="B513" s="23"/>
      <c r="D513" s="23"/>
      <c r="E513" s="23"/>
    </row>
    <row r="514" spans="2:5" ht="12.75">
      <c r="B514" s="23"/>
      <c r="D514" s="23"/>
      <c r="E514" s="23"/>
    </row>
    <row r="515" spans="2:5" ht="12.75">
      <c r="B515" s="23"/>
      <c r="D515" s="23"/>
      <c r="E515" s="23"/>
    </row>
    <row r="516" spans="2:5" ht="12.75">
      <c r="B516" s="23"/>
      <c r="D516" s="23"/>
      <c r="E516" s="23"/>
    </row>
    <row r="517" spans="2:5" ht="12.75">
      <c r="B517" s="23"/>
      <c r="D517" s="23"/>
      <c r="E517" s="23"/>
    </row>
    <row r="518" spans="2:5" ht="12.75">
      <c r="B518" s="23"/>
      <c r="D518" s="23"/>
      <c r="E518" s="23"/>
    </row>
    <row r="519" spans="2:5" ht="12.75">
      <c r="B519" s="23"/>
      <c r="D519" s="23"/>
      <c r="E519" s="23"/>
    </row>
    <row r="520" spans="2:5" ht="12.75">
      <c r="B520" s="23"/>
      <c r="D520" s="23"/>
      <c r="E520" s="23"/>
    </row>
    <row r="521" spans="2:5" ht="12.75">
      <c r="B521" s="23"/>
      <c r="D521" s="23"/>
      <c r="E521" s="23"/>
    </row>
    <row r="522" spans="2:5" ht="12.75">
      <c r="B522" s="23"/>
      <c r="D522" s="23"/>
      <c r="E522" s="23"/>
    </row>
    <row r="523" spans="2:5" ht="12.75">
      <c r="B523" s="23"/>
      <c r="D523" s="23"/>
      <c r="E523" s="23"/>
    </row>
    <row r="524" spans="2:5" ht="12.75">
      <c r="B524" s="23"/>
      <c r="D524" s="23"/>
      <c r="E524" s="23"/>
    </row>
    <row r="525" spans="2:5" ht="12.75">
      <c r="B525" s="23"/>
      <c r="D525" s="23"/>
      <c r="E525" s="23"/>
    </row>
    <row r="526" spans="2:5" ht="12.75">
      <c r="B526" s="23"/>
      <c r="D526" s="23"/>
      <c r="E526" s="23"/>
    </row>
    <row r="527" spans="2:5" ht="12.75">
      <c r="B527" s="23"/>
      <c r="D527" s="23"/>
      <c r="E527" s="23"/>
    </row>
    <row r="528" spans="2:5" ht="12.75">
      <c r="B528" s="23"/>
      <c r="D528" s="23"/>
      <c r="E528" s="23"/>
    </row>
    <row r="529" spans="2:5" ht="12.75">
      <c r="B529" s="23"/>
      <c r="D529" s="23"/>
      <c r="E529" s="23"/>
    </row>
    <row r="530" spans="2:5" ht="12.75">
      <c r="B530" s="23"/>
      <c r="D530" s="23"/>
      <c r="E530" s="23"/>
    </row>
    <row r="531" spans="2:5" ht="12.75">
      <c r="B531" s="23"/>
      <c r="D531" s="23"/>
      <c r="E531" s="23"/>
    </row>
    <row r="532" spans="2:5" ht="12.75">
      <c r="B532" s="23"/>
      <c r="D532" s="23"/>
      <c r="E532" s="23"/>
    </row>
    <row r="533" spans="2:5" ht="12.75">
      <c r="B533" s="23"/>
      <c r="D533" s="23"/>
      <c r="E533" s="23"/>
    </row>
    <row r="534" spans="2:5" ht="12.75">
      <c r="B534" s="23"/>
      <c r="D534" s="23"/>
      <c r="E534" s="23"/>
    </row>
    <row r="535" spans="2:5" ht="12.75">
      <c r="B535" s="23"/>
      <c r="D535" s="23"/>
      <c r="E535" s="23"/>
    </row>
    <row r="536" spans="2:5" ht="12.75">
      <c r="B536" s="23"/>
      <c r="D536" s="23"/>
      <c r="E536" s="23"/>
    </row>
    <row r="537" spans="2:5" ht="12.75">
      <c r="B537" s="23"/>
      <c r="D537" s="23"/>
      <c r="E537" s="23"/>
    </row>
    <row r="538" spans="2:5" ht="12.75">
      <c r="B538" s="23"/>
      <c r="D538" s="23"/>
      <c r="E538" s="23"/>
    </row>
    <row r="539" spans="2:5" ht="12.75">
      <c r="B539" s="23"/>
      <c r="D539" s="23"/>
      <c r="E539" s="23"/>
    </row>
    <row r="540" spans="2:5" ht="12.75">
      <c r="B540" s="23"/>
      <c r="D540" s="23"/>
      <c r="E540" s="23"/>
    </row>
    <row r="541" spans="2:5" ht="12.75">
      <c r="B541" s="23"/>
      <c r="D541" s="23"/>
      <c r="E541" s="23"/>
    </row>
    <row r="542" spans="2:5" ht="12.75">
      <c r="B542" s="23"/>
      <c r="D542" s="23"/>
      <c r="E542" s="23"/>
    </row>
    <row r="543" spans="2:5" ht="12.75">
      <c r="B543" s="23"/>
      <c r="D543" s="23"/>
      <c r="E543" s="23"/>
    </row>
    <row r="544" spans="2:5" ht="12.75">
      <c r="B544" s="23"/>
      <c r="D544" s="23"/>
      <c r="E544" s="23"/>
    </row>
    <row r="545" spans="2:5" ht="12.75">
      <c r="B545" s="23"/>
      <c r="D545" s="23"/>
      <c r="E545" s="23"/>
    </row>
    <row r="546" spans="2:5" ht="12.75">
      <c r="B546" s="23"/>
      <c r="D546" s="23"/>
      <c r="E546" s="23"/>
    </row>
    <row r="547" spans="2:5" ht="12.75">
      <c r="B547" s="23"/>
      <c r="D547" s="23"/>
      <c r="E547" s="23"/>
    </row>
    <row r="548" spans="2:5" ht="12.75">
      <c r="B548" s="23"/>
      <c r="D548" s="23"/>
      <c r="E548" s="23"/>
    </row>
    <row r="549" spans="2:5" ht="12.75">
      <c r="B549" s="23"/>
      <c r="D549" s="23"/>
      <c r="E549" s="23"/>
    </row>
    <row r="550" spans="2:5" ht="12.75">
      <c r="B550" s="23"/>
      <c r="D550" s="23"/>
      <c r="E550" s="23"/>
    </row>
    <row r="551" spans="2:5" ht="12.75">
      <c r="B551" s="23"/>
      <c r="D551" s="23"/>
      <c r="E551" s="23"/>
    </row>
    <row r="552" spans="2:5" ht="12.75">
      <c r="B552" s="23"/>
      <c r="D552" s="23"/>
      <c r="E552" s="23"/>
    </row>
    <row r="553" spans="2:5" ht="12.75">
      <c r="B553" s="23"/>
      <c r="D553" s="23"/>
      <c r="E553" s="23"/>
    </row>
    <row r="554" spans="2:5" ht="12.75">
      <c r="B554" s="23"/>
      <c r="D554" s="23"/>
      <c r="E554" s="23"/>
    </row>
    <row r="555" spans="2:5" ht="12.75">
      <c r="B555" s="23"/>
      <c r="D555" s="23"/>
      <c r="E555" s="23"/>
    </row>
    <row r="556" spans="2:5" ht="12.75">
      <c r="B556" s="23"/>
      <c r="D556" s="23"/>
      <c r="E556" s="23"/>
    </row>
    <row r="557" spans="2:5" ht="12.75">
      <c r="B557" s="23"/>
      <c r="D557" s="23"/>
      <c r="E557" s="23"/>
    </row>
    <row r="558" spans="2:5" ht="12.75">
      <c r="B558" s="23"/>
      <c r="D558" s="23"/>
      <c r="E558" s="23"/>
    </row>
    <row r="559" spans="2:5" ht="12.75">
      <c r="B559" s="23"/>
      <c r="D559" s="23"/>
      <c r="E559" s="23"/>
    </row>
    <row r="560" spans="2:5" ht="12.75">
      <c r="B560" s="23"/>
      <c r="D560" s="23"/>
      <c r="E560" s="23"/>
    </row>
    <row r="561" spans="2:5" ht="12.75">
      <c r="B561" s="23"/>
      <c r="D561" s="23"/>
      <c r="E561" s="23"/>
    </row>
    <row r="562" spans="2:5" ht="12.75">
      <c r="B562" s="23"/>
      <c r="D562" s="23"/>
      <c r="E562" s="23"/>
    </row>
    <row r="563" spans="2:5" ht="12.75">
      <c r="B563" s="23"/>
      <c r="D563" s="23"/>
      <c r="E563" s="23"/>
    </row>
    <row r="564" spans="2:5" ht="12.75">
      <c r="B564" s="23"/>
      <c r="D564" s="23"/>
      <c r="E564" s="23"/>
    </row>
    <row r="565" spans="2:5" ht="12.75">
      <c r="B565" s="23"/>
      <c r="D565" s="23"/>
      <c r="E565" s="23"/>
    </row>
    <row r="566" spans="2:5" ht="12.75">
      <c r="B566" s="23"/>
      <c r="D566" s="23"/>
      <c r="E566" s="23"/>
    </row>
    <row r="567" spans="2:5" ht="12.75">
      <c r="B567" s="23"/>
      <c r="D567" s="23"/>
      <c r="E567" s="23"/>
    </row>
    <row r="568" spans="2:5" ht="12.75">
      <c r="B568" s="23"/>
      <c r="D568" s="23"/>
      <c r="E568" s="23"/>
    </row>
    <row r="569" spans="2:5" ht="12.75">
      <c r="B569" s="23"/>
      <c r="D569" s="23"/>
      <c r="E569" s="23"/>
    </row>
    <row r="570" spans="2:5" ht="12.75">
      <c r="B570" s="23"/>
      <c r="D570" s="23"/>
      <c r="E570" s="23"/>
    </row>
    <row r="571" spans="2:5" ht="12.75">
      <c r="B571" s="23"/>
      <c r="D571" s="23"/>
      <c r="E571" s="23"/>
    </row>
    <row r="572" spans="2:5" ht="12.75">
      <c r="B572" s="23"/>
      <c r="D572" s="23"/>
      <c r="E572" s="23"/>
    </row>
    <row r="573" spans="2:5" ht="12.75">
      <c r="B573" s="23"/>
      <c r="D573" s="23"/>
      <c r="E573" s="23"/>
    </row>
    <row r="574" spans="2:5" ht="12.75">
      <c r="B574" s="23"/>
      <c r="D574" s="23"/>
      <c r="E574" s="23"/>
    </row>
    <row r="575" spans="2:5" ht="12.75">
      <c r="B575" s="23"/>
      <c r="D575" s="23"/>
      <c r="E575" s="23"/>
    </row>
    <row r="576" spans="2:5" ht="12.75">
      <c r="B576" s="23"/>
      <c r="D576" s="23"/>
      <c r="E576" s="23"/>
    </row>
    <row r="577" spans="2:5" ht="12.75">
      <c r="B577" s="23"/>
      <c r="D577" s="23"/>
      <c r="E577" s="23"/>
    </row>
    <row r="578" spans="2:5" ht="12.75">
      <c r="B578" s="23"/>
      <c r="D578" s="23"/>
      <c r="E578" s="23"/>
    </row>
    <row r="579" spans="2:5" ht="12.75">
      <c r="B579" s="23"/>
      <c r="D579" s="23"/>
      <c r="E579" s="23"/>
    </row>
    <row r="580" spans="2:5" ht="12.75">
      <c r="B580" s="23"/>
      <c r="D580" s="23"/>
      <c r="E580" s="23"/>
    </row>
    <row r="581" spans="2:5" ht="12.75">
      <c r="B581" s="23"/>
      <c r="D581" s="23"/>
      <c r="E581" s="23"/>
    </row>
    <row r="582" spans="2:5" ht="12.75">
      <c r="B582" s="23"/>
      <c r="D582" s="23"/>
      <c r="E582" s="23"/>
    </row>
    <row r="583" spans="2:5" ht="12.75">
      <c r="B583" s="23"/>
      <c r="D583" s="23"/>
      <c r="E583" s="23"/>
    </row>
    <row r="584" spans="2:5" ht="12.75">
      <c r="B584" s="23"/>
      <c r="D584" s="23"/>
      <c r="E584" s="23"/>
    </row>
    <row r="585" spans="2:5" ht="12.75">
      <c r="B585" s="23"/>
      <c r="D585" s="23"/>
      <c r="E585" s="23"/>
    </row>
    <row r="586" spans="2:5" ht="12.75">
      <c r="B586" s="23"/>
      <c r="D586" s="23"/>
      <c r="E586" s="23"/>
    </row>
    <row r="587" spans="2:5" ht="12.75">
      <c r="B587" s="23"/>
      <c r="D587" s="23"/>
      <c r="E587" s="23"/>
    </row>
    <row r="588" spans="2:5" ht="12.75">
      <c r="B588" s="23"/>
      <c r="D588" s="23"/>
      <c r="E588" s="23"/>
    </row>
    <row r="589" spans="2:5" ht="12.75">
      <c r="B589" s="23"/>
      <c r="D589" s="23"/>
      <c r="E589" s="23"/>
    </row>
    <row r="590" spans="2:5" ht="12.75">
      <c r="B590" s="23"/>
      <c r="D590" s="23"/>
      <c r="E590" s="23"/>
    </row>
    <row r="591" spans="2:5" ht="12.75">
      <c r="B591" s="23"/>
      <c r="D591" s="23"/>
      <c r="E591" s="23"/>
    </row>
    <row r="592" spans="2:5" ht="12.75">
      <c r="B592" s="23"/>
      <c r="D592" s="23"/>
      <c r="E592" s="23"/>
    </row>
    <row r="593" spans="2:5" ht="12.75">
      <c r="B593" s="23"/>
      <c r="D593" s="23"/>
      <c r="E593" s="23"/>
    </row>
    <row r="594" spans="2:5" ht="12.75">
      <c r="B594" s="23"/>
      <c r="D594" s="23"/>
      <c r="E594" s="23"/>
    </row>
    <row r="595" spans="2:5" ht="12.75">
      <c r="B595" s="23"/>
      <c r="D595" s="23"/>
      <c r="E595" s="23"/>
    </row>
    <row r="596" spans="2:5" ht="12.75">
      <c r="B596" s="23"/>
      <c r="D596" s="23"/>
      <c r="E596" s="23"/>
    </row>
    <row r="597" spans="2:5" ht="12.75">
      <c r="B597" s="23"/>
      <c r="D597" s="23"/>
      <c r="E597" s="23"/>
    </row>
    <row r="598" spans="2:5" ht="12.75">
      <c r="B598" s="23"/>
      <c r="D598" s="23"/>
      <c r="E598" s="23"/>
    </row>
    <row r="599" spans="2:5" ht="12.75">
      <c r="B599" s="23"/>
      <c r="D599" s="23"/>
      <c r="E599" s="23"/>
    </row>
    <row r="600" spans="2:5" ht="12.75">
      <c r="B600" s="23"/>
      <c r="D600" s="23"/>
      <c r="E600" s="23"/>
    </row>
    <row r="601" spans="2:5" ht="12.75">
      <c r="B601" s="23"/>
      <c r="D601" s="23"/>
      <c r="E601" s="23"/>
    </row>
    <row r="602" spans="2:5" ht="12.75">
      <c r="B602" s="23"/>
      <c r="D602" s="23"/>
      <c r="E602" s="23"/>
    </row>
    <row r="603" spans="2:5" ht="12.75">
      <c r="B603" s="23"/>
      <c r="D603" s="23"/>
      <c r="E603" s="23"/>
    </row>
    <row r="604" spans="2:5" ht="12.75">
      <c r="B604" s="23"/>
      <c r="D604" s="23"/>
      <c r="E604" s="23"/>
    </row>
    <row r="605" spans="2:5" ht="12.75">
      <c r="B605" s="23"/>
      <c r="D605" s="23"/>
      <c r="E605" s="23"/>
    </row>
    <row r="606" spans="2:5" ht="12.75">
      <c r="B606" s="23"/>
      <c r="D606" s="23"/>
      <c r="E606" s="23"/>
    </row>
    <row r="607" spans="2:5" ht="12.75">
      <c r="B607" s="23"/>
      <c r="D607" s="23"/>
      <c r="E607" s="23"/>
    </row>
    <row r="608" spans="2:5" ht="12.75">
      <c r="B608" s="23"/>
      <c r="D608" s="23"/>
      <c r="E608" s="23"/>
    </row>
    <row r="609" spans="2:5" ht="12.75">
      <c r="B609" s="23"/>
      <c r="D609" s="23"/>
      <c r="E609" s="23"/>
    </row>
    <row r="610" spans="2:5" ht="12.75">
      <c r="B610" s="23"/>
      <c r="D610" s="23"/>
      <c r="E610" s="23"/>
    </row>
    <row r="611" spans="2:5" ht="12.75">
      <c r="B611" s="23"/>
      <c r="D611" s="23"/>
      <c r="E611" s="23"/>
    </row>
    <row r="612" spans="2:5" ht="12.75">
      <c r="B612" s="23"/>
      <c r="D612" s="23"/>
      <c r="E612" s="23"/>
    </row>
    <row r="613" spans="2:5" ht="12.75">
      <c r="B613" s="23"/>
      <c r="D613" s="23"/>
      <c r="E613" s="23"/>
    </row>
    <row r="614" spans="2:5" ht="12.75">
      <c r="B614" s="23"/>
      <c r="D614" s="23"/>
      <c r="E614" s="23"/>
    </row>
    <row r="615" spans="2:5" ht="12.75">
      <c r="B615" s="23"/>
      <c r="D615" s="23"/>
      <c r="E615" s="23"/>
    </row>
    <row r="616" spans="2:5" ht="12.75">
      <c r="B616" s="23"/>
      <c r="D616" s="23"/>
      <c r="E616" s="23"/>
    </row>
    <row r="617" spans="2:5" ht="12.75">
      <c r="B617" s="23"/>
      <c r="D617" s="23"/>
      <c r="E617" s="23"/>
    </row>
    <row r="618" spans="2:5" ht="12.75">
      <c r="B618" s="23"/>
      <c r="D618" s="23"/>
      <c r="E618" s="23"/>
    </row>
    <row r="619" spans="2:5" ht="12.75">
      <c r="B619" s="23"/>
      <c r="D619" s="23"/>
      <c r="E619" s="23"/>
    </row>
    <row r="620" spans="2:5" ht="12.75">
      <c r="B620" s="23"/>
      <c r="D620" s="23"/>
      <c r="E620" s="23"/>
    </row>
    <row r="621" spans="2:5" ht="12.75">
      <c r="B621" s="23"/>
      <c r="D621" s="23"/>
      <c r="E621" s="23"/>
    </row>
    <row r="622" spans="2:5" ht="12.75">
      <c r="B622" s="23"/>
      <c r="D622" s="23"/>
      <c r="E622" s="23"/>
    </row>
    <row r="623" spans="2:5" ht="12.75">
      <c r="B623" s="23"/>
      <c r="D623" s="23"/>
      <c r="E623" s="23"/>
    </row>
    <row r="624" spans="2:5" ht="12.75">
      <c r="B624" s="23"/>
      <c r="D624" s="23"/>
      <c r="E624" s="23"/>
    </row>
    <row r="625" spans="2:5" ht="12.75">
      <c r="B625" s="23"/>
      <c r="D625" s="23"/>
      <c r="E625" s="23"/>
    </row>
    <row r="626" spans="2:5" ht="12.75">
      <c r="B626" s="23"/>
      <c r="D626" s="23"/>
      <c r="E626" s="23"/>
    </row>
    <row r="627" spans="2:5" ht="12.75">
      <c r="B627" s="23"/>
      <c r="D627" s="23"/>
      <c r="E627" s="23"/>
    </row>
    <row r="628" spans="2:5" ht="12.75">
      <c r="B628" s="23"/>
      <c r="D628" s="23"/>
      <c r="E628" s="23"/>
    </row>
    <row r="629" spans="2:5" ht="12.75">
      <c r="B629" s="23"/>
      <c r="D629" s="23"/>
      <c r="E629" s="23"/>
    </row>
    <row r="630" spans="2:5" ht="12.75">
      <c r="B630" s="23"/>
      <c r="D630" s="23"/>
      <c r="E630" s="23"/>
    </row>
    <row r="631" spans="2:5" ht="12.75">
      <c r="B631" s="23"/>
      <c r="D631" s="23"/>
      <c r="E631" s="23"/>
    </row>
    <row r="632" spans="2:5" ht="12.75">
      <c r="B632" s="23"/>
      <c r="D632" s="23"/>
      <c r="E632" s="23"/>
    </row>
    <row r="633" spans="2:5" ht="12.75">
      <c r="B633" s="23"/>
      <c r="D633" s="23"/>
      <c r="E633" s="23"/>
    </row>
    <row r="634" spans="2:5" ht="12.75">
      <c r="B634" s="23"/>
      <c r="D634" s="23"/>
      <c r="E634" s="23"/>
    </row>
    <row r="635" spans="2:5" ht="12.75">
      <c r="B635" s="23"/>
      <c r="D635" s="23"/>
      <c r="E635" s="23"/>
    </row>
    <row r="636" spans="2:5" ht="12.75">
      <c r="B636" s="23"/>
      <c r="D636" s="23"/>
      <c r="E636" s="23"/>
    </row>
    <row r="637" spans="2:5" ht="12.75">
      <c r="B637" s="23"/>
      <c r="D637" s="23"/>
      <c r="E637" s="23"/>
    </row>
    <row r="638" spans="2:5" ht="12.75">
      <c r="B638" s="23"/>
      <c r="D638" s="23"/>
      <c r="E638" s="23"/>
    </row>
    <row r="639" spans="2:5" ht="12.75">
      <c r="B639" s="23"/>
      <c r="D639" s="23"/>
      <c r="E639" s="23"/>
    </row>
    <row r="640" spans="2:5" ht="12.75">
      <c r="B640" s="23"/>
      <c r="D640" s="23"/>
      <c r="E640" s="23"/>
    </row>
    <row r="641" spans="2:5" ht="12.75">
      <c r="B641" s="23"/>
      <c r="D641" s="23"/>
      <c r="E641" s="23"/>
    </row>
    <row r="642" spans="2:5" ht="12.75">
      <c r="B642" s="23"/>
      <c r="D642" s="23"/>
      <c r="E642" s="23"/>
    </row>
    <row r="643" spans="2:5" ht="12.75">
      <c r="B643" s="23"/>
      <c r="D643" s="23"/>
      <c r="E643" s="23"/>
    </row>
    <row r="644" spans="2:5" ht="12.75">
      <c r="B644" s="23"/>
      <c r="D644" s="23"/>
      <c r="E644" s="23"/>
    </row>
    <row r="645" spans="2:5" ht="12.75">
      <c r="B645" s="23"/>
      <c r="D645" s="23"/>
      <c r="E645" s="23"/>
    </row>
    <row r="646" spans="2:5" ht="12.75">
      <c r="B646" s="23"/>
      <c r="D646" s="23"/>
      <c r="E646" s="23"/>
    </row>
    <row r="647" spans="2:5" ht="12.75">
      <c r="B647" s="23"/>
      <c r="D647" s="23"/>
      <c r="E647" s="23"/>
    </row>
    <row r="648" spans="2:5" ht="12.75">
      <c r="B648" s="23"/>
      <c r="D648" s="23"/>
      <c r="E648" s="23"/>
    </row>
    <row r="649" spans="2:5" ht="12.75">
      <c r="B649" s="23"/>
      <c r="D649" s="23"/>
      <c r="E649" s="23"/>
    </row>
    <row r="650" spans="2:5" ht="12.75">
      <c r="B650" s="23"/>
      <c r="D650" s="23"/>
      <c r="E650" s="23"/>
    </row>
    <row r="651" spans="2:5" ht="12.75">
      <c r="B651" s="23"/>
      <c r="D651" s="23"/>
      <c r="E651" s="23"/>
    </row>
    <row r="652" spans="2:5" ht="12.75">
      <c r="B652" s="23"/>
      <c r="D652" s="23"/>
      <c r="E652" s="23"/>
    </row>
    <row r="653" spans="2:5" ht="12.75">
      <c r="B653" s="23"/>
      <c r="D653" s="23"/>
      <c r="E653" s="23"/>
    </row>
    <row r="654" spans="2:5" ht="12.75">
      <c r="B654" s="23"/>
      <c r="D654" s="23"/>
      <c r="E654" s="23"/>
    </row>
    <row r="655" spans="2:5" ht="12.75">
      <c r="B655" s="23"/>
      <c r="D655" s="23"/>
      <c r="E655" s="23"/>
    </row>
    <row r="656" spans="2:5" ht="12.75">
      <c r="B656" s="23"/>
      <c r="D656" s="23"/>
      <c r="E656" s="23"/>
    </row>
    <row r="657" spans="2:5" ht="12.75">
      <c r="B657" s="23"/>
      <c r="D657" s="23"/>
      <c r="E657" s="23"/>
    </row>
    <row r="658" spans="2:5" ht="12.75">
      <c r="B658" s="23"/>
      <c r="D658" s="23"/>
      <c r="E658" s="23"/>
    </row>
    <row r="659" spans="2:5" ht="12.75">
      <c r="B659" s="23"/>
      <c r="D659" s="23"/>
      <c r="E659" s="23"/>
    </row>
    <row r="660" spans="2:5" ht="12.75">
      <c r="B660" s="23"/>
      <c r="D660" s="23"/>
      <c r="E660" s="23"/>
    </row>
    <row r="661" spans="2:5" ht="12.75">
      <c r="B661" s="23"/>
      <c r="D661" s="23"/>
      <c r="E661" s="23"/>
    </row>
    <row r="662" spans="2:5" ht="12.75">
      <c r="B662" s="23"/>
      <c r="D662" s="23"/>
      <c r="E662" s="23"/>
    </row>
    <row r="663" spans="2:5" ht="12.75">
      <c r="B663" s="23"/>
      <c r="D663" s="23"/>
      <c r="E663" s="23"/>
    </row>
    <row r="664" spans="2:5" ht="12.75">
      <c r="B664" s="23"/>
      <c r="D664" s="23"/>
      <c r="E664" s="23"/>
    </row>
    <row r="665" spans="2:5" ht="12.75">
      <c r="B665" s="23"/>
      <c r="D665" s="23"/>
      <c r="E665" s="23"/>
    </row>
    <row r="666" spans="2:5" ht="12.75">
      <c r="B666" s="23"/>
      <c r="D666" s="23"/>
      <c r="E666" s="23"/>
    </row>
    <row r="667" spans="2:5" ht="12.75">
      <c r="B667" s="23"/>
      <c r="D667" s="23"/>
      <c r="E667" s="23"/>
    </row>
    <row r="668" spans="2:5" ht="12.75">
      <c r="B668" s="23"/>
      <c r="D668" s="23"/>
      <c r="E668" s="23"/>
    </row>
    <row r="669" spans="2:5" ht="12.75">
      <c r="B669" s="23"/>
      <c r="D669" s="23"/>
      <c r="E669" s="23"/>
    </row>
    <row r="670" spans="2:5" ht="12.75">
      <c r="B670" s="23"/>
      <c r="D670" s="23"/>
      <c r="E670" s="23"/>
    </row>
    <row r="671" spans="2:5" ht="12.75">
      <c r="B671" s="23"/>
      <c r="D671" s="23"/>
      <c r="E671" s="23"/>
    </row>
    <row r="672" spans="2:5" ht="12.75">
      <c r="B672" s="23"/>
      <c r="D672" s="23"/>
      <c r="E672" s="23"/>
    </row>
    <row r="673" spans="2:5" ht="12.75">
      <c r="B673" s="23"/>
      <c r="D673" s="23"/>
      <c r="E673" s="23"/>
    </row>
    <row r="674" spans="2:5" ht="12.75">
      <c r="B674" s="23"/>
      <c r="D674" s="23"/>
      <c r="E674" s="23"/>
    </row>
    <row r="675" spans="2:5" ht="12.75">
      <c r="B675" s="23"/>
      <c r="D675" s="23"/>
      <c r="E675" s="23"/>
    </row>
    <row r="676" spans="2:5" ht="12.75">
      <c r="B676" s="23"/>
      <c r="D676" s="23"/>
      <c r="E676" s="23"/>
    </row>
    <row r="677" spans="2:5" ht="12.75">
      <c r="B677" s="23"/>
      <c r="D677" s="23"/>
      <c r="E677" s="23"/>
    </row>
    <row r="678" spans="2:5" ht="12.75">
      <c r="B678" s="23"/>
      <c r="D678" s="23"/>
      <c r="E678" s="23"/>
    </row>
    <row r="679" spans="2:5" ht="12.75">
      <c r="B679" s="23"/>
      <c r="D679" s="23"/>
      <c r="E679" s="23"/>
    </row>
    <row r="680" spans="2:5" ht="12.75">
      <c r="B680" s="23"/>
      <c r="D680" s="23"/>
      <c r="E680" s="23"/>
    </row>
    <row r="681" spans="2:5" ht="12.75">
      <c r="B681" s="23"/>
      <c r="D681" s="23"/>
      <c r="E681" s="23"/>
    </row>
    <row r="682" spans="2:5" ht="12.75">
      <c r="B682" s="23"/>
      <c r="D682" s="23"/>
      <c r="E682" s="23"/>
    </row>
    <row r="683" spans="2:5" ht="12.75">
      <c r="B683" s="23"/>
      <c r="D683" s="23"/>
      <c r="E683" s="23"/>
    </row>
    <row r="684" spans="2:5" ht="12.75">
      <c r="B684" s="23"/>
      <c r="D684" s="23"/>
      <c r="E684" s="23"/>
    </row>
    <row r="685" spans="2:5" ht="12.75">
      <c r="B685" s="23"/>
      <c r="D685" s="23"/>
      <c r="E685" s="23"/>
    </row>
    <row r="686" spans="2:5" ht="12.75">
      <c r="B686" s="23"/>
      <c r="D686" s="23"/>
      <c r="E686" s="23"/>
    </row>
    <row r="687" spans="2:5" ht="12.75">
      <c r="B687" s="23"/>
      <c r="D687" s="23"/>
      <c r="E687" s="23"/>
    </row>
    <row r="688" spans="2:5" ht="12.75">
      <c r="B688" s="23"/>
      <c r="D688" s="23"/>
      <c r="E688" s="23"/>
    </row>
    <row r="689" spans="2:5" ht="12.75">
      <c r="B689" s="23"/>
      <c r="D689" s="23"/>
      <c r="E689" s="23"/>
    </row>
    <row r="690" spans="2:5" ht="12.75">
      <c r="B690" s="23"/>
      <c r="D690" s="23"/>
      <c r="E690" s="23"/>
    </row>
    <row r="691" spans="2:5" ht="12.75">
      <c r="B691" s="23"/>
      <c r="D691" s="23"/>
      <c r="E691" s="23"/>
    </row>
    <row r="692" spans="2:5" ht="12.75">
      <c r="B692" s="23"/>
      <c r="D692" s="23"/>
      <c r="E692" s="23"/>
    </row>
    <row r="693" spans="2:5" ht="12.75">
      <c r="B693" s="23"/>
      <c r="D693" s="23"/>
      <c r="E693" s="23"/>
    </row>
    <row r="694" spans="2:5" ht="12.75">
      <c r="B694" s="23"/>
      <c r="D694" s="23"/>
      <c r="E694" s="23"/>
    </row>
    <row r="695" spans="2:5" ht="12.75">
      <c r="B695" s="23"/>
      <c r="D695" s="23"/>
      <c r="E695" s="23"/>
    </row>
    <row r="696" spans="2:5" ht="12.75">
      <c r="B696" s="23"/>
      <c r="D696" s="23"/>
      <c r="E696" s="23"/>
    </row>
    <row r="697" spans="2:5" ht="12.75">
      <c r="B697" s="23"/>
      <c r="D697" s="23"/>
      <c r="E697" s="23"/>
    </row>
    <row r="698" spans="2:5" ht="12.75">
      <c r="B698" s="23"/>
      <c r="D698" s="23"/>
      <c r="E698" s="23"/>
    </row>
    <row r="699" spans="2:5" ht="12.75">
      <c r="B699" s="23"/>
      <c r="D699" s="23"/>
      <c r="E699" s="23"/>
    </row>
    <row r="700" spans="2:5" ht="12.75">
      <c r="B700" s="23"/>
      <c r="D700" s="23"/>
      <c r="E700" s="23"/>
    </row>
    <row r="701" spans="2:5" ht="12.75">
      <c r="B701" s="23"/>
      <c r="D701" s="23"/>
      <c r="E701" s="23"/>
    </row>
    <row r="702" spans="2:5" ht="12.75">
      <c r="B702" s="23"/>
      <c r="D702" s="23"/>
      <c r="E702" s="23"/>
    </row>
    <row r="703" spans="2:5" ht="12.75">
      <c r="B703" s="23"/>
      <c r="D703" s="23"/>
      <c r="E703" s="23"/>
    </row>
    <row r="704" spans="2:5" ht="12.75">
      <c r="B704" s="23"/>
      <c r="D704" s="23"/>
      <c r="E704" s="23"/>
    </row>
    <row r="705" spans="2:5" ht="12.75">
      <c r="B705" s="23"/>
      <c r="D705" s="23"/>
      <c r="E705" s="23"/>
    </row>
    <row r="706" spans="2:5" ht="12.75">
      <c r="B706" s="23"/>
      <c r="D706" s="23"/>
      <c r="E706" s="23"/>
    </row>
    <row r="707" spans="2:5" ht="12.75">
      <c r="B707" s="23"/>
      <c r="D707" s="23"/>
      <c r="E707" s="23"/>
    </row>
    <row r="708" spans="2:5" ht="12.75">
      <c r="B708" s="23"/>
      <c r="D708" s="23"/>
      <c r="E708" s="23"/>
    </row>
    <row r="709" spans="2:5" ht="12.75">
      <c r="B709" s="23"/>
      <c r="D709" s="23"/>
      <c r="E709" s="23"/>
    </row>
    <row r="710" spans="2:5" ht="12.75">
      <c r="B710" s="23"/>
      <c r="D710" s="23"/>
      <c r="E710" s="23"/>
    </row>
    <row r="711" spans="2:5" ht="12.75">
      <c r="B711" s="23"/>
      <c r="D711" s="23"/>
      <c r="E711" s="23"/>
    </row>
    <row r="712" spans="2:5" ht="12.75">
      <c r="B712" s="23"/>
      <c r="D712" s="23"/>
      <c r="E712" s="23"/>
    </row>
    <row r="713" spans="2:5" ht="12.75">
      <c r="B713" s="23"/>
      <c r="D713" s="23"/>
      <c r="E713" s="23"/>
    </row>
    <row r="714" spans="2:5" ht="12.75">
      <c r="B714" s="23"/>
      <c r="D714" s="23"/>
      <c r="E714" s="23"/>
    </row>
    <row r="715" spans="2:5" ht="12.75">
      <c r="B715" s="23"/>
      <c r="D715" s="23"/>
      <c r="E715" s="23"/>
    </row>
    <row r="716" spans="2:5" ht="12.75">
      <c r="B716" s="23"/>
      <c r="D716" s="23"/>
      <c r="E716" s="23"/>
    </row>
    <row r="717" spans="2:5" ht="12.75">
      <c r="B717" s="23"/>
      <c r="D717" s="23"/>
      <c r="E717" s="23"/>
    </row>
    <row r="718" spans="2:5" ht="12.75">
      <c r="B718" s="23"/>
      <c r="D718" s="23"/>
      <c r="E718" s="23"/>
    </row>
    <row r="719" spans="2:5" ht="12.75">
      <c r="B719" s="23"/>
      <c r="D719" s="23"/>
      <c r="E719" s="23"/>
    </row>
    <row r="720" spans="2:5" ht="12.75">
      <c r="B720" s="23"/>
      <c r="D720" s="23"/>
      <c r="E720" s="23"/>
    </row>
    <row r="721" spans="2:5" ht="12.75">
      <c r="B721" s="23"/>
      <c r="D721" s="23"/>
      <c r="E721" s="23"/>
    </row>
    <row r="722" spans="2:5" ht="12.75">
      <c r="B722" s="23"/>
      <c r="D722" s="23"/>
      <c r="E722" s="23"/>
    </row>
    <row r="723" spans="2:5" ht="12.75">
      <c r="B723" s="23"/>
      <c r="D723" s="23"/>
      <c r="E723" s="23"/>
    </row>
    <row r="724" spans="2:5" ht="12.75">
      <c r="B724" s="23"/>
      <c r="D724" s="23"/>
      <c r="E724" s="23"/>
    </row>
    <row r="725" spans="2:5" ht="12.75">
      <c r="B725" s="23"/>
      <c r="D725" s="23"/>
      <c r="E725" s="23"/>
    </row>
    <row r="726" spans="2:5" ht="12.75">
      <c r="B726" s="23"/>
      <c r="D726" s="23"/>
      <c r="E726" s="23"/>
    </row>
    <row r="727" spans="2:5" ht="12.75">
      <c r="B727" s="23"/>
      <c r="D727" s="23"/>
      <c r="E727" s="23"/>
    </row>
    <row r="728" spans="2:5" ht="12.75">
      <c r="B728" s="23"/>
      <c r="D728" s="23"/>
      <c r="E728" s="23"/>
    </row>
    <row r="729" spans="2:5" ht="12.75">
      <c r="B729" s="23"/>
      <c r="D729" s="23"/>
      <c r="E729" s="23"/>
    </row>
    <row r="730" spans="2:5" ht="12.75">
      <c r="B730" s="23"/>
      <c r="D730" s="23"/>
      <c r="E730" s="23"/>
    </row>
    <row r="731" spans="2:5" ht="12.75">
      <c r="B731" s="23"/>
      <c r="D731" s="23"/>
      <c r="E731" s="23"/>
    </row>
    <row r="732" spans="2:5" ht="12.75">
      <c r="B732" s="23"/>
      <c r="D732" s="23"/>
      <c r="E732" s="23"/>
    </row>
    <row r="733" spans="2:5" ht="12.75">
      <c r="B733" s="23"/>
      <c r="D733" s="23"/>
      <c r="E733" s="23"/>
    </row>
    <row r="734" spans="2:5" ht="12.75">
      <c r="B734" s="23"/>
      <c r="D734" s="23"/>
      <c r="E734" s="23"/>
    </row>
    <row r="735" spans="2:5" ht="12.75">
      <c r="B735" s="23"/>
      <c r="D735" s="23"/>
      <c r="E735" s="23"/>
    </row>
    <row r="736" spans="2:5" ht="12.75">
      <c r="B736" s="23"/>
      <c r="D736" s="23"/>
      <c r="E736" s="23"/>
    </row>
    <row r="737" spans="2:5" ht="12.75">
      <c r="B737" s="23"/>
      <c r="D737" s="23"/>
      <c r="E737" s="23"/>
    </row>
    <row r="738" spans="2:5" ht="12.75">
      <c r="B738" s="23"/>
      <c r="D738" s="23"/>
      <c r="E738" s="23"/>
    </row>
    <row r="739" spans="2:5" ht="12.75">
      <c r="B739" s="23"/>
      <c r="D739" s="23"/>
      <c r="E739" s="23"/>
    </row>
    <row r="740" spans="2:5" ht="12.75">
      <c r="B740" s="23"/>
      <c r="D740" s="23"/>
      <c r="E740" s="23"/>
    </row>
    <row r="741" spans="2:5" ht="12.75">
      <c r="B741" s="23"/>
      <c r="D741" s="23"/>
      <c r="E741" s="23"/>
    </row>
    <row r="742" spans="2:5" ht="12.75">
      <c r="B742" s="23"/>
      <c r="D742" s="23"/>
      <c r="E742" s="23"/>
    </row>
    <row r="743" spans="2:5" ht="12.75">
      <c r="B743" s="23"/>
      <c r="D743" s="23"/>
      <c r="E743" s="23"/>
    </row>
    <row r="744" spans="2:5" ht="12.75">
      <c r="B744" s="23"/>
      <c r="D744" s="23"/>
      <c r="E744" s="23"/>
    </row>
    <row r="745" spans="2:5" ht="12.75">
      <c r="B745" s="23"/>
      <c r="D745" s="23"/>
      <c r="E745" s="23"/>
    </row>
    <row r="746" spans="2:5" ht="12.75">
      <c r="B746" s="23"/>
      <c r="D746" s="23"/>
      <c r="E746" s="23"/>
    </row>
    <row r="747" spans="2:5" ht="12.75">
      <c r="B747" s="23"/>
      <c r="D747" s="23"/>
      <c r="E747" s="23"/>
    </row>
    <row r="748" spans="2:5" ht="12.75">
      <c r="B748" s="23"/>
      <c r="D748" s="23"/>
      <c r="E748" s="23"/>
    </row>
    <row r="749" spans="2:5" ht="12.75">
      <c r="B749" s="23"/>
      <c r="D749" s="23"/>
      <c r="E749" s="23"/>
    </row>
    <row r="750" spans="2:5" ht="12.75">
      <c r="B750" s="23"/>
      <c r="D750" s="23"/>
      <c r="E750" s="23"/>
    </row>
    <row r="751" spans="2:5" ht="12.75">
      <c r="B751" s="23"/>
      <c r="D751" s="23"/>
      <c r="E751" s="23"/>
    </row>
    <row r="752" spans="2:5" ht="12.75">
      <c r="B752" s="23"/>
      <c r="D752" s="23"/>
      <c r="E752" s="23"/>
    </row>
    <row r="753" spans="2:5" ht="12.75">
      <c r="B753" s="23"/>
      <c r="D753" s="23"/>
      <c r="E753" s="23"/>
    </row>
    <row r="754" spans="2:5" ht="12.75">
      <c r="B754" s="23"/>
      <c r="D754" s="23"/>
      <c r="E754" s="23"/>
    </row>
    <row r="755" spans="2:5" ht="12.75">
      <c r="B755" s="23"/>
      <c r="D755" s="23"/>
      <c r="E755" s="23"/>
    </row>
    <row r="756" spans="2:5" ht="12.75">
      <c r="B756" s="23"/>
      <c r="D756" s="23"/>
      <c r="E756" s="23"/>
    </row>
    <row r="757" spans="2:5" ht="12.75">
      <c r="B757" s="23"/>
      <c r="D757" s="23"/>
      <c r="E757" s="23"/>
    </row>
    <row r="758" spans="2:5" ht="12.75">
      <c r="B758" s="23"/>
      <c r="D758" s="23"/>
      <c r="E758" s="23"/>
    </row>
    <row r="759" spans="2:5" ht="12.75">
      <c r="B759" s="23"/>
      <c r="D759" s="23"/>
      <c r="E759" s="23"/>
    </row>
    <row r="760" spans="2:5" ht="12.75">
      <c r="B760" s="23"/>
      <c r="D760" s="23"/>
      <c r="E760" s="23"/>
    </row>
    <row r="761" spans="2:5" ht="12.75">
      <c r="B761" s="23"/>
      <c r="D761" s="23"/>
      <c r="E761" s="23"/>
    </row>
    <row r="762" spans="2:5" ht="12.75">
      <c r="B762" s="23"/>
      <c r="D762" s="23"/>
      <c r="E762" s="23"/>
    </row>
    <row r="763" spans="2:5" ht="12.75">
      <c r="B763" s="23"/>
      <c r="D763" s="23"/>
      <c r="E763" s="23"/>
    </row>
    <row r="764" spans="2:5" ht="12.75">
      <c r="B764" s="23"/>
      <c r="D764" s="23"/>
      <c r="E764" s="23"/>
    </row>
    <row r="765" spans="2:5" ht="12.75">
      <c r="B765" s="23"/>
      <c r="D765" s="23"/>
      <c r="E765" s="23"/>
    </row>
    <row r="766" spans="2:5" ht="12.75">
      <c r="B766" s="23"/>
      <c r="D766" s="23"/>
      <c r="E766" s="23"/>
    </row>
    <row r="767" spans="2:5" ht="12.75">
      <c r="B767" s="23"/>
      <c r="D767" s="23"/>
      <c r="E767" s="23"/>
    </row>
    <row r="768" spans="2:5" ht="12.75">
      <c r="B768" s="23"/>
      <c r="D768" s="23"/>
      <c r="E768" s="23"/>
    </row>
    <row r="769" spans="2:5" ht="12.75">
      <c r="B769" s="23"/>
      <c r="D769" s="23"/>
      <c r="E769" s="23"/>
    </row>
    <row r="770" spans="2:5" ht="12.75">
      <c r="B770" s="23"/>
      <c r="D770" s="23"/>
      <c r="E770" s="23"/>
    </row>
    <row r="771" spans="2:5" ht="12.75">
      <c r="B771" s="23"/>
      <c r="D771" s="23"/>
      <c r="E771" s="23"/>
    </row>
    <row r="772" spans="2:5" ht="12.75">
      <c r="B772" s="23"/>
      <c r="D772" s="23"/>
      <c r="E772" s="23"/>
    </row>
    <row r="773" spans="2:5" ht="12.75">
      <c r="B773" s="23"/>
      <c r="D773" s="23"/>
      <c r="E773" s="23"/>
    </row>
    <row r="774" spans="2:5" ht="12.75">
      <c r="B774" s="23"/>
      <c r="D774" s="23"/>
      <c r="E774" s="23"/>
    </row>
    <row r="775" spans="2:5" ht="12.75">
      <c r="B775" s="23"/>
      <c r="D775" s="23"/>
      <c r="E775" s="23"/>
    </row>
    <row r="776" spans="2:5" ht="12.75">
      <c r="B776" s="23"/>
      <c r="D776" s="23"/>
      <c r="E776" s="23"/>
    </row>
    <row r="777" spans="2:5" ht="12.75">
      <c r="B777" s="23"/>
      <c r="D777" s="23"/>
      <c r="E777" s="23"/>
    </row>
    <row r="778" spans="2:5" ht="12.75">
      <c r="B778" s="23"/>
      <c r="D778" s="23"/>
      <c r="E778" s="23"/>
    </row>
    <row r="779" spans="2:5" ht="12.75">
      <c r="B779" s="23"/>
      <c r="D779" s="23"/>
      <c r="E779" s="23"/>
    </row>
    <row r="780" spans="2:5" ht="12.75">
      <c r="B780" s="23"/>
      <c r="D780" s="23"/>
      <c r="E780" s="23"/>
    </row>
    <row r="781" spans="2:5" ht="12.75">
      <c r="B781" s="23"/>
      <c r="D781" s="23"/>
      <c r="E781" s="23"/>
    </row>
    <row r="782" spans="2:5" ht="12.75">
      <c r="B782" s="23"/>
      <c r="D782" s="23"/>
      <c r="E782" s="23"/>
    </row>
    <row r="783" spans="2:5" ht="12.75">
      <c r="B783" s="23"/>
      <c r="D783" s="23"/>
      <c r="E783" s="23"/>
    </row>
    <row r="784" spans="2:5" ht="12.75">
      <c r="B784" s="23"/>
      <c r="D784" s="23"/>
      <c r="E784" s="23"/>
    </row>
    <row r="785" spans="2:5" ht="12.75">
      <c r="B785" s="23"/>
      <c r="D785" s="23"/>
      <c r="E785" s="23"/>
    </row>
    <row r="786" spans="2:5" ht="12.75">
      <c r="B786" s="23"/>
      <c r="D786" s="23"/>
      <c r="E786" s="23"/>
    </row>
    <row r="787" spans="2:5" ht="12.75">
      <c r="B787" s="23"/>
      <c r="D787" s="23"/>
      <c r="E787" s="23"/>
    </row>
    <row r="788" spans="2:5" ht="12.75">
      <c r="B788" s="23"/>
      <c r="D788" s="23"/>
      <c r="E788" s="23"/>
    </row>
    <row r="789" spans="2:5" ht="12.75">
      <c r="B789" s="23"/>
      <c r="D789" s="23"/>
      <c r="E789" s="23"/>
    </row>
    <row r="790" spans="2:5" ht="12.75">
      <c r="B790" s="23"/>
      <c r="D790" s="23"/>
      <c r="E790" s="23"/>
    </row>
    <row r="791" spans="2:5" ht="12.75">
      <c r="B791" s="23"/>
      <c r="D791" s="23"/>
      <c r="E791" s="23"/>
    </row>
    <row r="792" spans="2:5" ht="12.75">
      <c r="B792" s="23"/>
      <c r="D792" s="23"/>
      <c r="E792" s="23"/>
    </row>
    <row r="793" spans="2:5" ht="12.75">
      <c r="B793" s="23"/>
      <c r="D793" s="23"/>
      <c r="E793" s="23"/>
    </row>
    <row r="794" spans="2:5" ht="12.75">
      <c r="B794" s="23"/>
      <c r="D794" s="23"/>
      <c r="E794" s="23"/>
    </row>
    <row r="795" spans="2:5" ht="12.75">
      <c r="B795" s="23"/>
      <c r="D795" s="23"/>
      <c r="E795" s="23"/>
    </row>
    <row r="796" spans="2:5" ht="12.75">
      <c r="B796" s="23"/>
      <c r="D796" s="23"/>
      <c r="E796" s="23"/>
    </row>
    <row r="797" spans="2:5" ht="12.75">
      <c r="B797" s="23"/>
      <c r="D797" s="23"/>
      <c r="E797" s="23"/>
    </row>
    <row r="798" spans="2:5" ht="12.75">
      <c r="B798" s="23"/>
      <c r="D798" s="23"/>
      <c r="E798" s="23"/>
    </row>
    <row r="799" spans="2:5" ht="12.75">
      <c r="B799" s="23"/>
      <c r="D799" s="23"/>
      <c r="E799" s="23"/>
    </row>
    <row r="800" spans="2:5" ht="12.75">
      <c r="B800" s="23"/>
      <c r="D800" s="23"/>
      <c r="E800" s="23"/>
    </row>
    <row r="801" spans="2:5" ht="12.75">
      <c r="B801" s="23"/>
      <c r="D801" s="23"/>
      <c r="E801" s="23"/>
    </row>
    <row r="802" spans="2:5" ht="12.75">
      <c r="B802" s="23"/>
      <c r="D802" s="23"/>
      <c r="E802" s="23"/>
    </row>
    <row r="803" spans="2:5" ht="12.75">
      <c r="B803" s="23"/>
      <c r="D803" s="23"/>
      <c r="E803" s="23"/>
    </row>
    <row r="804" spans="2:5" ht="12.75">
      <c r="B804" s="23"/>
      <c r="D804" s="23"/>
      <c r="E804" s="23"/>
    </row>
    <row r="805" spans="2:5" ht="12.75">
      <c r="B805" s="23"/>
      <c r="D805" s="23"/>
      <c r="E805" s="23"/>
    </row>
    <row r="806" spans="2:5" ht="12.75">
      <c r="B806" s="23"/>
      <c r="D806" s="23"/>
      <c r="E806" s="23"/>
    </row>
    <row r="807" spans="2:5" ht="12.75">
      <c r="B807" s="23"/>
      <c r="D807" s="23"/>
      <c r="E807" s="23"/>
    </row>
    <row r="808" spans="2:5" ht="12.75">
      <c r="B808" s="23"/>
      <c r="D808" s="23"/>
      <c r="E808" s="23"/>
    </row>
    <row r="809" spans="2:5" ht="12.75">
      <c r="B809" s="23"/>
      <c r="D809" s="23"/>
      <c r="E809" s="23"/>
    </row>
    <row r="810" spans="2:5" ht="12.75">
      <c r="B810" s="23"/>
      <c r="D810" s="23"/>
      <c r="E810" s="23"/>
    </row>
    <row r="811" spans="2:5" ht="12.75">
      <c r="B811" s="23"/>
      <c r="D811" s="23"/>
      <c r="E811" s="23"/>
    </row>
    <row r="812" spans="2:5" ht="12.75">
      <c r="B812" s="23"/>
      <c r="D812" s="23"/>
      <c r="E812" s="23"/>
    </row>
    <row r="813" spans="2:5" ht="12.75">
      <c r="B813" s="23"/>
      <c r="D813" s="23"/>
      <c r="E813" s="23"/>
    </row>
    <row r="814" spans="2:5" ht="12.75">
      <c r="B814" s="23"/>
      <c r="D814" s="23"/>
      <c r="E814" s="23"/>
    </row>
    <row r="815" spans="2:5" ht="12.75">
      <c r="B815" s="23"/>
      <c r="D815" s="23"/>
      <c r="E815" s="23"/>
    </row>
    <row r="816" spans="2:5" ht="12.75">
      <c r="B816" s="23"/>
      <c r="D816" s="23"/>
      <c r="E816" s="23"/>
    </row>
    <row r="817" spans="2:5" ht="12.75">
      <c r="B817" s="23"/>
      <c r="D817" s="23"/>
      <c r="E817" s="23"/>
    </row>
    <row r="818" spans="2:5" ht="12.75">
      <c r="B818" s="23"/>
      <c r="D818" s="23"/>
      <c r="E818" s="23"/>
    </row>
    <row r="819" spans="2:5" ht="12.75">
      <c r="B819" s="23"/>
      <c r="D819" s="23"/>
      <c r="E819" s="23"/>
    </row>
    <row r="820" spans="2:5" ht="12.75">
      <c r="B820" s="23"/>
      <c r="D820" s="23"/>
      <c r="E820" s="23"/>
    </row>
    <row r="821" spans="2:5" ht="12.75">
      <c r="B821" s="23"/>
      <c r="D821" s="23"/>
      <c r="E821" s="23"/>
    </row>
    <row r="822" spans="2:5" ht="12.75">
      <c r="B822" s="23"/>
      <c r="D822" s="23"/>
      <c r="E822" s="23"/>
    </row>
    <row r="823" spans="2:5" ht="12.75">
      <c r="B823" s="23"/>
      <c r="D823" s="23"/>
      <c r="E823" s="23"/>
    </row>
    <row r="824" spans="2:5" ht="12.75">
      <c r="B824" s="23"/>
      <c r="D824" s="23"/>
      <c r="E824" s="23"/>
    </row>
    <row r="825" spans="2:5" ht="12.75">
      <c r="B825" s="23"/>
      <c r="D825" s="23"/>
      <c r="E825" s="23"/>
    </row>
    <row r="826" spans="2:5" ht="12.75">
      <c r="B826" s="23"/>
      <c r="D826" s="23"/>
      <c r="E826" s="23"/>
    </row>
    <row r="827" spans="2:5" ht="12.75">
      <c r="B827" s="23"/>
      <c r="D827" s="23"/>
      <c r="E827" s="23"/>
    </row>
    <row r="828" spans="2:5" ht="12.75">
      <c r="B828" s="23"/>
      <c r="D828" s="23"/>
      <c r="E828" s="23"/>
    </row>
    <row r="829" spans="2:5" ht="12.75">
      <c r="B829" s="23"/>
      <c r="D829" s="23"/>
      <c r="E829" s="23"/>
    </row>
    <row r="830" spans="2:5" ht="12.75">
      <c r="B830" s="23"/>
      <c r="D830" s="23"/>
      <c r="E830" s="23"/>
    </row>
    <row r="831" spans="2:5" ht="12.75">
      <c r="B831" s="23"/>
      <c r="D831" s="23"/>
      <c r="E831" s="23"/>
    </row>
    <row r="832" spans="2:5" ht="12.75">
      <c r="B832" s="23"/>
      <c r="D832" s="23"/>
      <c r="E832" s="23"/>
    </row>
    <row r="833" spans="2:5" ht="12.75">
      <c r="B833" s="23"/>
      <c r="D833" s="23"/>
      <c r="E833" s="23"/>
    </row>
    <row r="834" spans="2:5" ht="12.75">
      <c r="B834" s="23"/>
      <c r="D834" s="23"/>
      <c r="E834" s="23"/>
    </row>
    <row r="835" spans="2:5" ht="12.75">
      <c r="B835" s="23"/>
      <c r="D835" s="23"/>
      <c r="E835" s="23"/>
    </row>
    <row r="836" spans="2:5" ht="12.75">
      <c r="B836" s="23"/>
      <c r="D836" s="23"/>
      <c r="E836" s="23"/>
    </row>
    <row r="837" spans="2:5" ht="12.75">
      <c r="B837" s="23"/>
      <c r="D837" s="23"/>
      <c r="E837" s="23"/>
    </row>
    <row r="838" spans="2:5" ht="12.75">
      <c r="B838" s="23"/>
      <c r="D838" s="23"/>
      <c r="E838" s="23"/>
    </row>
    <row r="839" spans="2:5" ht="12.75">
      <c r="B839" s="23"/>
      <c r="D839" s="23"/>
      <c r="E839" s="23"/>
    </row>
    <row r="840" spans="2:5" ht="12.75">
      <c r="B840" s="23"/>
      <c r="D840" s="23"/>
      <c r="E840" s="23"/>
    </row>
    <row r="841" spans="2:5" ht="12.75">
      <c r="B841" s="23"/>
      <c r="D841" s="23"/>
      <c r="E841" s="23"/>
    </row>
    <row r="842" spans="2:5" ht="12.75">
      <c r="B842" s="23"/>
      <c r="D842" s="23"/>
      <c r="E842" s="23"/>
    </row>
    <row r="843" spans="2:5" ht="12.75">
      <c r="B843" s="23"/>
      <c r="D843" s="23"/>
      <c r="E843" s="23"/>
    </row>
    <row r="844" spans="2:5" ht="12.75">
      <c r="B844" s="23"/>
      <c r="D844" s="23"/>
      <c r="E844" s="23"/>
    </row>
    <row r="845" spans="2:5" ht="12.75">
      <c r="B845" s="23"/>
      <c r="D845" s="23"/>
      <c r="E845" s="23"/>
    </row>
    <row r="846" spans="2:5" ht="12.75">
      <c r="B846" s="23"/>
      <c r="D846" s="23"/>
      <c r="E846" s="23"/>
    </row>
    <row r="847" spans="2:5" ht="12.75">
      <c r="B847" s="23"/>
      <c r="D847" s="23"/>
      <c r="E847" s="23"/>
    </row>
    <row r="848" spans="2:5" ht="12.75">
      <c r="B848" s="23"/>
      <c r="D848" s="23"/>
      <c r="E848" s="23"/>
    </row>
    <row r="849" spans="2:5" ht="12.75">
      <c r="B849" s="23"/>
      <c r="D849" s="23"/>
      <c r="E849" s="23"/>
    </row>
    <row r="850" spans="2:5" ht="12.75">
      <c r="B850" s="23"/>
      <c r="D850" s="23"/>
      <c r="E850" s="23"/>
    </row>
    <row r="851" spans="2:5" ht="12.75">
      <c r="B851" s="23"/>
      <c r="D851" s="23"/>
      <c r="E851" s="23"/>
    </row>
    <row r="852" spans="2:5" ht="12.75">
      <c r="B852" s="23"/>
      <c r="D852" s="23"/>
      <c r="E852" s="23"/>
    </row>
    <row r="853" spans="2:5" ht="12.75">
      <c r="B853" s="23"/>
      <c r="D853" s="23"/>
      <c r="E853" s="23"/>
    </row>
    <row r="854" spans="2:5" ht="12.75">
      <c r="B854" s="23"/>
      <c r="D854" s="23"/>
      <c r="E854" s="23"/>
    </row>
    <row r="855" spans="2:5" ht="12.75">
      <c r="B855" s="23"/>
      <c r="D855" s="23"/>
      <c r="E855" s="23"/>
    </row>
    <row r="856" spans="2:5" ht="12.75">
      <c r="B856" s="23"/>
      <c r="D856" s="23"/>
      <c r="E856" s="23"/>
    </row>
    <row r="857" spans="2:5" ht="12.75">
      <c r="B857" s="23"/>
      <c r="D857" s="23"/>
      <c r="E857" s="23"/>
    </row>
    <row r="858" spans="2:5" ht="12.75">
      <c r="B858" s="23"/>
      <c r="D858" s="23"/>
      <c r="E858" s="23"/>
    </row>
    <row r="859" spans="2:5" ht="12.75">
      <c r="B859" s="23"/>
      <c r="D859" s="23"/>
      <c r="E859" s="23"/>
    </row>
    <row r="860" spans="2:5" ht="12.75">
      <c r="B860" s="23"/>
      <c r="D860" s="23"/>
      <c r="E860" s="23"/>
    </row>
    <row r="861" spans="2:5" ht="12.75">
      <c r="B861" s="23"/>
      <c r="D861" s="23"/>
      <c r="E861" s="23"/>
    </row>
    <row r="862" spans="2:5" ht="12.75">
      <c r="B862" s="23"/>
      <c r="D862" s="23"/>
      <c r="E862" s="23"/>
    </row>
    <row r="863" spans="2:5" ht="12.75">
      <c r="B863" s="23"/>
      <c r="D863" s="23"/>
      <c r="E863" s="23"/>
    </row>
    <row r="864" spans="2:5" ht="12.75">
      <c r="B864" s="23"/>
      <c r="D864" s="23"/>
      <c r="E864" s="23"/>
    </row>
    <row r="865" spans="2:5" ht="12.75">
      <c r="B865" s="23"/>
      <c r="D865" s="23"/>
      <c r="E865" s="23"/>
    </row>
    <row r="866" spans="2:5" ht="12.75">
      <c r="B866" s="23"/>
      <c r="D866" s="23"/>
      <c r="E866" s="23"/>
    </row>
    <row r="867" spans="2:5" ht="12.75">
      <c r="B867" s="23"/>
      <c r="D867" s="23"/>
      <c r="E867" s="23"/>
    </row>
    <row r="868" spans="2:5" ht="12.75">
      <c r="B868" s="23"/>
      <c r="D868" s="23"/>
      <c r="E868" s="23"/>
    </row>
    <row r="869" spans="2:5" ht="12.75">
      <c r="B869" s="23"/>
      <c r="D869" s="23"/>
      <c r="E869" s="23"/>
    </row>
    <row r="870" spans="2:5" ht="12.75">
      <c r="B870" s="23"/>
      <c r="D870" s="23"/>
      <c r="E870" s="23"/>
    </row>
    <row r="871" spans="2:5" ht="12.75">
      <c r="B871" s="23"/>
      <c r="D871" s="23"/>
      <c r="E871" s="23"/>
    </row>
    <row r="872" spans="2:5" ht="12.75">
      <c r="B872" s="23"/>
      <c r="D872" s="23"/>
      <c r="E872" s="23"/>
    </row>
    <row r="873" spans="2:5" ht="12.75">
      <c r="B873" s="23"/>
      <c r="D873" s="23"/>
      <c r="E873" s="23"/>
    </row>
    <row r="874" spans="2:5" ht="12.75">
      <c r="B874" s="23"/>
      <c r="D874" s="23"/>
      <c r="E874" s="23"/>
    </row>
    <row r="875" spans="2:5" ht="12.75">
      <c r="B875" s="23"/>
      <c r="D875" s="23"/>
      <c r="E875" s="23"/>
    </row>
    <row r="876" spans="2:5" ht="12.75">
      <c r="B876" s="23"/>
      <c r="D876" s="23"/>
      <c r="E876" s="23"/>
    </row>
    <row r="877" spans="2:5" ht="12.75">
      <c r="B877" s="23"/>
      <c r="D877" s="23"/>
      <c r="E877" s="23"/>
    </row>
    <row r="878" spans="2:5" ht="12.75">
      <c r="B878" s="23"/>
      <c r="D878" s="23"/>
      <c r="E878" s="23"/>
    </row>
    <row r="879" spans="2:5" ht="12.75">
      <c r="B879" s="23"/>
      <c r="D879" s="23"/>
      <c r="E879" s="23"/>
    </row>
    <row r="880" spans="2:5" ht="12.75">
      <c r="B880" s="23"/>
      <c r="D880" s="23"/>
      <c r="E880" s="23"/>
    </row>
    <row r="881" spans="2:5" ht="12.75">
      <c r="B881" s="23"/>
      <c r="D881" s="23"/>
      <c r="E881" s="23"/>
    </row>
    <row r="882" spans="2:5" ht="12.75">
      <c r="B882" s="23"/>
      <c r="D882" s="23"/>
      <c r="E882" s="23"/>
    </row>
    <row r="883" spans="2:5" ht="12.75">
      <c r="B883" s="23"/>
      <c r="D883" s="23"/>
      <c r="E883" s="23"/>
    </row>
    <row r="884" spans="2:5" ht="12.75">
      <c r="B884" s="23"/>
      <c r="D884" s="23"/>
      <c r="E884" s="23"/>
    </row>
    <row r="885" spans="2:5" ht="12.75">
      <c r="B885" s="23"/>
      <c r="D885" s="23"/>
      <c r="E885" s="23"/>
    </row>
    <row r="886" spans="2:5" ht="12.75">
      <c r="B886" s="23"/>
      <c r="D886" s="23"/>
      <c r="E886" s="23"/>
    </row>
    <row r="887" spans="2:5" ht="12.75">
      <c r="B887" s="23"/>
      <c r="D887" s="23"/>
      <c r="E887" s="23"/>
    </row>
    <row r="888" spans="2:5" ht="12.75">
      <c r="B888" s="23"/>
      <c r="D888" s="23"/>
      <c r="E888" s="23"/>
    </row>
    <row r="889" spans="2:5" ht="12.75">
      <c r="B889" s="23"/>
      <c r="D889" s="23"/>
      <c r="E889" s="23"/>
    </row>
    <row r="890" spans="2:5" ht="12.75">
      <c r="B890" s="23"/>
      <c r="D890" s="23"/>
      <c r="E890" s="23"/>
    </row>
    <row r="891" spans="2:5" ht="12.75">
      <c r="B891" s="23"/>
      <c r="D891" s="23"/>
      <c r="E891" s="23"/>
    </row>
    <row r="892" spans="2:5" ht="12.75">
      <c r="B892" s="23"/>
      <c r="D892" s="23"/>
      <c r="E892" s="23"/>
    </row>
    <row r="893" spans="2:5" ht="12.75">
      <c r="B893" s="23"/>
      <c r="D893" s="23"/>
      <c r="E893" s="23"/>
    </row>
    <row r="894" spans="2:5" ht="12.75">
      <c r="B894" s="23"/>
      <c r="D894" s="23"/>
      <c r="E894" s="23"/>
    </row>
    <row r="895" spans="2:5" ht="12.75">
      <c r="B895" s="23"/>
      <c r="D895" s="23"/>
      <c r="E895" s="23"/>
    </row>
    <row r="896" spans="2:5" ht="12.75">
      <c r="B896" s="23"/>
      <c r="D896" s="23"/>
      <c r="E896" s="23"/>
    </row>
    <row r="897" spans="2:5" ht="12.75">
      <c r="B897" s="23"/>
      <c r="D897" s="23"/>
      <c r="E897" s="23"/>
    </row>
    <row r="898" spans="2:5" ht="12.75">
      <c r="B898" s="23"/>
      <c r="D898" s="23"/>
      <c r="E898" s="23"/>
    </row>
    <row r="899" spans="2:5" ht="12.75">
      <c r="B899" s="23"/>
      <c r="D899" s="23"/>
      <c r="E899" s="23"/>
    </row>
    <row r="900" spans="2:5" ht="12.75">
      <c r="B900" s="23"/>
      <c r="D900" s="23"/>
      <c r="E900" s="23"/>
    </row>
    <row r="901" spans="2:5" ht="12.75">
      <c r="B901" s="23"/>
      <c r="D901" s="23"/>
      <c r="E901" s="23"/>
    </row>
    <row r="902" spans="2:5" ht="12.75">
      <c r="B902" s="23"/>
      <c r="D902" s="23"/>
      <c r="E902" s="23"/>
    </row>
    <row r="903" spans="2:5" ht="12.75">
      <c r="B903" s="23"/>
      <c r="D903" s="23"/>
      <c r="E903" s="23"/>
    </row>
    <row r="904" spans="2:5" ht="12.75">
      <c r="B904" s="23"/>
      <c r="D904" s="23"/>
      <c r="E904" s="23"/>
    </row>
    <row r="905" spans="2:5" ht="12.75">
      <c r="B905" s="23"/>
      <c r="D905" s="23"/>
      <c r="E905" s="23"/>
    </row>
    <row r="906" spans="2:5" ht="12.75">
      <c r="B906" s="23"/>
      <c r="D906" s="23"/>
      <c r="E906" s="23"/>
    </row>
    <row r="907" spans="2:5" ht="12.75">
      <c r="B907" s="23"/>
      <c r="D907" s="23"/>
      <c r="E907" s="23"/>
    </row>
    <row r="908" spans="2:5" ht="12.75">
      <c r="B908" s="23"/>
      <c r="D908" s="23"/>
      <c r="E908" s="23"/>
    </row>
    <row r="909" spans="2:5" ht="12.75">
      <c r="B909" s="23"/>
      <c r="D909" s="23"/>
      <c r="E909" s="23"/>
    </row>
    <row r="910" spans="2:5" ht="12.75">
      <c r="B910" s="23"/>
      <c r="D910" s="23"/>
      <c r="E910" s="23"/>
    </row>
    <row r="911" spans="2:5" ht="12.75">
      <c r="B911" s="23"/>
      <c r="D911" s="23"/>
      <c r="E911" s="23"/>
    </row>
    <row r="912" spans="2:5" ht="12.75">
      <c r="B912" s="23"/>
      <c r="D912" s="23"/>
      <c r="E912" s="23"/>
    </row>
    <row r="913" spans="2:5" ht="12.75">
      <c r="B913" s="23"/>
      <c r="D913" s="23"/>
      <c r="E913" s="23"/>
    </row>
    <row r="914" spans="2:5" ht="12.75">
      <c r="B914" s="23"/>
      <c r="D914" s="23"/>
      <c r="E914" s="23"/>
    </row>
    <row r="915" spans="2:5" ht="12.75">
      <c r="B915" s="23"/>
      <c r="D915" s="23"/>
      <c r="E915" s="23"/>
    </row>
    <row r="916" spans="2:5" ht="12.75">
      <c r="B916" s="23"/>
      <c r="D916" s="23"/>
      <c r="E916" s="23"/>
    </row>
    <row r="917" spans="2:5" ht="12.75">
      <c r="B917" s="23"/>
      <c r="D917" s="23"/>
      <c r="E917" s="23"/>
    </row>
    <row r="918" spans="2:5" ht="12.75">
      <c r="B918" s="23"/>
      <c r="D918" s="23"/>
      <c r="E918" s="23"/>
    </row>
    <row r="919" spans="2:5" ht="12.75">
      <c r="B919" s="23"/>
      <c r="D919" s="23"/>
      <c r="E919" s="23"/>
    </row>
    <row r="920" spans="2:5" ht="12.75">
      <c r="B920" s="23"/>
      <c r="D920" s="23"/>
      <c r="E920" s="23"/>
    </row>
    <row r="921" spans="2:5" ht="12.75">
      <c r="B921" s="23"/>
      <c r="D921" s="23"/>
      <c r="E921" s="23"/>
    </row>
    <row r="922" spans="2:5" ht="12.75">
      <c r="B922" s="23"/>
      <c r="D922" s="23"/>
      <c r="E922" s="23"/>
    </row>
    <row r="923" spans="2:5" ht="12.75">
      <c r="B923" s="23"/>
      <c r="D923" s="23"/>
      <c r="E923" s="23"/>
    </row>
    <row r="924" spans="2:5" ht="12.75">
      <c r="B924" s="23"/>
      <c r="D924" s="23"/>
      <c r="E924" s="23"/>
    </row>
    <row r="925" spans="2:5" ht="12.75">
      <c r="B925" s="23"/>
      <c r="D925" s="23"/>
      <c r="E925" s="23"/>
    </row>
    <row r="926" spans="2:5" ht="12.75">
      <c r="B926" s="23"/>
      <c r="D926" s="23"/>
      <c r="E926" s="23"/>
    </row>
    <row r="927" spans="2:5" ht="12.75">
      <c r="B927" s="23"/>
      <c r="D927" s="23"/>
      <c r="E927" s="23"/>
    </row>
    <row r="928" spans="2:5" ht="12.75">
      <c r="B928" s="23"/>
      <c r="D928" s="23"/>
      <c r="E928" s="23"/>
    </row>
    <row r="929" spans="2:5" ht="12.75">
      <c r="B929" s="23"/>
      <c r="D929" s="23"/>
      <c r="E929" s="23"/>
    </row>
    <row r="930" spans="2:5" ht="12.75">
      <c r="B930" s="23"/>
      <c r="D930" s="23"/>
      <c r="E930" s="23"/>
    </row>
    <row r="931" spans="2:5" ht="12.75">
      <c r="B931" s="23"/>
      <c r="D931" s="23"/>
      <c r="E931" s="23"/>
    </row>
    <row r="932" spans="2:5" ht="12.75">
      <c r="B932" s="23"/>
      <c r="D932" s="23"/>
      <c r="E932" s="23"/>
    </row>
    <row r="933" spans="2:5" ht="12.75">
      <c r="B933" s="23"/>
      <c r="D933" s="23"/>
      <c r="E933" s="23"/>
    </row>
    <row r="934" spans="2:5" ht="12.75">
      <c r="B934" s="23"/>
      <c r="D934" s="23"/>
      <c r="E934" s="23"/>
    </row>
    <row r="935" spans="2:5" ht="12.75">
      <c r="B935" s="23"/>
      <c r="D935" s="23"/>
      <c r="E935" s="23"/>
    </row>
    <row r="936" spans="2:5" ht="12.75">
      <c r="B936" s="23"/>
      <c r="D936" s="23"/>
      <c r="E936" s="23"/>
    </row>
    <row r="937" spans="2:5" ht="12.75">
      <c r="B937" s="23"/>
      <c r="D937" s="23"/>
      <c r="E937" s="23"/>
    </row>
    <row r="938" spans="2:5" ht="12.75">
      <c r="B938" s="23"/>
      <c r="D938" s="23"/>
      <c r="E938" s="23"/>
    </row>
    <row r="939" spans="2:5" ht="12.75">
      <c r="B939" s="23"/>
      <c r="D939" s="23"/>
      <c r="E939" s="23"/>
    </row>
    <row r="940" spans="2:5" ht="12.75">
      <c r="B940" s="23"/>
      <c r="D940" s="23"/>
      <c r="E940" s="23"/>
    </row>
    <row r="941" spans="2:5" ht="12.75">
      <c r="B941" s="23"/>
      <c r="D941" s="23"/>
      <c r="E941" s="23"/>
    </row>
    <row r="942" spans="2:5" ht="12.75">
      <c r="B942" s="23"/>
      <c r="D942" s="23"/>
      <c r="E942" s="23"/>
    </row>
    <row r="943" spans="2:5" ht="12.75">
      <c r="B943" s="23"/>
      <c r="D943" s="23"/>
      <c r="E943" s="23"/>
    </row>
    <row r="944" spans="2:5" ht="12.75">
      <c r="B944" s="23"/>
      <c r="D944" s="23"/>
      <c r="E944" s="23"/>
    </row>
    <row r="945" spans="2:5" ht="12.75">
      <c r="B945" s="23"/>
      <c r="D945" s="23"/>
      <c r="E945" s="23"/>
    </row>
    <row r="946" spans="2:5" ht="12.75">
      <c r="B946" s="23"/>
      <c r="D946" s="23"/>
      <c r="E946" s="23"/>
    </row>
    <row r="947" spans="2:5" ht="12.75">
      <c r="B947" s="23"/>
      <c r="D947" s="23"/>
      <c r="E947" s="23"/>
    </row>
    <row r="948" spans="2:5" ht="12.75">
      <c r="B948" s="23"/>
      <c r="D948" s="23"/>
      <c r="E948" s="23"/>
    </row>
    <row r="949" spans="2:5" ht="12.75">
      <c r="B949" s="23"/>
      <c r="D949" s="23"/>
      <c r="E949" s="23"/>
    </row>
    <row r="950" spans="2:5" ht="12.75">
      <c r="B950" s="23"/>
      <c r="D950" s="23"/>
      <c r="E950" s="23"/>
    </row>
    <row r="951" spans="2:5" ht="12.75">
      <c r="B951" s="23"/>
      <c r="D951" s="23"/>
      <c r="E951" s="23"/>
    </row>
    <row r="952" spans="2:5" ht="12.75">
      <c r="B952" s="23"/>
      <c r="D952" s="23"/>
      <c r="E952" s="23"/>
    </row>
    <row r="953" spans="2:5" ht="12.75">
      <c r="B953" s="23"/>
      <c r="D953" s="23"/>
      <c r="E953" s="23"/>
    </row>
    <row r="954" spans="2:5" ht="12.75">
      <c r="B954" s="23"/>
      <c r="D954" s="23"/>
      <c r="E954" s="23"/>
    </row>
    <row r="955" spans="2:5" ht="12.75">
      <c r="B955" s="23"/>
      <c r="D955" s="23"/>
      <c r="E955" s="23"/>
    </row>
    <row r="956" spans="2:5" ht="12.75">
      <c r="B956" s="23"/>
      <c r="D956" s="23"/>
      <c r="E956" s="23"/>
    </row>
    <row r="957" spans="2:5" ht="12.75">
      <c r="B957" s="23"/>
      <c r="D957" s="23"/>
      <c r="E957" s="23"/>
    </row>
    <row r="958" spans="2:5" ht="12.75">
      <c r="B958" s="23"/>
      <c r="D958" s="23"/>
      <c r="E958" s="23"/>
    </row>
    <row r="959" spans="2:5" ht="12.75">
      <c r="B959" s="23"/>
      <c r="D959" s="23"/>
      <c r="E959" s="23"/>
    </row>
    <row r="960" spans="2:5" ht="12.75">
      <c r="B960" s="23"/>
      <c r="D960" s="23"/>
      <c r="E960" s="23"/>
    </row>
    <row r="961" spans="2:5" ht="12.75">
      <c r="B961" s="23"/>
      <c r="D961" s="23"/>
      <c r="E961" s="23"/>
    </row>
    <row r="962" spans="2:5" ht="12.75">
      <c r="B962" s="23"/>
      <c r="D962" s="23"/>
      <c r="E962" s="23"/>
    </row>
    <row r="963" spans="2:5" ht="12.75">
      <c r="B963" s="23"/>
      <c r="D963" s="23"/>
      <c r="E963" s="23"/>
    </row>
    <row r="964" spans="2:5" ht="12.75">
      <c r="B964" s="23"/>
      <c r="D964" s="23"/>
      <c r="E964" s="23"/>
    </row>
    <row r="965" spans="2:5" ht="12.75">
      <c r="B965" s="23"/>
      <c r="D965" s="23"/>
      <c r="E965" s="23"/>
    </row>
    <row r="966" spans="2:5" ht="12.75">
      <c r="B966" s="23"/>
      <c r="D966" s="23"/>
      <c r="E966" s="23"/>
    </row>
    <row r="967" spans="2:5" ht="12.75">
      <c r="B967" s="23"/>
      <c r="D967" s="23"/>
      <c r="E967" s="23"/>
    </row>
    <row r="968" spans="2:5" ht="12.75">
      <c r="B968" s="23"/>
      <c r="D968" s="23"/>
      <c r="E968" s="23"/>
    </row>
    <row r="969" spans="2:5" ht="12.75">
      <c r="B969" s="23"/>
      <c r="D969" s="23"/>
      <c r="E969" s="23"/>
    </row>
    <row r="970" spans="2:5" ht="12.75">
      <c r="B970" s="23"/>
      <c r="D970" s="23"/>
      <c r="E970" s="23"/>
    </row>
    <row r="971" spans="2:5" ht="12.75">
      <c r="B971" s="23"/>
      <c r="D971" s="23"/>
      <c r="E971" s="23"/>
    </row>
    <row r="972" spans="2:5" ht="12.75">
      <c r="B972" s="23"/>
      <c r="D972" s="23"/>
      <c r="E972" s="23"/>
    </row>
    <row r="973" spans="2:5" ht="12.75">
      <c r="B973" s="23"/>
      <c r="D973" s="23"/>
      <c r="E973" s="23"/>
    </row>
    <row r="974" spans="2:5" ht="12.75">
      <c r="B974" s="23"/>
      <c r="D974" s="23"/>
      <c r="E974" s="23"/>
    </row>
    <row r="975" spans="2:5" ht="12.75">
      <c r="B975" s="23"/>
      <c r="D975" s="23"/>
      <c r="E975" s="23"/>
    </row>
    <row r="976" spans="2:5" ht="12.75">
      <c r="B976" s="23"/>
      <c r="D976" s="23"/>
      <c r="E976" s="23"/>
    </row>
    <row r="977" spans="2:5" ht="12.75">
      <c r="B977" s="23"/>
      <c r="D977" s="23"/>
      <c r="E977" s="23"/>
    </row>
    <row r="978" spans="2:5" ht="12.75">
      <c r="B978" s="23"/>
      <c r="D978" s="23"/>
      <c r="E978" s="23"/>
    </row>
    <row r="979" spans="2:5" ht="12.75">
      <c r="B979" s="23"/>
      <c r="D979" s="23"/>
      <c r="E979" s="23"/>
    </row>
    <row r="980" spans="2:5" ht="12.75">
      <c r="B980" s="23"/>
      <c r="D980" s="23"/>
      <c r="E980" s="23"/>
    </row>
    <row r="981" spans="2:5" ht="12.75">
      <c r="B981" s="23"/>
      <c r="D981" s="23"/>
      <c r="E981" s="23"/>
    </row>
    <row r="982" spans="2:5" ht="12.75">
      <c r="B982" s="23"/>
      <c r="D982" s="23"/>
      <c r="E982" s="23"/>
    </row>
    <row r="983" spans="2:5" ht="12.75">
      <c r="B983" s="23"/>
      <c r="D983" s="23"/>
      <c r="E983" s="23"/>
    </row>
    <row r="984" spans="2:5" ht="12.75">
      <c r="B984" s="23"/>
      <c r="D984" s="23"/>
      <c r="E984" s="23"/>
    </row>
    <row r="985" spans="2:5" ht="12.75">
      <c r="B985" s="23"/>
      <c r="D985" s="23"/>
      <c r="E985" s="23"/>
    </row>
    <row r="986" spans="2:5" ht="12.75">
      <c r="B986" s="23"/>
      <c r="D986" s="23"/>
      <c r="E986" s="23"/>
    </row>
    <row r="987" spans="2:5" ht="12.75">
      <c r="B987" s="23"/>
      <c r="D987" s="23"/>
      <c r="E987" s="23"/>
    </row>
    <row r="988" spans="2:5" ht="12.75">
      <c r="B988" s="23"/>
      <c r="D988" s="23"/>
      <c r="E988" s="23"/>
    </row>
    <row r="989" spans="2:5" ht="12.75">
      <c r="B989" s="23"/>
      <c r="D989" s="23"/>
      <c r="E989" s="23"/>
    </row>
    <row r="990" spans="2:5" ht="12.75">
      <c r="B990" s="23"/>
      <c r="D990" s="23"/>
      <c r="E990" s="23"/>
    </row>
    <row r="991" spans="2:5" ht="12.75">
      <c r="B991" s="23"/>
      <c r="D991" s="23"/>
      <c r="E991" s="23"/>
    </row>
    <row r="992" spans="2:5" ht="12.75">
      <c r="B992" s="23"/>
      <c r="D992" s="23"/>
      <c r="E992" s="23"/>
    </row>
    <row r="993" spans="2:5" ht="12.75">
      <c r="B993" s="23"/>
      <c r="D993" s="23"/>
      <c r="E993" s="23"/>
    </row>
    <row r="994" spans="2:5" ht="12.75">
      <c r="B994" s="23"/>
      <c r="D994" s="23"/>
      <c r="E994" s="23"/>
    </row>
    <row r="995" spans="2:5" ht="12.75">
      <c r="B995" s="23"/>
      <c r="D995" s="23"/>
      <c r="E995" s="23"/>
    </row>
    <row r="996" spans="2:5" ht="12.75">
      <c r="B996" s="23"/>
      <c r="D996" s="23"/>
      <c r="E996" s="23"/>
    </row>
    <row r="997" spans="2:5" ht="12.75">
      <c r="B997" s="23"/>
      <c r="D997" s="23"/>
      <c r="E997" s="23"/>
    </row>
    <row r="998" spans="2:5" ht="12.75">
      <c r="B998" s="23"/>
      <c r="D998" s="23"/>
      <c r="E998" s="23"/>
    </row>
    <row r="999" spans="2:5" ht="12.75">
      <c r="B999" s="23"/>
      <c r="D999" s="23"/>
      <c r="E999" s="23"/>
    </row>
    <row r="1000" spans="2:5" ht="12.75">
      <c r="B1000" s="23"/>
      <c r="D1000" s="23"/>
      <c r="E1000" s="23"/>
    </row>
    <row r="1001" spans="2:5" ht="12.75">
      <c r="B1001" s="23"/>
      <c r="D1001" s="23"/>
      <c r="E1001" s="23"/>
    </row>
    <row r="1002" spans="2:5" ht="12.75">
      <c r="B1002" s="23"/>
      <c r="D1002" s="23"/>
      <c r="E1002" s="23"/>
    </row>
  </sheetData>
  <dataValidations count="1">
    <dataValidation type="custom" allowBlank="1" showDropDown="1" sqref="B4:B17 D4:E17" xr:uid="{00000000-0002-0000-0500-000000000000}">
      <formula1>AND(ISNUMBER(B4),(NOT(OR(NOT(ISERROR(DATEVALUE(B4))), AND(ISNUMBER(B4), LEFT(CELL("format", B4))="D")))))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0"/>
  <sheetViews>
    <sheetView workbookViewId="0"/>
  </sheetViews>
  <sheetFormatPr defaultColWidth="12.5703125" defaultRowHeight="15.75" customHeight="1"/>
  <cols>
    <col min="2" max="3" width="9.7109375" customWidth="1"/>
    <col min="4" max="4" width="10.7109375" customWidth="1"/>
    <col min="5" max="14" width="9.7109375" customWidth="1"/>
    <col min="15" max="15" width="10.5703125" customWidth="1"/>
  </cols>
  <sheetData>
    <row r="1" spans="1:15">
      <c r="A1" s="23"/>
      <c r="B1" s="23" t="str">
        <f>CONFIG!$A2</f>
        <v>ALICE</v>
      </c>
      <c r="C1" s="23" t="str">
        <f>CONFIG!$A3</f>
        <v>ANNE</v>
      </c>
      <c r="D1" s="23" t="str">
        <f>CONFIG!$A4</f>
        <v>CARLINHOS</v>
      </c>
      <c r="E1" s="23" t="str">
        <f>CONFIG!$A5</f>
        <v>DEDE</v>
      </c>
      <c r="F1" s="23" t="str">
        <f>CONFIG!$A6</f>
        <v>ERIKA</v>
      </c>
      <c r="G1" s="23" t="str">
        <f>CONFIG!$A7</f>
        <v>GUTO</v>
      </c>
      <c r="H1" s="23" t="str">
        <f>CONFIG!$A8</f>
        <v>HELENA</v>
      </c>
      <c r="I1" s="23" t="str">
        <f>CONFIG!$A9</f>
        <v>JULIA</v>
      </c>
      <c r="J1" s="23" t="str">
        <f>CONFIG!$A10</f>
        <v>KANOO</v>
      </c>
      <c r="K1" s="23" t="str">
        <f>CONFIG!$A11</f>
        <v>KATIA</v>
      </c>
      <c r="L1" s="23" t="str">
        <f>CONFIG!$A12</f>
        <v>RAFA</v>
      </c>
      <c r="M1" s="23" t="str">
        <f>CONFIG!$A13</f>
        <v>RAQUEL</v>
      </c>
      <c r="N1" s="23" t="str">
        <f>CONFIG!$A14</f>
        <v>RENATO</v>
      </c>
      <c r="O1" s="23" t="str">
        <f>CONFIG!$A15</f>
        <v>ZE</v>
      </c>
    </row>
    <row r="2" spans="1:15">
      <c r="A2" s="23">
        <v>1</v>
      </c>
      <c r="B2" s="23" t="e">
        <f>IF(CALENDARIO!$E2="", NA(), SUM(PALPITES!$K$2:$K2))</f>
        <v>#N/A</v>
      </c>
      <c r="C2" s="23" t="e">
        <f>IF(CALENDARIO!$E2="", NA(), SUM(PALPITES!$O$2:$O2))</f>
        <v>#N/A</v>
      </c>
      <c r="D2" s="23" t="e">
        <f>IF(CALENDARIO!$E2="", NA(), SUM(PALPITES!$S$2:$S2))</f>
        <v>#N/A</v>
      </c>
      <c r="E2" s="23" t="e">
        <f>IF(CALENDARIO!$E2="", NA(), SUM(PALPITES!$W$2:$W2))</f>
        <v>#N/A</v>
      </c>
      <c r="F2" s="23" t="e">
        <f>IF(CALENDARIO!$E2="", NA(), SUM(PALPITES!$AA$2:$AA2))</f>
        <v>#N/A</v>
      </c>
      <c r="G2" s="23" t="e">
        <f>IF(CALENDARIO!$E2="", NA(), SUM(PALPITES!$AE$2:$AE2))</f>
        <v>#N/A</v>
      </c>
      <c r="H2" s="23" t="e">
        <f>IF(CALENDARIO!$E2="", NA(), SUM(PALPITES!$AI$2:$AI2))</f>
        <v>#N/A</v>
      </c>
      <c r="I2" s="23" t="e">
        <f>IF(CALENDARIO!$E2="", NA(), SUM(PALPITES!$AM$2:$AM2))</f>
        <v>#N/A</v>
      </c>
      <c r="J2" s="23" t="e">
        <f>IF(CALENDARIO!$E2="", NA(), SUM(PALPITES!$AQ$2:$AQ2))</f>
        <v>#N/A</v>
      </c>
      <c r="K2" s="23" t="e">
        <f>IF(CALENDARIO!$E2="", NA(), SUM(PALPITES!$AU$2:$AU2))</f>
        <v>#N/A</v>
      </c>
      <c r="L2" s="23" t="e">
        <f>IF(CALENDARIO!$E2="", NA(), SUM(PALPITES!$AY$2:$AY2))</f>
        <v>#N/A</v>
      </c>
      <c r="M2" s="23" t="e">
        <f>IF(CALENDARIO!$E2="", NA(), SUM(PALPITES!$BC$2:$BC2))</f>
        <v>#N/A</v>
      </c>
      <c r="N2" s="23" t="e">
        <f>IF(CALENDARIO!$E2="", NA(), SUM(PALPITES!$BG$2:$BG2))</f>
        <v>#N/A</v>
      </c>
      <c r="O2" s="23" t="e">
        <f>IF(CALENDARIO!$E2="", NA(), SUM(PALPITES!$BK$2:$BK2))</f>
        <v>#N/A</v>
      </c>
    </row>
    <row r="3" spans="1:15">
      <c r="A3" s="23">
        <v>2</v>
      </c>
      <c r="B3" s="23" t="e">
        <f>IF(CALENDARIO!$E3="", NA(), SUM(PALPITES!$K$2:$K3))</f>
        <v>#N/A</v>
      </c>
      <c r="C3" s="23" t="e">
        <f>IF(CALENDARIO!$E3="", NA(), SUM(PALPITES!$O$2:$O3))</f>
        <v>#N/A</v>
      </c>
      <c r="D3" s="23" t="e">
        <f>IF(CALENDARIO!$E3="", NA(), SUM(PALPITES!$S$2:$S3))</f>
        <v>#N/A</v>
      </c>
      <c r="E3" s="23" t="e">
        <f>IF(CALENDARIO!$E3="", NA(), SUM(PALPITES!$W$2:$W3))</f>
        <v>#N/A</v>
      </c>
      <c r="F3" s="23" t="e">
        <f>IF(CALENDARIO!$E3="", NA(), SUM(PALPITES!$AA$2:$AA3))</f>
        <v>#N/A</v>
      </c>
      <c r="G3" s="23" t="e">
        <f>IF(CALENDARIO!$E3="", NA(), SUM(PALPITES!$AE$2:$AE3))</f>
        <v>#N/A</v>
      </c>
      <c r="H3" s="23" t="e">
        <f>IF(CALENDARIO!$E3="", NA(), SUM(PALPITES!$AI$2:$AI3))</f>
        <v>#N/A</v>
      </c>
      <c r="I3" s="23" t="e">
        <f>IF(CALENDARIO!$E3="", NA(), SUM(PALPITES!$AM$2:$AM3))</f>
        <v>#N/A</v>
      </c>
      <c r="J3" s="23" t="e">
        <f>IF(CALENDARIO!$E3="", NA(), SUM(PALPITES!$AQ$2:$AQ3))</f>
        <v>#N/A</v>
      </c>
      <c r="K3" s="23" t="e">
        <f>IF(CALENDARIO!$E3="", NA(), SUM(PALPITES!$AU$2:$AU3))</f>
        <v>#N/A</v>
      </c>
      <c r="L3" s="23" t="e">
        <f>IF(CALENDARIO!$E3="", NA(), SUM(PALPITES!$AY$2:$AY3))</f>
        <v>#N/A</v>
      </c>
      <c r="M3" s="23" t="e">
        <f>IF(CALENDARIO!$E3="", NA(), SUM(PALPITES!$BC$2:$BC3))</f>
        <v>#N/A</v>
      </c>
      <c r="N3" s="23" t="e">
        <f>IF(CALENDARIO!$E3="", NA(), SUM(PALPITES!$BG$2:$BG3))</f>
        <v>#N/A</v>
      </c>
      <c r="O3" s="23" t="e">
        <f>IF(CALENDARIO!$E3="", NA(), SUM(PALPITES!$BK$2:$BK3))</f>
        <v>#N/A</v>
      </c>
    </row>
    <row r="4" spans="1:15">
      <c r="A4" s="23">
        <v>3</v>
      </c>
      <c r="B4" s="23" t="e">
        <f>IF(CALENDARIO!$E4="", NA(), SUM(PALPITES!$K$2:$K4))</f>
        <v>#N/A</v>
      </c>
      <c r="C4" s="23" t="e">
        <f>IF(CALENDARIO!$E4="", NA(), SUM(PALPITES!$O$2:$O4))</f>
        <v>#N/A</v>
      </c>
      <c r="D4" s="23" t="e">
        <f>IF(CALENDARIO!$E4="", NA(), SUM(PALPITES!$S$2:$S4))</f>
        <v>#N/A</v>
      </c>
      <c r="E4" s="23" t="e">
        <f>IF(CALENDARIO!$E4="", NA(), SUM(PALPITES!$W$2:$W4))</f>
        <v>#N/A</v>
      </c>
      <c r="F4" s="23" t="e">
        <f>IF(CALENDARIO!$E4="", NA(), SUM(PALPITES!$AA$2:$AA4))</f>
        <v>#N/A</v>
      </c>
      <c r="G4" s="23" t="e">
        <f>IF(CALENDARIO!$E4="", NA(), SUM(PALPITES!$AE$2:$AE4))</f>
        <v>#N/A</v>
      </c>
      <c r="H4" s="23" t="e">
        <f>IF(CALENDARIO!$E4="", NA(), SUM(PALPITES!$AI$2:$AI4))</f>
        <v>#N/A</v>
      </c>
      <c r="I4" s="23" t="e">
        <f>IF(CALENDARIO!$E4="", NA(), SUM(PALPITES!$AM$2:$AM4))</f>
        <v>#N/A</v>
      </c>
      <c r="J4" s="23" t="e">
        <f>IF(CALENDARIO!$E4="", NA(), SUM(PALPITES!$AQ$2:$AQ4))</f>
        <v>#N/A</v>
      </c>
      <c r="K4" s="23" t="e">
        <f>IF(CALENDARIO!$E4="", NA(), SUM(PALPITES!$AU$2:$AU4))</f>
        <v>#N/A</v>
      </c>
      <c r="L4" s="23" t="e">
        <f>IF(CALENDARIO!$E4="", NA(), SUM(PALPITES!$AY$2:$AY4))</f>
        <v>#N/A</v>
      </c>
      <c r="M4" s="23" t="e">
        <f>IF(CALENDARIO!$E4="", NA(), SUM(PALPITES!$BC$2:$BC4))</f>
        <v>#N/A</v>
      </c>
      <c r="N4" s="23" t="e">
        <f>IF(CALENDARIO!$E4="", NA(), SUM(PALPITES!$BG$2:$BG4))</f>
        <v>#N/A</v>
      </c>
      <c r="O4" s="23" t="e">
        <f>IF(CALENDARIO!$E4="", NA(), SUM(PALPITES!$BK$2:$BK4))</f>
        <v>#N/A</v>
      </c>
    </row>
    <row r="5" spans="1:15">
      <c r="A5" s="23">
        <v>4</v>
      </c>
      <c r="B5" s="23" t="e">
        <f>IF(CALENDARIO!$E5="", NA(), SUM(PALPITES!$K$2:$K5))</f>
        <v>#N/A</v>
      </c>
      <c r="C5" s="23" t="e">
        <f>IF(CALENDARIO!$E5="", NA(), SUM(PALPITES!$O$2:$O5))</f>
        <v>#N/A</v>
      </c>
      <c r="D5" s="23" t="e">
        <f>IF(CALENDARIO!$E5="", NA(), SUM(PALPITES!$S$2:$S5))</f>
        <v>#N/A</v>
      </c>
      <c r="E5" s="23" t="e">
        <f>IF(CALENDARIO!$E5="", NA(), SUM(PALPITES!$W$2:$W5))</f>
        <v>#N/A</v>
      </c>
      <c r="F5" s="23" t="e">
        <f>IF(CALENDARIO!$E5="", NA(), SUM(PALPITES!$AA$2:$AA5))</f>
        <v>#N/A</v>
      </c>
      <c r="G5" s="23" t="e">
        <f>IF(CALENDARIO!$E5="", NA(), SUM(PALPITES!$AE$2:$AE5))</f>
        <v>#N/A</v>
      </c>
      <c r="H5" s="23" t="e">
        <f>IF(CALENDARIO!$E5="", NA(), SUM(PALPITES!$AI$2:$AI5))</f>
        <v>#N/A</v>
      </c>
      <c r="I5" s="23" t="e">
        <f>IF(CALENDARIO!$E5="", NA(), SUM(PALPITES!$AM$2:$AM5))</f>
        <v>#N/A</v>
      </c>
      <c r="J5" s="23" t="e">
        <f>IF(CALENDARIO!$E5="", NA(), SUM(PALPITES!$AQ$2:$AQ5))</f>
        <v>#N/A</v>
      </c>
      <c r="K5" s="23" t="e">
        <f>IF(CALENDARIO!$E5="", NA(), SUM(PALPITES!$AU$2:$AU5))</f>
        <v>#N/A</v>
      </c>
      <c r="L5" s="23" t="e">
        <f>IF(CALENDARIO!$E5="", NA(), SUM(PALPITES!$AY$2:$AY5))</f>
        <v>#N/A</v>
      </c>
      <c r="M5" s="23" t="e">
        <f>IF(CALENDARIO!$E5="", NA(), SUM(PALPITES!$BC$2:$BC5))</f>
        <v>#N/A</v>
      </c>
      <c r="N5" s="23" t="e">
        <f>IF(CALENDARIO!$E5="", NA(), SUM(PALPITES!$BG$2:$BG5))</f>
        <v>#N/A</v>
      </c>
      <c r="O5" s="23" t="e">
        <f>IF(CALENDARIO!$E5="", NA(), SUM(PALPITES!$BK$2:$BK5))</f>
        <v>#N/A</v>
      </c>
    </row>
    <row r="6" spans="1:15">
      <c r="A6" s="23">
        <v>5</v>
      </c>
      <c r="B6" s="23" t="e">
        <f>IF(CALENDARIO!$E6="", NA(), SUM(PALPITES!$K$2:$K6))</f>
        <v>#N/A</v>
      </c>
      <c r="C6" s="23" t="e">
        <f>IF(CALENDARIO!$E6="", NA(), SUM(PALPITES!$O$2:$O6))</f>
        <v>#N/A</v>
      </c>
      <c r="D6" s="23" t="e">
        <f>IF(CALENDARIO!$E6="", NA(), SUM(PALPITES!$S$2:$S6))</f>
        <v>#N/A</v>
      </c>
      <c r="E6" s="23" t="e">
        <f>IF(CALENDARIO!$E6="", NA(), SUM(PALPITES!$W$2:$W6))</f>
        <v>#N/A</v>
      </c>
      <c r="F6" s="23" t="e">
        <f>IF(CALENDARIO!$E6="", NA(), SUM(PALPITES!$AA$2:$AA6))</f>
        <v>#N/A</v>
      </c>
      <c r="G6" s="23" t="e">
        <f>IF(CALENDARIO!$E6="", NA(), SUM(PALPITES!$AE$2:$AE6))</f>
        <v>#N/A</v>
      </c>
      <c r="H6" s="23" t="e">
        <f>IF(CALENDARIO!$E6="", NA(), SUM(PALPITES!$AI$2:$AI6))</f>
        <v>#N/A</v>
      </c>
      <c r="I6" s="23" t="e">
        <f>IF(CALENDARIO!$E6="", NA(), SUM(PALPITES!$AM$2:$AM6))</f>
        <v>#N/A</v>
      </c>
      <c r="J6" s="23" t="e">
        <f>IF(CALENDARIO!$E6="", NA(), SUM(PALPITES!$AQ$2:$AQ6))</f>
        <v>#N/A</v>
      </c>
      <c r="K6" s="23" t="e">
        <f>IF(CALENDARIO!$E6="", NA(), SUM(PALPITES!$AU$2:$AU6))</f>
        <v>#N/A</v>
      </c>
      <c r="L6" s="23" t="e">
        <f>IF(CALENDARIO!$E6="", NA(), SUM(PALPITES!$AY$2:$AY6))</f>
        <v>#N/A</v>
      </c>
      <c r="M6" s="23" t="e">
        <f>IF(CALENDARIO!$E6="", NA(), SUM(PALPITES!$BC$2:$BC6))</f>
        <v>#N/A</v>
      </c>
      <c r="N6" s="23" t="e">
        <f>IF(CALENDARIO!$E6="", NA(), SUM(PALPITES!$BG$2:$BG6))</f>
        <v>#N/A</v>
      </c>
      <c r="O6" s="23" t="e">
        <f>IF(CALENDARIO!$E6="", NA(), SUM(PALPITES!$BK$2:$BK6))</f>
        <v>#N/A</v>
      </c>
    </row>
    <row r="7" spans="1:15">
      <c r="A7" s="23">
        <v>6</v>
      </c>
      <c r="B7" s="23" t="e">
        <f>IF(CALENDARIO!$E7="", NA(), SUM(PALPITES!$K$2:$K7))</f>
        <v>#N/A</v>
      </c>
      <c r="C7" s="23" t="e">
        <f>IF(CALENDARIO!$E7="", NA(), SUM(PALPITES!$O$2:$O7))</f>
        <v>#N/A</v>
      </c>
      <c r="D7" s="23" t="e">
        <f>IF(CALENDARIO!$E7="", NA(), SUM(PALPITES!$S$2:$S7))</f>
        <v>#N/A</v>
      </c>
      <c r="E7" s="23" t="e">
        <f>IF(CALENDARIO!$E7="", NA(), SUM(PALPITES!$W$2:$W7))</f>
        <v>#N/A</v>
      </c>
      <c r="F7" s="23" t="e">
        <f>IF(CALENDARIO!$E7="", NA(), SUM(PALPITES!$AA$2:$AA7))</f>
        <v>#N/A</v>
      </c>
      <c r="G7" s="23" t="e">
        <f>IF(CALENDARIO!$E7="", NA(), SUM(PALPITES!$AE$2:$AE7))</f>
        <v>#N/A</v>
      </c>
      <c r="H7" s="23" t="e">
        <f>IF(CALENDARIO!$E7="", NA(), SUM(PALPITES!$AI$2:$AI7))</f>
        <v>#N/A</v>
      </c>
      <c r="I7" s="23" t="e">
        <f>IF(CALENDARIO!$E7="", NA(), SUM(PALPITES!$AM$2:$AM7))</f>
        <v>#N/A</v>
      </c>
      <c r="J7" s="23" t="e">
        <f>IF(CALENDARIO!$E7="", NA(), SUM(PALPITES!$AQ$2:$AQ7))</f>
        <v>#N/A</v>
      </c>
      <c r="K7" s="23" t="e">
        <f>IF(CALENDARIO!$E7="", NA(), SUM(PALPITES!$AU$2:$AU7))</f>
        <v>#N/A</v>
      </c>
      <c r="L7" s="23" t="e">
        <f>IF(CALENDARIO!$E7="", NA(), SUM(PALPITES!$AY$2:$AY7))</f>
        <v>#N/A</v>
      </c>
      <c r="M7" s="23" t="e">
        <f>IF(CALENDARIO!$E7="", NA(), SUM(PALPITES!$BC$2:$BC7))</f>
        <v>#N/A</v>
      </c>
      <c r="N7" s="23" t="e">
        <f>IF(CALENDARIO!$E7="", NA(), SUM(PALPITES!$BG$2:$BG7))</f>
        <v>#N/A</v>
      </c>
      <c r="O7" s="23" t="e">
        <f>IF(CALENDARIO!$E7="", NA(), SUM(PALPITES!$BK$2:$BK7))</f>
        <v>#N/A</v>
      </c>
    </row>
    <row r="8" spans="1:15">
      <c r="A8" s="23">
        <v>7</v>
      </c>
      <c r="B8" s="23" t="e">
        <f>IF(CALENDARIO!$E8="", NA(), SUM(PALPITES!$K$2:$K8))</f>
        <v>#N/A</v>
      </c>
      <c r="C8" s="23" t="e">
        <f>IF(CALENDARIO!$E8="", NA(), SUM(PALPITES!$O$2:$O8))</f>
        <v>#N/A</v>
      </c>
      <c r="D8" s="23" t="e">
        <f>IF(CALENDARIO!$E8="", NA(), SUM(PALPITES!$S$2:$S8))</f>
        <v>#N/A</v>
      </c>
      <c r="E8" s="23" t="e">
        <f>IF(CALENDARIO!$E8="", NA(), SUM(PALPITES!$W$2:$W8))</f>
        <v>#N/A</v>
      </c>
      <c r="F8" s="23" t="e">
        <f>IF(CALENDARIO!$E8="", NA(), SUM(PALPITES!$AA$2:$AA8))</f>
        <v>#N/A</v>
      </c>
      <c r="G8" s="23" t="e">
        <f>IF(CALENDARIO!$E8="", NA(), SUM(PALPITES!$AE$2:$AE8))</f>
        <v>#N/A</v>
      </c>
      <c r="H8" s="23" t="e">
        <f>IF(CALENDARIO!$E8="", NA(), SUM(PALPITES!$AI$2:$AI8))</f>
        <v>#N/A</v>
      </c>
      <c r="I8" s="23" t="e">
        <f>IF(CALENDARIO!$E8="", NA(), SUM(PALPITES!$AM$2:$AM8))</f>
        <v>#N/A</v>
      </c>
      <c r="J8" s="23" t="e">
        <f>IF(CALENDARIO!$E8="", NA(), SUM(PALPITES!$AQ$2:$AQ8))</f>
        <v>#N/A</v>
      </c>
      <c r="K8" s="23" t="e">
        <f>IF(CALENDARIO!$E8="", NA(), SUM(PALPITES!$AU$2:$AU8))</f>
        <v>#N/A</v>
      </c>
      <c r="L8" s="23" t="e">
        <f>IF(CALENDARIO!$E8="", NA(), SUM(PALPITES!$AY$2:$AY8))</f>
        <v>#N/A</v>
      </c>
      <c r="M8" s="23" t="e">
        <f>IF(CALENDARIO!$E8="", NA(), SUM(PALPITES!$BC$2:$BC8))</f>
        <v>#N/A</v>
      </c>
      <c r="N8" s="23" t="e">
        <f>IF(CALENDARIO!$E8="", NA(), SUM(PALPITES!$BG$2:$BG8))</f>
        <v>#N/A</v>
      </c>
      <c r="O8" s="23" t="e">
        <f>IF(CALENDARIO!$E8="", NA(), SUM(PALPITES!$BK$2:$BK8))</f>
        <v>#N/A</v>
      </c>
    </row>
    <row r="9" spans="1:15">
      <c r="A9" s="23">
        <v>8</v>
      </c>
      <c r="B9" s="23" t="e">
        <f>IF(CALENDARIO!$E9="", NA(), SUM(PALPITES!$K$2:$K9))</f>
        <v>#N/A</v>
      </c>
      <c r="C9" s="23" t="e">
        <f>IF(CALENDARIO!$E9="", NA(), SUM(PALPITES!$O$2:$O9))</f>
        <v>#N/A</v>
      </c>
      <c r="D9" s="23" t="e">
        <f>IF(CALENDARIO!$E9="", NA(), SUM(PALPITES!$S$2:$S9))</f>
        <v>#N/A</v>
      </c>
      <c r="E9" s="23" t="e">
        <f>IF(CALENDARIO!$E9="", NA(), SUM(PALPITES!$W$2:$W9))</f>
        <v>#N/A</v>
      </c>
      <c r="F9" s="23" t="e">
        <f>IF(CALENDARIO!$E9="", NA(), SUM(PALPITES!$AA$2:$AA9))</f>
        <v>#N/A</v>
      </c>
      <c r="G9" s="23" t="e">
        <f>IF(CALENDARIO!$E9="", NA(), SUM(PALPITES!$AE$2:$AE9))</f>
        <v>#N/A</v>
      </c>
      <c r="H9" s="23" t="e">
        <f>IF(CALENDARIO!$E9="", NA(), SUM(PALPITES!$AI$2:$AI9))</f>
        <v>#N/A</v>
      </c>
      <c r="I9" s="23" t="e">
        <f>IF(CALENDARIO!$E9="", NA(), SUM(PALPITES!$AM$2:$AM9))</f>
        <v>#N/A</v>
      </c>
      <c r="J9" s="23" t="e">
        <f>IF(CALENDARIO!$E9="", NA(), SUM(PALPITES!$AQ$2:$AQ9))</f>
        <v>#N/A</v>
      </c>
      <c r="K9" s="23" t="e">
        <f>IF(CALENDARIO!$E9="", NA(), SUM(PALPITES!$AU$2:$AU9))</f>
        <v>#N/A</v>
      </c>
      <c r="L9" s="23" t="e">
        <f>IF(CALENDARIO!$E9="", NA(), SUM(PALPITES!$AY$2:$AY9))</f>
        <v>#N/A</v>
      </c>
      <c r="M9" s="23" t="e">
        <f>IF(CALENDARIO!$E9="", NA(), SUM(PALPITES!$BC$2:$BC9))</f>
        <v>#N/A</v>
      </c>
      <c r="N9" s="23" t="e">
        <f>IF(CALENDARIO!$E9="", NA(), SUM(PALPITES!$BG$2:$BG9))</f>
        <v>#N/A</v>
      </c>
      <c r="O9" s="23" t="e">
        <f>IF(CALENDARIO!$E9="", NA(), SUM(PALPITES!$BK$2:$BK9))</f>
        <v>#N/A</v>
      </c>
    </row>
    <row r="10" spans="1:15">
      <c r="A10" s="23">
        <v>9</v>
      </c>
      <c r="B10" s="23" t="e">
        <f>IF(CALENDARIO!$E10="", NA(), SUM(PALPITES!$K$2:$K10))</f>
        <v>#N/A</v>
      </c>
      <c r="C10" s="23" t="e">
        <f>IF(CALENDARIO!$E10="", NA(), SUM(PALPITES!$O$2:$O10))</f>
        <v>#N/A</v>
      </c>
      <c r="D10" s="23" t="e">
        <f>IF(CALENDARIO!$E10="", NA(), SUM(PALPITES!$S$2:$S10))</f>
        <v>#N/A</v>
      </c>
      <c r="E10" s="23" t="e">
        <f>IF(CALENDARIO!$E10="", NA(), SUM(PALPITES!$W$2:$W10))</f>
        <v>#N/A</v>
      </c>
      <c r="F10" s="23" t="e">
        <f>IF(CALENDARIO!$E10="", NA(), SUM(PALPITES!$AA$2:$AA10))</f>
        <v>#N/A</v>
      </c>
      <c r="G10" s="23" t="e">
        <f>IF(CALENDARIO!$E10="", NA(), SUM(PALPITES!$AE$2:$AE10))</f>
        <v>#N/A</v>
      </c>
      <c r="H10" s="23" t="e">
        <f>IF(CALENDARIO!$E10="", NA(), SUM(PALPITES!$AI$2:$AI10))</f>
        <v>#N/A</v>
      </c>
      <c r="I10" s="23" t="e">
        <f>IF(CALENDARIO!$E10="", NA(), SUM(PALPITES!$AM$2:$AM10))</f>
        <v>#N/A</v>
      </c>
      <c r="J10" s="23" t="e">
        <f>IF(CALENDARIO!$E10="", NA(), SUM(PALPITES!$AQ$2:$AQ10))</f>
        <v>#N/A</v>
      </c>
      <c r="K10" s="23" t="e">
        <f>IF(CALENDARIO!$E10="", NA(), SUM(PALPITES!$AU$2:$AU10))</f>
        <v>#N/A</v>
      </c>
      <c r="L10" s="23" t="e">
        <f>IF(CALENDARIO!$E10="", NA(), SUM(PALPITES!$AY$2:$AY10))</f>
        <v>#N/A</v>
      </c>
      <c r="M10" s="23" t="e">
        <f>IF(CALENDARIO!$E10="", NA(), SUM(PALPITES!$BC$2:$BC10))</f>
        <v>#N/A</v>
      </c>
      <c r="N10" s="23" t="e">
        <f>IF(CALENDARIO!$E10="", NA(), SUM(PALPITES!$BG$2:$BG10))</f>
        <v>#N/A</v>
      </c>
      <c r="O10" s="23" t="e">
        <f>IF(CALENDARIO!$E10="", NA(), SUM(PALPITES!$BK$2:$BK10))</f>
        <v>#N/A</v>
      </c>
    </row>
    <row r="11" spans="1:15">
      <c r="A11" s="23">
        <v>10</v>
      </c>
      <c r="B11" s="23" t="e">
        <f>IF(CALENDARIO!$E11="", NA(), SUM(PALPITES!$K$2:$K11))</f>
        <v>#N/A</v>
      </c>
      <c r="C11" s="23" t="e">
        <f>IF(CALENDARIO!$E11="", NA(), SUM(PALPITES!$O$2:$O11))</f>
        <v>#N/A</v>
      </c>
      <c r="D11" s="23" t="e">
        <f>IF(CALENDARIO!$E11="", NA(), SUM(PALPITES!$S$2:$S11))</f>
        <v>#N/A</v>
      </c>
      <c r="E11" s="23" t="e">
        <f>IF(CALENDARIO!$E11="", NA(), SUM(PALPITES!$W$2:$W11))</f>
        <v>#N/A</v>
      </c>
      <c r="F11" s="23" t="e">
        <f>IF(CALENDARIO!$E11="", NA(), SUM(PALPITES!$AA$2:$AA11))</f>
        <v>#N/A</v>
      </c>
      <c r="G11" s="23" t="e">
        <f>IF(CALENDARIO!$E11="", NA(), SUM(PALPITES!$AE$2:$AE11))</f>
        <v>#N/A</v>
      </c>
      <c r="H11" s="23" t="e">
        <f>IF(CALENDARIO!$E11="", NA(), SUM(PALPITES!$AI$2:$AI11))</f>
        <v>#N/A</v>
      </c>
      <c r="I11" s="23" t="e">
        <f>IF(CALENDARIO!$E11="", NA(), SUM(PALPITES!$AM$2:$AM11))</f>
        <v>#N/A</v>
      </c>
      <c r="J11" s="23" t="e">
        <f>IF(CALENDARIO!$E11="", NA(), SUM(PALPITES!$AQ$2:$AQ11))</f>
        <v>#N/A</v>
      </c>
      <c r="K11" s="23" t="e">
        <f>IF(CALENDARIO!$E11="", NA(), SUM(PALPITES!$AU$2:$AU11))</f>
        <v>#N/A</v>
      </c>
      <c r="L11" s="23" t="e">
        <f>IF(CALENDARIO!$E11="", NA(), SUM(PALPITES!$AY$2:$AY11))</f>
        <v>#N/A</v>
      </c>
      <c r="M11" s="23" t="e">
        <f>IF(CALENDARIO!$E11="", NA(), SUM(PALPITES!$BC$2:$BC11))</f>
        <v>#N/A</v>
      </c>
      <c r="N11" s="23" t="e">
        <f>IF(CALENDARIO!$E11="", NA(), SUM(PALPITES!$BG$2:$BG11))</f>
        <v>#N/A</v>
      </c>
      <c r="O11" s="23" t="e">
        <f>IF(CALENDARIO!$E11="", NA(), SUM(PALPITES!$BK$2:$BK11))</f>
        <v>#N/A</v>
      </c>
    </row>
    <row r="12" spans="1:15">
      <c r="A12" s="23">
        <v>11</v>
      </c>
      <c r="B12" s="23" t="e">
        <f>IF(CALENDARIO!$E12="", NA(), SUM(PALPITES!$K$2:$K12))</f>
        <v>#N/A</v>
      </c>
      <c r="C12" s="23" t="e">
        <f>IF(CALENDARIO!$E12="", NA(), SUM(PALPITES!$O$2:$O12))</f>
        <v>#N/A</v>
      </c>
      <c r="D12" s="23" t="e">
        <f>IF(CALENDARIO!$E12="", NA(), SUM(PALPITES!$S$2:$S12))</f>
        <v>#N/A</v>
      </c>
      <c r="E12" s="23" t="e">
        <f>IF(CALENDARIO!$E12="", NA(), SUM(PALPITES!$W$2:$W12))</f>
        <v>#N/A</v>
      </c>
      <c r="F12" s="23" t="e">
        <f>IF(CALENDARIO!$E12="", NA(), SUM(PALPITES!$AA$2:$AA12))</f>
        <v>#N/A</v>
      </c>
      <c r="G12" s="23" t="e">
        <f>IF(CALENDARIO!$E12="", NA(), SUM(PALPITES!$AE$2:$AE12))</f>
        <v>#N/A</v>
      </c>
      <c r="H12" s="23" t="e">
        <f>IF(CALENDARIO!$E12="", NA(), SUM(PALPITES!$AI$2:$AI12))</f>
        <v>#N/A</v>
      </c>
      <c r="I12" s="23" t="e">
        <f>IF(CALENDARIO!$E12="", NA(), SUM(PALPITES!$AM$2:$AM12))</f>
        <v>#N/A</v>
      </c>
      <c r="J12" s="23" t="e">
        <f>IF(CALENDARIO!$E12="", NA(), SUM(PALPITES!$AQ$2:$AQ12))</f>
        <v>#N/A</v>
      </c>
      <c r="K12" s="23" t="e">
        <f>IF(CALENDARIO!$E12="", NA(), SUM(PALPITES!$AU$2:$AU12))</f>
        <v>#N/A</v>
      </c>
      <c r="L12" s="23" t="e">
        <f>IF(CALENDARIO!$E12="", NA(), SUM(PALPITES!$AY$2:$AY12))</f>
        <v>#N/A</v>
      </c>
      <c r="M12" s="23" t="e">
        <f>IF(CALENDARIO!$E12="", NA(), SUM(PALPITES!$BC$2:$BC12))</f>
        <v>#N/A</v>
      </c>
      <c r="N12" s="23" t="e">
        <f>IF(CALENDARIO!$E12="", NA(), SUM(PALPITES!$BG$2:$BG12))</f>
        <v>#N/A</v>
      </c>
      <c r="O12" s="23" t="e">
        <f>IF(CALENDARIO!$E12="", NA(), SUM(PALPITES!$BK$2:$BK12))</f>
        <v>#N/A</v>
      </c>
    </row>
    <row r="13" spans="1:15">
      <c r="A13" s="23">
        <v>12</v>
      </c>
      <c r="B13" s="23" t="e">
        <f>IF(CALENDARIO!$E13="", NA(), SUM(PALPITES!$K$2:$K13))</f>
        <v>#N/A</v>
      </c>
      <c r="C13" s="23" t="e">
        <f>IF(CALENDARIO!$E13="", NA(), SUM(PALPITES!$O$2:$O13))</f>
        <v>#N/A</v>
      </c>
      <c r="D13" s="23" t="e">
        <f>IF(CALENDARIO!$E13="", NA(), SUM(PALPITES!$S$2:$S13))</f>
        <v>#N/A</v>
      </c>
      <c r="E13" s="23" t="e">
        <f>IF(CALENDARIO!$E13="", NA(), SUM(PALPITES!$W$2:$W13))</f>
        <v>#N/A</v>
      </c>
      <c r="F13" s="23" t="e">
        <f>IF(CALENDARIO!$E13="", NA(), SUM(PALPITES!$AA$2:$AA13))</f>
        <v>#N/A</v>
      </c>
      <c r="G13" s="23" t="e">
        <f>IF(CALENDARIO!$E13="", NA(), SUM(PALPITES!$AE$2:$AE13))</f>
        <v>#N/A</v>
      </c>
      <c r="H13" s="23" t="e">
        <f>IF(CALENDARIO!$E13="", NA(), SUM(PALPITES!$AI$2:$AI13))</f>
        <v>#N/A</v>
      </c>
      <c r="I13" s="23" t="e">
        <f>IF(CALENDARIO!$E13="", NA(), SUM(PALPITES!$AM$2:$AM13))</f>
        <v>#N/A</v>
      </c>
      <c r="J13" s="23" t="e">
        <f>IF(CALENDARIO!$E13="", NA(), SUM(PALPITES!$AQ$2:$AQ13))</f>
        <v>#N/A</v>
      </c>
      <c r="K13" s="23" t="e">
        <f>IF(CALENDARIO!$E13="", NA(), SUM(PALPITES!$AU$2:$AU13))</f>
        <v>#N/A</v>
      </c>
      <c r="L13" s="23" t="e">
        <f>IF(CALENDARIO!$E13="", NA(), SUM(PALPITES!$AY$2:$AY13))</f>
        <v>#N/A</v>
      </c>
      <c r="M13" s="23" t="e">
        <f>IF(CALENDARIO!$E13="", NA(), SUM(PALPITES!$BC$2:$BC13))</f>
        <v>#N/A</v>
      </c>
      <c r="N13" s="23" t="e">
        <f>IF(CALENDARIO!$E13="", NA(), SUM(PALPITES!$BG$2:$BG13))</f>
        <v>#N/A</v>
      </c>
      <c r="O13" s="23" t="e">
        <f>IF(CALENDARIO!$E13="", NA(), SUM(PALPITES!$BK$2:$BK13))</f>
        <v>#N/A</v>
      </c>
    </row>
    <row r="14" spans="1:15">
      <c r="A14" s="23">
        <v>13</v>
      </c>
      <c r="B14" s="23" t="e">
        <f>IF(CALENDARIO!$E14="", NA(), SUM(PALPITES!$K$2:$K14))</f>
        <v>#N/A</v>
      </c>
      <c r="C14" s="23" t="e">
        <f>IF(CALENDARIO!$E14="", NA(), SUM(PALPITES!$O$2:$O14))</f>
        <v>#N/A</v>
      </c>
      <c r="D14" s="23" t="e">
        <f>IF(CALENDARIO!$E14="", NA(), SUM(PALPITES!$S$2:$S14))</f>
        <v>#N/A</v>
      </c>
      <c r="E14" s="23" t="e">
        <f>IF(CALENDARIO!$E14="", NA(), SUM(PALPITES!$W$2:$W14))</f>
        <v>#N/A</v>
      </c>
      <c r="F14" s="23" t="e">
        <f>IF(CALENDARIO!$E14="", NA(), SUM(PALPITES!$AA$2:$AA14))</f>
        <v>#N/A</v>
      </c>
      <c r="G14" s="23" t="e">
        <f>IF(CALENDARIO!$E14="", NA(), SUM(PALPITES!$AE$2:$AE14))</f>
        <v>#N/A</v>
      </c>
      <c r="H14" s="23" t="e">
        <f>IF(CALENDARIO!$E14="", NA(), SUM(PALPITES!$AI$2:$AI14))</f>
        <v>#N/A</v>
      </c>
      <c r="I14" s="23" t="e">
        <f>IF(CALENDARIO!$E14="", NA(), SUM(PALPITES!$AM$2:$AM14))</f>
        <v>#N/A</v>
      </c>
      <c r="J14" s="23" t="e">
        <f>IF(CALENDARIO!$E14="", NA(), SUM(PALPITES!$AQ$2:$AQ14))</f>
        <v>#N/A</v>
      </c>
      <c r="K14" s="23" t="e">
        <f>IF(CALENDARIO!$E14="", NA(), SUM(PALPITES!$AU$2:$AU14))</f>
        <v>#N/A</v>
      </c>
      <c r="L14" s="23" t="e">
        <f>IF(CALENDARIO!$E14="", NA(), SUM(PALPITES!$AY$2:$AY14))</f>
        <v>#N/A</v>
      </c>
      <c r="M14" s="23" t="e">
        <f>IF(CALENDARIO!$E14="", NA(), SUM(PALPITES!$BC$2:$BC14))</f>
        <v>#N/A</v>
      </c>
      <c r="N14" s="23" t="e">
        <f>IF(CALENDARIO!$E14="", NA(), SUM(PALPITES!$BG$2:$BG14))</f>
        <v>#N/A</v>
      </c>
      <c r="O14" s="23" t="e">
        <f>IF(CALENDARIO!$E14="", NA(), SUM(PALPITES!$BK$2:$BK14))</f>
        <v>#N/A</v>
      </c>
    </row>
    <row r="15" spans="1:15">
      <c r="A15" s="23">
        <v>14</v>
      </c>
      <c r="B15" s="23" t="e">
        <f>IF(CALENDARIO!$E15="", NA(), SUM(PALPITES!$K$2:$K15))</f>
        <v>#N/A</v>
      </c>
      <c r="C15" s="23" t="e">
        <f>IF(CALENDARIO!$E15="", NA(), SUM(PALPITES!$O$2:$O15))</f>
        <v>#N/A</v>
      </c>
      <c r="D15" s="23" t="e">
        <f>IF(CALENDARIO!$E15="", NA(), SUM(PALPITES!$S$2:$S15))</f>
        <v>#N/A</v>
      </c>
      <c r="E15" s="23" t="e">
        <f>IF(CALENDARIO!$E15="", NA(), SUM(PALPITES!$W$2:$W15))</f>
        <v>#N/A</v>
      </c>
      <c r="F15" s="23" t="e">
        <f>IF(CALENDARIO!$E15="", NA(), SUM(PALPITES!$AA$2:$AA15))</f>
        <v>#N/A</v>
      </c>
      <c r="G15" s="23" t="e">
        <f>IF(CALENDARIO!$E15="", NA(), SUM(PALPITES!$AE$2:$AE15))</f>
        <v>#N/A</v>
      </c>
      <c r="H15" s="23" t="e">
        <f>IF(CALENDARIO!$E15="", NA(), SUM(PALPITES!$AI$2:$AI15))</f>
        <v>#N/A</v>
      </c>
      <c r="I15" s="23" t="e">
        <f>IF(CALENDARIO!$E15="", NA(), SUM(PALPITES!$AM$2:$AM15))</f>
        <v>#N/A</v>
      </c>
      <c r="J15" s="23" t="e">
        <f>IF(CALENDARIO!$E15="", NA(), SUM(PALPITES!$AQ$2:$AQ15))</f>
        <v>#N/A</v>
      </c>
      <c r="K15" s="23" t="e">
        <f>IF(CALENDARIO!$E15="", NA(), SUM(PALPITES!$AU$2:$AU15))</f>
        <v>#N/A</v>
      </c>
      <c r="L15" s="23" t="e">
        <f>IF(CALENDARIO!$E15="", NA(), SUM(PALPITES!$AY$2:$AY15))</f>
        <v>#N/A</v>
      </c>
      <c r="M15" s="23" t="e">
        <f>IF(CALENDARIO!$E15="", NA(), SUM(PALPITES!$BC$2:$BC15))</f>
        <v>#N/A</v>
      </c>
      <c r="N15" s="23" t="e">
        <f>IF(CALENDARIO!$E15="", NA(), SUM(PALPITES!$BG$2:$BG15))</f>
        <v>#N/A</v>
      </c>
      <c r="O15" s="23" t="e">
        <f>IF(CALENDARIO!$E15="", NA(), SUM(PALPITES!$BK$2:$BK15))</f>
        <v>#N/A</v>
      </c>
    </row>
    <row r="16" spans="1:15">
      <c r="A16" s="23">
        <v>15</v>
      </c>
      <c r="B16" s="23" t="e">
        <f>IF(CALENDARIO!$E16="", NA(), SUM(PALPITES!$K$2:$K16))</f>
        <v>#N/A</v>
      </c>
      <c r="C16" s="23" t="e">
        <f>IF(CALENDARIO!$E16="", NA(), SUM(PALPITES!$O$2:$O16))</f>
        <v>#N/A</v>
      </c>
      <c r="D16" s="23" t="e">
        <f>IF(CALENDARIO!$E16="", NA(), SUM(PALPITES!$S$2:$S16))</f>
        <v>#N/A</v>
      </c>
      <c r="E16" s="23" t="e">
        <f>IF(CALENDARIO!$E16="", NA(), SUM(PALPITES!$W$2:$W16))</f>
        <v>#N/A</v>
      </c>
      <c r="F16" s="23" t="e">
        <f>IF(CALENDARIO!$E16="", NA(), SUM(PALPITES!$AA$2:$AA16))</f>
        <v>#N/A</v>
      </c>
      <c r="G16" s="23" t="e">
        <f>IF(CALENDARIO!$E16="", NA(), SUM(PALPITES!$AE$2:$AE16))</f>
        <v>#N/A</v>
      </c>
      <c r="H16" s="23" t="e">
        <f>IF(CALENDARIO!$E16="", NA(), SUM(PALPITES!$AI$2:$AI16))</f>
        <v>#N/A</v>
      </c>
      <c r="I16" s="23" t="e">
        <f>IF(CALENDARIO!$E16="", NA(), SUM(PALPITES!$AM$2:$AM16))</f>
        <v>#N/A</v>
      </c>
      <c r="J16" s="23" t="e">
        <f>IF(CALENDARIO!$E16="", NA(), SUM(PALPITES!$AQ$2:$AQ16))</f>
        <v>#N/A</v>
      </c>
      <c r="K16" s="23" t="e">
        <f>IF(CALENDARIO!$E16="", NA(), SUM(PALPITES!$AU$2:$AU16))</f>
        <v>#N/A</v>
      </c>
      <c r="L16" s="23" t="e">
        <f>IF(CALENDARIO!$E16="", NA(), SUM(PALPITES!$AY$2:$AY16))</f>
        <v>#N/A</v>
      </c>
      <c r="M16" s="23" t="e">
        <f>IF(CALENDARIO!$E16="", NA(), SUM(PALPITES!$BC$2:$BC16))</f>
        <v>#N/A</v>
      </c>
      <c r="N16" s="23" t="e">
        <f>IF(CALENDARIO!$E16="", NA(), SUM(PALPITES!$BG$2:$BG16))</f>
        <v>#N/A</v>
      </c>
      <c r="O16" s="23" t="e">
        <f>IF(CALENDARIO!$E16="", NA(), SUM(PALPITES!$BK$2:$BK16))</f>
        <v>#N/A</v>
      </c>
    </row>
    <row r="17" spans="1:15">
      <c r="A17" s="23">
        <v>16</v>
      </c>
      <c r="B17" s="23" t="e">
        <f>IF(CALENDARIO!$E17="", NA(), SUM(PALPITES!$K$2:$K17))</f>
        <v>#N/A</v>
      </c>
      <c r="C17" s="23" t="e">
        <f>IF(CALENDARIO!$E17="", NA(), SUM(PALPITES!$O$2:$O17))</f>
        <v>#N/A</v>
      </c>
      <c r="D17" s="23" t="e">
        <f>IF(CALENDARIO!$E17="", NA(), SUM(PALPITES!$S$2:$S17))</f>
        <v>#N/A</v>
      </c>
      <c r="E17" s="23" t="e">
        <f>IF(CALENDARIO!$E17="", NA(), SUM(PALPITES!$W$2:$W17))</f>
        <v>#N/A</v>
      </c>
      <c r="F17" s="23" t="e">
        <f>IF(CALENDARIO!$E17="", NA(), SUM(PALPITES!$AA$2:$AA17))</f>
        <v>#N/A</v>
      </c>
      <c r="G17" s="23" t="e">
        <f>IF(CALENDARIO!$E17="", NA(), SUM(PALPITES!$AE$2:$AE17))</f>
        <v>#N/A</v>
      </c>
      <c r="H17" s="23" t="e">
        <f>IF(CALENDARIO!$E17="", NA(), SUM(PALPITES!$AI$2:$AI17))</f>
        <v>#N/A</v>
      </c>
      <c r="I17" s="23" t="e">
        <f>IF(CALENDARIO!$E17="", NA(), SUM(PALPITES!$AM$2:$AM17))</f>
        <v>#N/A</v>
      </c>
      <c r="J17" s="23" t="e">
        <f>IF(CALENDARIO!$E17="", NA(), SUM(PALPITES!$AQ$2:$AQ17))</f>
        <v>#N/A</v>
      </c>
      <c r="K17" s="23" t="e">
        <f>IF(CALENDARIO!$E17="", NA(), SUM(PALPITES!$AU$2:$AU17))</f>
        <v>#N/A</v>
      </c>
      <c r="L17" s="23" t="e">
        <f>IF(CALENDARIO!$E17="", NA(), SUM(PALPITES!$AY$2:$AY17))</f>
        <v>#N/A</v>
      </c>
      <c r="M17" s="23" t="e">
        <f>IF(CALENDARIO!$E17="", NA(), SUM(PALPITES!$BC$2:$BC17))</f>
        <v>#N/A</v>
      </c>
      <c r="N17" s="23" t="e">
        <f>IF(CALENDARIO!$E17="", NA(), SUM(PALPITES!$BG$2:$BG17))</f>
        <v>#N/A</v>
      </c>
      <c r="O17" s="23" t="e">
        <f>IF(CALENDARIO!$E17="", NA(), SUM(PALPITES!$BK$2:$BK17))</f>
        <v>#N/A</v>
      </c>
    </row>
    <row r="18" spans="1:15">
      <c r="A18" s="23">
        <v>17</v>
      </c>
      <c r="B18" s="23" t="e">
        <f>IF(CALENDARIO!$E18="", NA(), SUM(PALPITES!$K$2:$K18))</f>
        <v>#N/A</v>
      </c>
      <c r="C18" s="23" t="e">
        <f>IF(CALENDARIO!$E18="", NA(), SUM(PALPITES!$O$2:$O18))</f>
        <v>#N/A</v>
      </c>
      <c r="D18" s="23" t="e">
        <f>IF(CALENDARIO!$E18="", NA(), SUM(PALPITES!$S$2:$S18))</f>
        <v>#N/A</v>
      </c>
      <c r="E18" s="23" t="e">
        <f>IF(CALENDARIO!$E18="", NA(), SUM(PALPITES!$W$2:$W18))</f>
        <v>#N/A</v>
      </c>
      <c r="F18" s="23" t="e">
        <f>IF(CALENDARIO!$E18="", NA(), SUM(PALPITES!$AA$2:$AA18))</f>
        <v>#N/A</v>
      </c>
      <c r="G18" s="23" t="e">
        <f>IF(CALENDARIO!$E18="", NA(), SUM(PALPITES!$AE$2:$AE18))</f>
        <v>#N/A</v>
      </c>
      <c r="H18" s="23" t="e">
        <f>IF(CALENDARIO!$E18="", NA(), SUM(PALPITES!$AI$2:$AI18))</f>
        <v>#N/A</v>
      </c>
      <c r="I18" s="23" t="e">
        <f>IF(CALENDARIO!$E18="", NA(), SUM(PALPITES!$AM$2:$AM18))</f>
        <v>#N/A</v>
      </c>
      <c r="J18" s="23" t="e">
        <f>IF(CALENDARIO!$E18="", NA(), SUM(PALPITES!$AQ$2:$AQ18))</f>
        <v>#N/A</v>
      </c>
      <c r="K18" s="23" t="e">
        <f>IF(CALENDARIO!$E18="", NA(), SUM(PALPITES!$AU$2:$AU18))</f>
        <v>#N/A</v>
      </c>
      <c r="L18" s="23" t="e">
        <f>IF(CALENDARIO!$E18="", NA(), SUM(PALPITES!$AY$2:$AY18))</f>
        <v>#N/A</v>
      </c>
      <c r="M18" s="23" t="e">
        <f>IF(CALENDARIO!$E18="", NA(), SUM(PALPITES!$BC$2:$BC18))</f>
        <v>#N/A</v>
      </c>
      <c r="N18" s="23" t="e">
        <f>IF(CALENDARIO!$E18="", NA(), SUM(PALPITES!$BG$2:$BG18))</f>
        <v>#N/A</v>
      </c>
      <c r="O18" s="23" t="e">
        <f>IF(CALENDARIO!$E18="", NA(), SUM(PALPITES!$BK$2:$BK18))</f>
        <v>#N/A</v>
      </c>
    </row>
    <row r="19" spans="1:15">
      <c r="A19" s="23">
        <v>18</v>
      </c>
      <c r="B19" s="23" t="e">
        <f>IF(CALENDARIO!$E19="", NA(), SUM(PALPITES!$K$2:$K19))</f>
        <v>#N/A</v>
      </c>
      <c r="C19" s="23" t="e">
        <f>IF(CALENDARIO!$E19="", NA(), SUM(PALPITES!$O$2:$O19))</f>
        <v>#N/A</v>
      </c>
      <c r="D19" s="23" t="e">
        <f>IF(CALENDARIO!$E19="", NA(), SUM(PALPITES!$S$2:$S19))</f>
        <v>#N/A</v>
      </c>
      <c r="E19" s="23" t="e">
        <f>IF(CALENDARIO!$E19="", NA(), SUM(PALPITES!$W$2:$W19))</f>
        <v>#N/A</v>
      </c>
      <c r="F19" s="23" t="e">
        <f>IF(CALENDARIO!$E19="", NA(), SUM(PALPITES!$AA$2:$AA19))</f>
        <v>#N/A</v>
      </c>
      <c r="G19" s="23" t="e">
        <f>IF(CALENDARIO!$E19="", NA(), SUM(PALPITES!$AE$2:$AE19))</f>
        <v>#N/A</v>
      </c>
      <c r="H19" s="23" t="e">
        <f>IF(CALENDARIO!$E19="", NA(), SUM(PALPITES!$AI$2:$AI19))</f>
        <v>#N/A</v>
      </c>
      <c r="I19" s="23" t="e">
        <f>IF(CALENDARIO!$E19="", NA(), SUM(PALPITES!$AM$2:$AM19))</f>
        <v>#N/A</v>
      </c>
      <c r="J19" s="23" t="e">
        <f>IF(CALENDARIO!$E19="", NA(), SUM(PALPITES!$AQ$2:$AQ19))</f>
        <v>#N/A</v>
      </c>
      <c r="K19" s="23" t="e">
        <f>IF(CALENDARIO!$E19="", NA(), SUM(PALPITES!$AU$2:$AU19))</f>
        <v>#N/A</v>
      </c>
      <c r="L19" s="23" t="e">
        <f>IF(CALENDARIO!$E19="", NA(), SUM(PALPITES!$AY$2:$AY19))</f>
        <v>#N/A</v>
      </c>
      <c r="M19" s="23" t="e">
        <f>IF(CALENDARIO!$E19="", NA(), SUM(PALPITES!$BC$2:$BC19))</f>
        <v>#N/A</v>
      </c>
      <c r="N19" s="23" t="e">
        <f>IF(CALENDARIO!$E19="", NA(), SUM(PALPITES!$BG$2:$BG19))</f>
        <v>#N/A</v>
      </c>
      <c r="O19" s="23" t="e">
        <f>IF(CALENDARIO!$E19="", NA(), SUM(PALPITES!$BK$2:$BK19))</f>
        <v>#N/A</v>
      </c>
    </row>
    <row r="20" spans="1:15">
      <c r="A20" s="23">
        <v>19</v>
      </c>
      <c r="B20" s="23" t="e">
        <f>IF(CALENDARIO!$E20="", NA(), SUM(PALPITES!$K$2:$K20))</f>
        <v>#N/A</v>
      </c>
      <c r="C20" s="23" t="e">
        <f>IF(CALENDARIO!$E20="", NA(), SUM(PALPITES!$O$2:$O20))</f>
        <v>#N/A</v>
      </c>
      <c r="D20" s="23" t="e">
        <f>IF(CALENDARIO!$E20="", NA(), SUM(PALPITES!$S$2:$S20))</f>
        <v>#N/A</v>
      </c>
      <c r="E20" s="23" t="e">
        <f>IF(CALENDARIO!$E20="", NA(), SUM(PALPITES!$W$2:$W20))</f>
        <v>#N/A</v>
      </c>
      <c r="F20" s="23" t="e">
        <f>IF(CALENDARIO!$E20="", NA(), SUM(PALPITES!$AA$2:$AA20))</f>
        <v>#N/A</v>
      </c>
      <c r="G20" s="23" t="e">
        <f>IF(CALENDARIO!$E20="", NA(), SUM(PALPITES!$AE$2:$AE20))</f>
        <v>#N/A</v>
      </c>
      <c r="H20" s="23" t="e">
        <f>IF(CALENDARIO!$E20="", NA(), SUM(PALPITES!$AI$2:$AI20))</f>
        <v>#N/A</v>
      </c>
      <c r="I20" s="23" t="e">
        <f>IF(CALENDARIO!$E20="", NA(), SUM(PALPITES!$AM$2:$AM20))</f>
        <v>#N/A</v>
      </c>
      <c r="J20" s="23" t="e">
        <f>IF(CALENDARIO!$E20="", NA(), SUM(PALPITES!$AQ$2:$AQ20))</f>
        <v>#N/A</v>
      </c>
      <c r="K20" s="23" t="e">
        <f>IF(CALENDARIO!$E20="", NA(), SUM(PALPITES!$AU$2:$AU20))</f>
        <v>#N/A</v>
      </c>
      <c r="L20" s="23" t="e">
        <f>IF(CALENDARIO!$E20="", NA(), SUM(PALPITES!$AY$2:$AY20))</f>
        <v>#N/A</v>
      </c>
      <c r="M20" s="23" t="e">
        <f>IF(CALENDARIO!$E20="", NA(), SUM(PALPITES!$BC$2:$BC20))</f>
        <v>#N/A</v>
      </c>
      <c r="N20" s="23" t="e">
        <f>IF(CALENDARIO!$E20="", NA(), SUM(PALPITES!$BG$2:$BG20))</f>
        <v>#N/A</v>
      </c>
      <c r="O20" s="23" t="e">
        <f>IF(CALENDARIO!$E20="", NA(), SUM(PALPITES!$BK$2:$BK20))</f>
        <v>#N/A</v>
      </c>
    </row>
    <row r="21" spans="1:15">
      <c r="A21" s="23">
        <v>20</v>
      </c>
      <c r="B21" s="23" t="e">
        <f>IF(CALENDARIO!$E21="", NA(), SUM(PALPITES!$K$2:$K21))</f>
        <v>#N/A</v>
      </c>
      <c r="C21" s="23" t="e">
        <f>IF(CALENDARIO!$E21="", NA(), SUM(PALPITES!$O$2:$O21))</f>
        <v>#N/A</v>
      </c>
      <c r="D21" s="23" t="e">
        <f>IF(CALENDARIO!$E21="", NA(), SUM(PALPITES!$S$2:$S21))</f>
        <v>#N/A</v>
      </c>
      <c r="E21" s="23" t="e">
        <f>IF(CALENDARIO!$E21="", NA(), SUM(PALPITES!$W$2:$W21))</f>
        <v>#N/A</v>
      </c>
      <c r="F21" s="23" t="e">
        <f>IF(CALENDARIO!$E21="", NA(), SUM(PALPITES!$AA$2:$AA21))</f>
        <v>#N/A</v>
      </c>
      <c r="G21" s="23" t="e">
        <f>IF(CALENDARIO!$E21="", NA(), SUM(PALPITES!$AE$2:$AE21))</f>
        <v>#N/A</v>
      </c>
      <c r="H21" s="23" t="e">
        <f>IF(CALENDARIO!$E21="", NA(), SUM(PALPITES!$AI$2:$AI21))</f>
        <v>#N/A</v>
      </c>
      <c r="I21" s="23" t="e">
        <f>IF(CALENDARIO!$E21="", NA(), SUM(PALPITES!$AM$2:$AM21))</f>
        <v>#N/A</v>
      </c>
      <c r="J21" s="23" t="e">
        <f>IF(CALENDARIO!$E21="", NA(), SUM(PALPITES!$AQ$2:$AQ21))</f>
        <v>#N/A</v>
      </c>
      <c r="K21" s="23" t="e">
        <f>IF(CALENDARIO!$E21="", NA(), SUM(PALPITES!$AU$2:$AU21))</f>
        <v>#N/A</v>
      </c>
      <c r="L21" s="23" t="e">
        <f>IF(CALENDARIO!$E21="", NA(), SUM(PALPITES!$AY$2:$AY21))</f>
        <v>#N/A</v>
      </c>
      <c r="M21" s="23" t="e">
        <f>IF(CALENDARIO!$E21="", NA(), SUM(PALPITES!$BC$2:$BC21))</f>
        <v>#N/A</v>
      </c>
      <c r="N21" s="23" t="e">
        <f>IF(CALENDARIO!$E21="", NA(), SUM(PALPITES!$BG$2:$BG21))</f>
        <v>#N/A</v>
      </c>
      <c r="O21" s="23" t="e">
        <f>IF(CALENDARIO!$E21="", NA(), SUM(PALPITES!$BK$2:$BK21))</f>
        <v>#N/A</v>
      </c>
    </row>
    <row r="22" spans="1:15">
      <c r="A22" s="23">
        <v>21</v>
      </c>
      <c r="B22" s="23" t="e">
        <f>IF(CALENDARIO!$E22="", NA(), SUM(PALPITES!$K$2:$K22))</f>
        <v>#N/A</v>
      </c>
      <c r="C22" s="23" t="e">
        <f>IF(CALENDARIO!$E22="", NA(), SUM(PALPITES!$O$2:$O22))</f>
        <v>#N/A</v>
      </c>
      <c r="D22" s="23" t="e">
        <f>IF(CALENDARIO!$E22="", NA(), SUM(PALPITES!$S$2:$S22))</f>
        <v>#N/A</v>
      </c>
      <c r="E22" s="23" t="e">
        <f>IF(CALENDARIO!$E22="", NA(), SUM(PALPITES!$W$2:$W22))</f>
        <v>#N/A</v>
      </c>
      <c r="F22" s="23" t="e">
        <f>IF(CALENDARIO!$E22="", NA(), SUM(PALPITES!$AA$2:$AA22))</f>
        <v>#N/A</v>
      </c>
      <c r="G22" s="23" t="e">
        <f>IF(CALENDARIO!$E22="", NA(), SUM(PALPITES!$AE$2:$AE22))</f>
        <v>#N/A</v>
      </c>
      <c r="H22" s="23" t="e">
        <f>IF(CALENDARIO!$E22="", NA(), SUM(PALPITES!$AI$2:$AI22))</f>
        <v>#N/A</v>
      </c>
      <c r="I22" s="23" t="e">
        <f>IF(CALENDARIO!$E22="", NA(), SUM(PALPITES!$AM$2:$AM22))</f>
        <v>#N/A</v>
      </c>
      <c r="J22" s="23" t="e">
        <f>IF(CALENDARIO!$E22="", NA(), SUM(PALPITES!$AQ$2:$AQ22))</f>
        <v>#N/A</v>
      </c>
      <c r="K22" s="23" t="e">
        <f>IF(CALENDARIO!$E22="", NA(), SUM(PALPITES!$AU$2:$AU22))</f>
        <v>#N/A</v>
      </c>
      <c r="L22" s="23" t="e">
        <f>IF(CALENDARIO!$E22="", NA(), SUM(PALPITES!$AY$2:$AY22))</f>
        <v>#N/A</v>
      </c>
      <c r="M22" s="23" t="e">
        <f>IF(CALENDARIO!$E22="", NA(), SUM(PALPITES!$BC$2:$BC22))</f>
        <v>#N/A</v>
      </c>
      <c r="N22" s="23" t="e">
        <f>IF(CALENDARIO!$E22="", NA(), SUM(PALPITES!$BG$2:$BG22))</f>
        <v>#N/A</v>
      </c>
      <c r="O22" s="23" t="e">
        <f>IF(CALENDARIO!$E22="", NA(), SUM(PALPITES!$BK$2:$BK22))</f>
        <v>#N/A</v>
      </c>
    </row>
    <row r="23" spans="1:15">
      <c r="A23" s="23">
        <v>22</v>
      </c>
      <c r="B23" s="23" t="e">
        <f>IF(CALENDARIO!$E23="", NA(), SUM(PALPITES!$K$2:$K23))</f>
        <v>#N/A</v>
      </c>
      <c r="C23" s="23" t="e">
        <f>IF(CALENDARIO!$E23="", NA(), SUM(PALPITES!$O$2:$O23))</f>
        <v>#N/A</v>
      </c>
      <c r="D23" s="23" t="e">
        <f>IF(CALENDARIO!$E23="", NA(), SUM(PALPITES!$S$2:$S23))</f>
        <v>#N/A</v>
      </c>
      <c r="E23" s="23" t="e">
        <f>IF(CALENDARIO!$E23="", NA(), SUM(PALPITES!$W$2:$W23))</f>
        <v>#N/A</v>
      </c>
      <c r="F23" s="23" t="e">
        <f>IF(CALENDARIO!$E23="", NA(), SUM(PALPITES!$AA$2:$AA23))</f>
        <v>#N/A</v>
      </c>
      <c r="G23" s="23" t="e">
        <f>IF(CALENDARIO!$E23="", NA(), SUM(PALPITES!$AE$2:$AE23))</f>
        <v>#N/A</v>
      </c>
      <c r="H23" s="23" t="e">
        <f>IF(CALENDARIO!$E23="", NA(), SUM(PALPITES!$AI$2:$AI23))</f>
        <v>#N/A</v>
      </c>
      <c r="I23" s="23" t="e">
        <f>IF(CALENDARIO!$E23="", NA(), SUM(PALPITES!$AM$2:$AM23))</f>
        <v>#N/A</v>
      </c>
      <c r="J23" s="23" t="e">
        <f>IF(CALENDARIO!$E23="", NA(), SUM(PALPITES!$AQ$2:$AQ23))</f>
        <v>#N/A</v>
      </c>
      <c r="K23" s="23" t="e">
        <f>IF(CALENDARIO!$E23="", NA(), SUM(PALPITES!$AU$2:$AU23))</f>
        <v>#N/A</v>
      </c>
      <c r="L23" s="23" t="e">
        <f>IF(CALENDARIO!$E23="", NA(), SUM(PALPITES!$AY$2:$AY23))</f>
        <v>#N/A</v>
      </c>
      <c r="M23" s="23" t="e">
        <f>IF(CALENDARIO!$E23="", NA(), SUM(PALPITES!$BC$2:$BC23))</f>
        <v>#N/A</v>
      </c>
      <c r="N23" s="23" t="e">
        <f>IF(CALENDARIO!$E23="", NA(), SUM(PALPITES!$BG$2:$BG23))</f>
        <v>#N/A</v>
      </c>
      <c r="O23" s="23" t="e">
        <f>IF(CALENDARIO!$E23="", NA(), SUM(PALPITES!$BK$2:$BK23))</f>
        <v>#N/A</v>
      </c>
    </row>
    <row r="24" spans="1:15">
      <c r="A24" s="23">
        <v>23</v>
      </c>
      <c r="B24" s="23" t="e">
        <f>IF(CALENDARIO!$E24="", NA(), SUM(PALPITES!$K$2:$K24))</f>
        <v>#N/A</v>
      </c>
      <c r="C24" s="23" t="e">
        <f>IF(CALENDARIO!$E24="", NA(), SUM(PALPITES!$O$2:$O24))</f>
        <v>#N/A</v>
      </c>
      <c r="D24" s="23" t="e">
        <f>IF(CALENDARIO!$E24="", NA(), SUM(PALPITES!$S$2:$S24))</f>
        <v>#N/A</v>
      </c>
      <c r="E24" s="23" t="e">
        <f>IF(CALENDARIO!$E24="", NA(), SUM(PALPITES!$W$2:$W24))</f>
        <v>#N/A</v>
      </c>
      <c r="F24" s="23" t="e">
        <f>IF(CALENDARIO!$E24="", NA(), SUM(PALPITES!$AA$2:$AA24))</f>
        <v>#N/A</v>
      </c>
      <c r="G24" s="23" t="e">
        <f>IF(CALENDARIO!$E24="", NA(), SUM(PALPITES!$AE$2:$AE24))</f>
        <v>#N/A</v>
      </c>
      <c r="H24" s="23" t="e">
        <f>IF(CALENDARIO!$E24="", NA(), SUM(PALPITES!$AI$2:$AI24))</f>
        <v>#N/A</v>
      </c>
      <c r="I24" s="23" t="e">
        <f>IF(CALENDARIO!$E24="", NA(), SUM(PALPITES!$AM$2:$AM24))</f>
        <v>#N/A</v>
      </c>
      <c r="J24" s="23" t="e">
        <f>IF(CALENDARIO!$E24="", NA(), SUM(PALPITES!$AQ$2:$AQ24))</f>
        <v>#N/A</v>
      </c>
      <c r="K24" s="23" t="e">
        <f>IF(CALENDARIO!$E24="", NA(), SUM(PALPITES!$AU$2:$AU24))</f>
        <v>#N/A</v>
      </c>
      <c r="L24" s="23" t="e">
        <f>IF(CALENDARIO!$E24="", NA(), SUM(PALPITES!$AY$2:$AY24))</f>
        <v>#N/A</v>
      </c>
      <c r="M24" s="23" t="e">
        <f>IF(CALENDARIO!$E24="", NA(), SUM(PALPITES!$BC$2:$BC24))</f>
        <v>#N/A</v>
      </c>
      <c r="N24" s="23" t="e">
        <f>IF(CALENDARIO!$E24="", NA(), SUM(PALPITES!$BG$2:$BG24))</f>
        <v>#N/A</v>
      </c>
      <c r="O24" s="23" t="e">
        <f>IF(CALENDARIO!$E24="", NA(), SUM(PALPITES!$BK$2:$BK24))</f>
        <v>#N/A</v>
      </c>
    </row>
    <row r="25" spans="1:15">
      <c r="A25" s="23">
        <v>24</v>
      </c>
      <c r="B25" s="23" t="e">
        <f>IF(CALENDARIO!$E25="", NA(), SUM(PALPITES!$K$2:$K25))</f>
        <v>#N/A</v>
      </c>
      <c r="C25" s="23" t="e">
        <f>IF(CALENDARIO!$E25="", NA(), SUM(PALPITES!$O$2:$O25))</f>
        <v>#N/A</v>
      </c>
      <c r="D25" s="23" t="e">
        <f>IF(CALENDARIO!$E25="", NA(), SUM(PALPITES!$S$2:$S25))</f>
        <v>#N/A</v>
      </c>
      <c r="E25" s="23" t="e">
        <f>IF(CALENDARIO!$E25="", NA(), SUM(PALPITES!$W$2:$W25))</f>
        <v>#N/A</v>
      </c>
      <c r="F25" s="23" t="e">
        <f>IF(CALENDARIO!$E25="", NA(), SUM(PALPITES!$AA$2:$AA25))</f>
        <v>#N/A</v>
      </c>
      <c r="G25" s="23" t="e">
        <f>IF(CALENDARIO!$E25="", NA(), SUM(PALPITES!$AE$2:$AE25))</f>
        <v>#N/A</v>
      </c>
      <c r="H25" s="23" t="e">
        <f>IF(CALENDARIO!$E25="", NA(), SUM(PALPITES!$AI$2:$AI25))</f>
        <v>#N/A</v>
      </c>
      <c r="I25" s="23" t="e">
        <f>IF(CALENDARIO!$E25="", NA(), SUM(PALPITES!$AM$2:$AM25))</f>
        <v>#N/A</v>
      </c>
      <c r="J25" s="23" t="e">
        <f>IF(CALENDARIO!$E25="", NA(), SUM(PALPITES!$AQ$2:$AQ25))</f>
        <v>#N/A</v>
      </c>
      <c r="K25" s="23" t="e">
        <f>IF(CALENDARIO!$E25="", NA(), SUM(PALPITES!$AU$2:$AU25))</f>
        <v>#N/A</v>
      </c>
      <c r="L25" s="23" t="e">
        <f>IF(CALENDARIO!$E25="", NA(), SUM(PALPITES!$AY$2:$AY25))</f>
        <v>#N/A</v>
      </c>
      <c r="M25" s="23" t="e">
        <f>IF(CALENDARIO!$E25="", NA(), SUM(PALPITES!$BC$2:$BC25))</f>
        <v>#N/A</v>
      </c>
      <c r="N25" s="23" t="e">
        <f>IF(CALENDARIO!$E25="", NA(), SUM(PALPITES!$BG$2:$BG25))</f>
        <v>#N/A</v>
      </c>
      <c r="O25" s="23" t="e">
        <f>IF(CALENDARIO!$E25="", NA(), SUM(PALPITES!$BK$2:$BK25))</f>
        <v>#N/A</v>
      </c>
    </row>
    <row r="26" spans="1:15">
      <c r="A26" s="23">
        <v>25</v>
      </c>
      <c r="B26" s="23" t="e">
        <f>IF(CALENDARIO!$E26="", NA(), SUM(PALPITES!$K$2:$K26))</f>
        <v>#N/A</v>
      </c>
      <c r="C26" s="23" t="e">
        <f>IF(CALENDARIO!$E26="", NA(), SUM(PALPITES!$O$2:$O26))</f>
        <v>#N/A</v>
      </c>
      <c r="D26" s="23" t="e">
        <f>IF(CALENDARIO!$E26="", NA(), SUM(PALPITES!$S$2:$S26))</f>
        <v>#N/A</v>
      </c>
      <c r="E26" s="23" t="e">
        <f>IF(CALENDARIO!$E26="", NA(), SUM(PALPITES!$W$2:$W26))</f>
        <v>#N/A</v>
      </c>
      <c r="F26" s="23" t="e">
        <f>IF(CALENDARIO!$E26="", NA(), SUM(PALPITES!$AA$2:$AA26))</f>
        <v>#N/A</v>
      </c>
      <c r="G26" s="23" t="e">
        <f>IF(CALENDARIO!$E26="", NA(), SUM(PALPITES!$AE$2:$AE26))</f>
        <v>#N/A</v>
      </c>
      <c r="H26" s="23" t="e">
        <f>IF(CALENDARIO!$E26="", NA(), SUM(PALPITES!$AI$2:$AI26))</f>
        <v>#N/A</v>
      </c>
      <c r="I26" s="23" t="e">
        <f>IF(CALENDARIO!$E26="", NA(), SUM(PALPITES!$AM$2:$AM26))</f>
        <v>#N/A</v>
      </c>
      <c r="J26" s="23" t="e">
        <f>IF(CALENDARIO!$E26="", NA(), SUM(PALPITES!$AQ$2:$AQ26))</f>
        <v>#N/A</v>
      </c>
      <c r="K26" s="23" t="e">
        <f>IF(CALENDARIO!$E26="", NA(), SUM(PALPITES!$AU$2:$AU26))</f>
        <v>#N/A</v>
      </c>
      <c r="L26" s="23" t="e">
        <f>IF(CALENDARIO!$E26="", NA(), SUM(PALPITES!$AY$2:$AY26))</f>
        <v>#N/A</v>
      </c>
      <c r="M26" s="23" t="e">
        <f>IF(CALENDARIO!$E26="", NA(), SUM(PALPITES!$BC$2:$BC26))</f>
        <v>#N/A</v>
      </c>
      <c r="N26" s="23" t="e">
        <f>IF(CALENDARIO!$E26="", NA(), SUM(PALPITES!$BG$2:$BG26))</f>
        <v>#N/A</v>
      </c>
      <c r="O26" s="23" t="e">
        <f>IF(CALENDARIO!$E26="", NA(), SUM(PALPITES!$BK$2:$BK26))</f>
        <v>#N/A</v>
      </c>
    </row>
    <row r="27" spans="1:15">
      <c r="A27" s="23">
        <v>26</v>
      </c>
      <c r="B27" s="23" t="e">
        <f>IF(CALENDARIO!$E27="", NA(), SUM(PALPITES!$K$2:$K27))</f>
        <v>#N/A</v>
      </c>
      <c r="C27" s="23" t="e">
        <f>IF(CALENDARIO!$E27="", NA(), SUM(PALPITES!$O$2:$O27))</f>
        <v>#N/A</v>
      </c>
      <c r="D27" s="23" t="e">
        <f>IF(CALENDARIO!$E27="", NA(), SUM(PALPITES!$S$2:$S27))</f>
        <v>#N/A</v>
      </c>
      <c r="E27" s="23" t="e">
        <f>IF(CALENDARIO!$E27="", NA(), SUM(PALPITES!$W$2:$W27))</f>
        <v>#N/A</v>
      </c>
      <c r="F27" s="23" t="e">
        <f>IF(CALENDARIO!$E27="", NA(), SUM(PALPITES!$AA$2:$AA27))</f>
        <v>#N/A</v>
      </c>
      <c r="G27" s="23" t="e">
        <f>IF(CALENDARIO!$E27="", NA(), SUM(PALPITES!$AE$2:$AE27))</f>
        <v>#N/A</v>
      </c>
      <c r="H27" s="23" t="e">
        <f>IF(CALENDARIO!$E27="", NA(), SUM(PALPITES!$AI$2:$AI27))</f>
        <v>#N/A</v>
      </c>
      <c r="I27" s="23" t="e">
        <f>IF(CALENDARIO!$E27="", NA(), SUM(PALPITES!$AM$2:$AM27))</f>
        <v>#N/A</v>
      </c>
      <c r="J27" s="23" t="e">
        <f>IF(CALENDARIO!$E27="", NA(), SUM(PALPITES!$AQ$2:$AQ27))</f>
        <v>#N/A</v>
      </c>
      <c r="K27" s="23" t="e">
        <f>IF(CALENDARIO!$E27="", NA(), SUM(PALPITES!$AU$2:$AU27))</f>
        <v>#N/A</v>
      </c>
      <c r="L27" s="23" t="e">
        <f>IF(CALENDARIO!$E27="", NA(), SUM(PALPITES!$AY$2:$AY27))</f>
        <v>#N/A</v>
      </c>
      <c r="M27" s="23" t="e">
        <f>IF(CALENDARIO!$E27="", NA(), SUM(PALPITES!$BC$2:$BC27))</f>
        <v>#N/A</v>
      </c>
      <c r="N27" s="23" t="e">
        <f>IF(CALENDARIO!$E27="", NA(), SUM(PALPITES!$BG$2:$BG27))</f>
        <v>#N/A</v>
      </c>
      <c r="O27" s="23" t="e">
        <f>IF(CALENDARIO!$E27="", NA(), SUM(PALPITES!$BK$2:$BK27))</f>
        <v>#N/A</v>
      </c>
    </row>
    <row r="28" spans="1:15">
      <c r="A28" s="23">
        <v>27</v>
      </c>
      <c r="B28" s="23" t="e">
        <f>IF(CALENDARIO!$E28="", NA(), SUM(PALPITES!$K$2:$K28))</f>
        <v>#N/A</v>
      </c>
      <c r="C28" s="23" t="e">
        <f>IF(CALENDARIO!$E28="", NA(), SUM(PALPITES!$O$2:$O28))</f>
        <v>#N/A</v>
      </c>
      <c r="D28" s="23" t="e">
        <f>IF(CALENDARIO!$E28="", NA(), SUM(PALPITES!$S$2:$S28))</f>
        <v>#N/A</v>
      </c>
      <c r="E28" s="23" t="e">
        <f>IF(CALENDARIO!$E28="", NA(), SUM(PALPITES!$W$2:$W28))</f>
        <v>#N/A</v>
      </c>
      <c r="F28" s="23" t="e">
        <f>IF(CALENDARIO!$E28="", NA(), SUM(PALPITES!$AA$2:$AA28))</f>
        <v>#N/A</v>
      </c>
      <c r="G28" s="23" t="e">
        <f>IF(CALENDARIO!$E28="", NA(), SUM(PALPITES!$AE$2:$AE28))</f>
        <v>#N/A</v>
      </c>
      <c r="H28" s="23" t="e">
        <f>IF(CALENDARIO!$E28="", NA(), SUM(PALPITES!$AI$2:$AI28))</f>
        <v>#N/A</v>
      </c>
      <c r="I28" s="23" t="e">
        <f>IF(CALENDARIO!$E28="", NA(), SUM(PALPITES!$AM$2:$AM28))</f>
        <v>#N/A</v>
      </c>
      <c r="J28" s="23" t="e">
        <f>IF(CALENDARIO!$E28="", NA(), SUM(PALPITES!$AQ$2:$AQ28))</f>
        <v>#N/A</v>
      </c>
      <c r="K28" s="23" t="e">
        <f>IF(CALENDARIO!$E28="", NA(), SUM(PALPITES!$AU$2:$AU28))</f>
        <v>#N/A</v>
      </c>
      <c r="L28" s="23" t="e">
        <f>IF(CALENDARIO!$E28="", NA(), SUM(PALPITES!$AY$2:$AY28))</f>
        <v>#N/A</v>
      </c>
      <c r="M28" s="23" t="e">
        <f>IF(CALENDARIO!$E28="", NA(), SUM(PALPITES!$BC$2:$BC28))</f>
        <v>#N/A</v>
      </c>
      <c r="N28" s="23" t="e">
        <f>IF(CALENDARIO!$E28="", NA(), SUM(PALPITES!$BG$2:$BG28))</f>
        <v>#N/A</v>
      </c>
      <c r="O28" s="23" t="e">
        <f>IF(CALENDARIO!$E28="", NA(), SUM(PALPITES!$BK$2:$BK28))</f>
        <v>#N/A</v>
      </c>
    </row>
    <row r="29" spans="1:15">
      <c r="A29" s="23">
        <v>28</v>
      </c>
      <c r="B29" s="23" t="e">
        <f>IF(CALENDARIO!$E29="", NA(), SUM(PALPITES!$K$2:$K29))</f>
        <v>#N/A</v>
      </c>
      <c r="C29" s="23" t="e">
        <f>IF(CALENDARIO!$E29="", NA(), SUM(PALPITES!$O$2:$O29))</f>
        <v>#N/A</v>
      </c>
      <c r="D29" s="23" t="e">
        <f>IF(CALENDARIO!$E29="", NA(), SUM(PALPITES!$S$2:$S29))</f>
        <v>#N/A</v>
      </c>
      <c r="E29" s="23" t="e">
        <f>IF(CALENDARIO!$E29="", NA(), SUM(PALPITES!$W$2:$W29))</f>
        <v>#N/A</v>
      </c>
      <c r="F29" s="23" t="e">
        <f>IF(CALENDARIO!$E29="", NA(), SUM(PALPITES!$AA$2:$AA29))</f>
        <v>#N/A</v>
      </c>
      <c r="G29" s="23" t="e">
        <f>IF(CALENDARIO!$E29="", NA(), SUM(PALPITES!$AE$2:$AE29))</f>
        <v>#N/A</v>
      </c>
      <c r="H29" s="23" t="e">
        <f>IF(CALENDARIO!$E29="", NA(), SUM(PALPITES!$AI$2:$AI29))</f>
        <v>#N/A</v>
      </c>
      <c r="I29" s="23" t="e">
        <f>IF(CALENDARIO!$E29="", NA(), SUM(PALPITES!$AM$2:$AM29))</f>
        <v>#N/A</v>
      </c>
      <c r="J29" s="23" t="e">
        <f>IF(CALENDARIO!$E29="", NA(), SUM(PALPITES!$AQ$2:$AQ29))</f>
        <v>#N/A</v>
      </c>
      <c r="K29" s="23" t="e">
        <f>IF(CALENDARIO!$E29="", NA(), SUM(PALPITES!$AU$2:$AU29))</f>
        <v>#N/A</v>
      </c>
      <c r="L29" s="23" t="e">
        <f>IF(CALENDARIO!$E29="", NA(), SUM(PALPITES!$AY$2:$AY29))</f>
        <v>#N/A</v>
      </c>
      <c r="M29" s="23" t="e">
        <f>IF(CALENDARIO!$E29="", NA(), SUM(PALPITES!$BC$2:$BC29))</f>
        <v>#N/A</v>
      </c>
      <c r="N29" s="23" t="e">
        <f>IF(CALENDARIO!$E29="", NA(), SUM(PALPITES!$BG$2:$BG29))</f>
        <v>#N/A</v>
      </c>
      <c r="O29" s="23" t="e">
        <f>IF(CALENDARIO!$E29="", NA(), SUM(PALPITES!$BK$2:$BK29))</f>
        <v>#N/A</v>
      </c>
    </row>
    <row r="30" spans="1:15">
      <c r="A30" s="23">
        <v>29</v>
      </c>
      <c r="B30" s="23" t="e">
        <f>IF(CALENDARIO!$E30="", NA(), SUM(PALPITES!$K$2:$K30))</f>
        <v>#N/A</v>
      </c>
      <c r="C30" s="23" t="e">
        <f>IF(CALENDARIO!$E30="", NA(), SUM(PALPITES!$O$2:$O30))</f>
        <v>#N/A</v>
      </c>
      <c r="D30" s="23" t="e">
        <f>IF(CALENDARIO!$E30="", NA(), SUM(PALPITES!$S$2:$S30))</f>
        <v>#N/A</v>
      </c>
      <c r="E30" s="23" t="e">
        <f>IF(CALENDARIO!$E30="", NA(), SUM(PALPITES!$W$2:$W30))</f>
        <v>#N/A</v>
      </c>
      <c r="F30" s="23" t="e">
        <f>IF(CALENDARIO!$E30="", NA(), SUM(PALPITES!$AA$2:$AA30))</f>
        <v>#N/A</v>
      </c>
      <c r="G30" s="23" t="e">
        <f>IF(CALENDARIO!$E30="", NA(), SUM(PALPITES!$AE$2:$AE30))</f>
        <v>#N/A</v>
      </c>
      <c r="H30" s="23" t="e">
        <f>IF(CALENDARIO!$E30="", NA(), SUM(PALPITES!$AI$2:$AI30))</f>
        <v>#N/A</v>
      </c>
      <c r="I30" s="23" t="e">
        <f>IF(CALENDARIO!$E30="", NA(), SUM(PALPITES!$AM$2:$AM30))</f>
        <v>#N/A</v>
      </c>
      <c r="J30" s="23" t="e">
        <f>IF(CALENDARIO!$E30="", NA(), SUM(PALPITES!$AQ$2:$AQ30))</f>
        <v>#N/A</v>
      </c>
      <c r="K30" s="23" t="e">
        <f>IF(CALENDARIO!$E30="", NA(), SUM(PALPITES!$AU$2:$AU30))</f>
        <v>#N/A</v>
      </c>
      <c r="L30" s="23" t="e">
        <f>IF(CALENDARIO!$E30="", NA(), SUM(PALPITES!$AY$2:$AY30))</f>
        <v>#N/A</v>
      </c>
      <c r="M30" s="23" t="e">
        <f>IF(CALENDARIO!$E30="", NA(), SUM(PALPITES!$BC$2:$BC30))</f>
        <v>#N/A</v>
      </c>
      <c r="N30" s="23" t="e">
        <f>IF(CALENDARIO!$E30="", NA(), SUM(PALPITES!$BG$2:$BG30))</f>
        <v>#N/A</v>
      </c>
      <c r="O30" s="23" t="e">
        <f>IF(CALENDARIO!$E30="", NA(), SUM(PALPITES!$BK$2:$BK30))</f>
        <v>#N/A</v>
      </c>
    </row>
    <row r="31" spans="1:15">
      <c r="A31" s="23">
        <v>30</v>
      </c>
      <c r="B31" s="23" t="e">
        <f>IF(CALENDARIO!$E31="", NA(), SUM(PALPITES!$K$2:$K31))</f>
        <v>#N/A</v>
      </c>
      <c r="C31" s="23" t="e">
        <f>IF(CALENDARIO!$E31="", NA(), SUM(PALPITES!$O$2:$O31))</f>
        <v>#N/A</v>
      </c>
      <c r="D31" s="23" t="e">
        <f>IF(CALENDARIO!$E31="", NA(), SUM(PALPITES!$S$2:$S31))</f>
        <v>#N/A</v>
      </c>
      <c r="E31" s="23" t="e">
        <f>IF(CALENDARIO!$E31="", NA(), SUM(PALPITES!$W$2:$W31))</f>
        <v>#N/A</v>
      </c>
      <c r="F31" s="23" t="e">
        <f>IF(CALENDARIO!$E31="", NA(), SUM(PALPITES!$AA$2:$AA31))</f>
        <v>#N/A</v>
      </c>
      <c r="G31" s="23" t="e">
        <f>IF(CALENDARIO!$E31="", NA(), SUM(PALPITES!$AE$2:$AE31))</f>
        <v>#N/A</v>
      </c>
      <c r="H31" s="23" t="e">
        <f>IF(CALENDARIO!$E31="", NA(), SUM(PALPITES!$AI$2:$AI31))</f>
        <v>#N/A</v>
      </c>
      <c r="I31" s="23" t="e">
        <f>IF(CALENDARIO!$E31="", NA(), SUM(PALPITES!$AM$2:$AM31))</f>
        <v>#N/A</v>
      </c>
      <c r="J31" s="23" t="e">
        <f>IF(CALENDARIO!$E31="", NA(), SUM(PALPITES!$AQ$2:$AQ31))</f>
        <v>#N/A</v>
      </c>
      <c r="K31" s="23" t="e">
        <f>IF(CALENDARIO!$E31="", NA(), SUM(PALPITES!$AU$2:$AU31))</f>
        <v>#N/A</v>
      </c>
      <c r="L31" s="23" t="e">
        <f>IF(CALENDARIO!$E31="", NA(), SUM(PALPITES!$AY$2:$AY31))</f>
        <v>#N/A</v>
      </c>
      <c r="M31" s="23" t="e">
        <f>IF(CALENDARIO!$E31="", NA(), SUM(PALPITES!$BC$2:$BC31))</f>
        <v>#N/A</v>
      </c>
      <c r="N31" s="23" t="e">
        <f>IF(CALENDARIO!$E31="", NA(), SUM(PALPITES!$BG$2:$BG31))</f>
        <v>#N/A</v>
      </c>
      <c r="O31" s="23" t="e">
        <f>IF(CALENDARIO!$E31="", NA(), SUM(PALPITES!$BK$2:$BK31))</f>
        <v>#N/A</v>
      </c>
    </row>
    <row r="32" spans="1:15">
      <c r="A32" s="23">
        <v>31</v>
      </c>
      <c r="B32" s="23" t="e">
        <f>IF(CALENDARIO!$E32="", NA(), SUM(PALPITES!$K$2:$K32))</f>
        <v>#N/A</v>
      </c>
      <c r="C32" s="23" t="e">
        <f>IF(CALENDARIO!$E32="", NA(), SUM(PALPITES!$O$2:$O32))</f>
        <v>#N/A</v>
      </c>
      <c r="D32" s="23" t="e">
        <f>IF(CALENDARIO!$E32="", NA(), SUM(PALPITES!$S$2:$S32))</f>
        <v>#N/A</v>
      </c>
      <c r="E32" s="23" t="e">
        <f>IF(CALENDARIO!$E32="", NA(), SUM(PALPITES!$W$2:$W32))</f>
        <v>#N/A</v>
      </c>
      <c r="F32" s="23" t="e">
        <f>IF(CALENDARIO!$E32="", NA(), SUM(PALPITES!$AA$2:$AA32))</f>
        <v>#N/A</v>
      </c>
      <c r="G32" s="23" t="e">
        <f>IF(CALENDARIO!$E32="", NA(), SUM(PALPITES!$AE$2:$AE32))</f>
        <v>#N/A</v>
      </c>
      <c r="H32" s="23" t="e">
        <f>IF(CALENDARIO!$E32="", NA(), SUM(PALPITES!$AI$2:$AI32))</f>
        <v>#N/A</v>
      </c>
      <c r="I32" s="23" t="e">
        <f>IF(CALENDARIO!$E32="", NA(), SUM(PALPITES!$AM$2:$AM32))</f>
        <v>#N/A</v>
      </c>
      <c r="J32" s="23" t="e">
        <f>IF(CALENDARIO!$E32="", NA(), SUM(PALPITES!$AQ$2:$AQ32))</f>
        <v>#N/A</v>
      </c>
      <c r="K32" s="23" t="e">
        <f>IF(CALENDARIO!$E32="", NA(), SUM(PALPITES!$AU$2:$AU32))</f>
        <v>#N/A</v>
      </c>
      <c r="L32" s="23" t="e">
        <f>IF(CALENDARIO!$E32="", NA(), SUM(PALPITES!$AY$2:$AY32))</f>
        <v>#N/A</v>
      </c>
      <c r="M32" s="23" t="e">
        <f>IF(CALENDARIO!$E32="", NA(), SUM(PALPITES!$BC$2:$BC32))</f>
        <v>#N/A</v>
      </c>
      <c r="N32" s="23" t="e">
        <f>IF(CALENDARIO!$E32="", NA(), SUM(PALPITES!$BG$2:$BG32))</f>
        <v>#N/A</v>
      </c>
      <c r="O32" s="23" t="e">
        <f>IF(CALENDARIO!$E32="", NA(), SUM(PALPITES!$BK$2:$BK32))</f>
        <v>#N/A</v>
      </c>
    </row>
    <row r="33" spans="1:15">
      <c r="A33" s="23">
        <v>32</v>
      </c>
      <c r="B33" s="23" t="e">
        <f>IF(CALENDARIO!$E33="", NA(), SUM(PALPITES!$K$2:$K33))</f>
        <v>#N/A</v>
      </c>
      <c r="C33" s="23" t="e">
        <f>IF(CALENDARIO!$E33="", NA(), SUM(PALPITES!$O$2:$O33))</f>
        <v>#N/A</v>
      </c>
      <c r="D33" s="23" t="e">
        <f>IF(CALENDARIO!$E33="", NA(), SUM(PALPITES!$S$2:$S33))</f>
        <v>#N/A</v>
      </c>
      <c r="E33" s="23" t="e">
        <f>IF(CALENDARIO!$E33="", NA(), SUM(PALPITES!$W$2:$W33))</f>
        <v>#N/A</v>
      </c>
      <c r="F33" s="23" t="e">
        <f>IF(CALENDARIO!$E33="", NA(), SUM(PALPITES!$AA$2:$AA33))</f>
        <v>#N/A</v>
      </c>
      <c r="G33" s="23" t="e">
        <f>IF(CALENDARIO!$E33="", NA(), SUM(PALPITES!$AE$2:$AE33))</f>
        <v>#N/A</v>
      </c>
      <c r="H33" s="23" t="e">
        <f>IF(CALENDARIO!$E33="", NA(), SUM(PALPITES!$AI$2:$AI33))</f>
        <v>#N/A</v>
      </c>
      <c r="I33" s="23" t="e">
        <f>IF(CALENDARIO!$E33="", NA(), SUM(PALPITES!$AM$2:$AM33))</f>
        <v>#N/A</v>
      </c>
      <c r="J33" s="23" t="e">
        <f>IF(CALENDARIO!$E33="", NA(), SUM(PALPITES!$AQ$2:$AQ33))</f>
        <v>#N/A</v>
      </c>
      <c r="K33" s="23" t="e">
        <f>IF(CALENDARIO!$E33="", NA(), SUM(PALPITES!$AU$2:$AU33))</f>
        <v>#N/A</v>
      </c>
      <c r="L33" s="23" t="e">
        <f>IF(CALENDARIO!$E33="", NA(), SUM(PALPITES!$AY$2:$AY33))</f>
        <v>#N/A</v>
      </c>
      <c r="M33" s="23" t="e">
        <f>IF(CALENDARIO!$E33="", NA(), SUM(PALPITES!$BC$2:$BC33))</f>
        <v>#N/A</v>
      </c>
      <c r="N33" s="23" t="e">
        <f>IF(CALENDARIO!$E33="", NA(), SUM(PALPITES!$BG$2:$BG33))</f>
        <v>#N/A</v>
      </c>
      <c r="O33" s="23" t="e">
        <f>IF(CALENDARIO!$E33="", NA(), SUM(PALPITES!$BK$2:$BK33))</f>
        <v>#N/A</v>
      </c>
    </row>
    <row r="34" spans="1:15">
      <c r="A34" s="23">
        <v>33</v>
      </c>
      <c r="B34" s="23" t="e">
        <f>IF(CALENDARIO!$E34="", NA(), SUM(PALPITES!$K$2:$K34))</f>
        <v>#N/A</v>
      </c>
      <c r="C34" s="23" t="e">
        <f>IF(CALENDARIO!$E34="", NA(), SUM(PALPITES!$O$2:$O34))</f>
        <v>#N/A</v>
      </c>
      <c r="D34" s="23" t="e">
        <f>IF(CALENDARIO!$E34="", NA(), SUM(PALPITES!$S$2:$S34))</f>
        <v>#N/A</v>
      </c>
      <c r="E34" s="23" t="e">
        <f>IF(CALENDARIO!$E34="", NA(), SUM(PALPITES!$W$2:$W34))</f>
        <v>#N/A</v>
      </c>
      <c r="F34" s="23" t="e">
        <f>IF(CALENDARIO!$E34="", NA(), SUM(PALPITES!$AA$2:$AA34))</f>
        <v>#N/A</v>
      </c>
      <c r="G34" s="23" t="e">
        <f>IF(CALENDARIO!$E34="", NA(), SUM(PALPITES!$AE$2:$AE34))</f>
        <v>#N/A</v>
      </c>
      <c r="H34" s="23" t="e">
        <f>IF(CALENDARIO!$E34="", NA(), SUM(PALPITES!$AI$2:$AI34))</f>
        <v>#N/A</v>
      </c>
      <c r="I34" s="23" t="e">
        <f>IF(CALENDARIO!$E34="", NA(), SUM(PALPITES!$AM$2:$AM34))</f>
        <v>#N/A</v>
      </c>
      <c r="J34" s="23" t="e">
        <f>IF(CALENDARIO!$E34="", NA(), SUM(PALPITES!$AQ$2:$AQ34))</f>
        <v>#N/A</v>
      </c>
      <c r="K34" s="23" t="e">
        <f>IF(CALENDARIO!$E34="", NA(), SUM(PALPITES!$AU$2:$AU34))</f>
        <v>#N/A</v>
      </c>
      <c r="L34" s="23" t="e">
        <f>IF(CALENDARIO!$E34="", NA(), SUM(PALPITES!$AY$2:$AY34))</f>
        <v>#N/A</v>
      </c>
      <c r="M34" s="23" t="e">
        <f>IF(CALENDARIO!$E34="", NA(), SUM(PALPITES!$BC$2:$BC34))</f>
        <v>#N/A</v>
      </c>
      <c r="N34" s="23" t="e">
        <f>IF(CALENDARIO!$E34="", NA(), SUM(PALPITES!$BG$2:$BG34))</f>
        <v>#N/A</v>
      </c>
      <c r="O34" s="23" t="e">
        <f>IF(CALENDARIO!$E34="", NA(), SUM(PALPITES!$BK$2:$BK34))</f>
        <v>#N/A</v>
      </c>
    </row>
    <row r="35" spans="1:15">
      <c r="A35" s="23">
        <v>34</v>
      </c>
      <c r="B35" s="23" t="e">
        <f>IF(CALENDARIO!$E35="", NA(), SUM(PALPITES!$K$2:$K35))</f>
        <v>#N/A</v>
      </c>
      <c r="C35" s="23" t="e">
        <f>IF(CALENDARIO!$E35="", NA(), SUM(PALPITES!$O$2:$O35))</f>
        <v>#N/A</v>
      </c>
      <c r="D35" s="23" t="e">
        <f>IF(CALENDARIO!$E35="", NA(), SUM(PALPITES!$S$2:$S35))</f>
        <v>#N/A</v>
      </c>
      <c r="E35" s="23" t="e">
        <f>IF(CALENDARIO!$E35="", NA(), SUM(PALPITES!$W$2:$W35))</f>
        <v>#N/A</v>
      </c>
      <c r="F35" s="23" t="e">
        <f>IF(CALENDARIO!$E35="", NA(), SUM(PALPITES!$AA$2:$AA35))</f>
        <v>#N/A</v>
      </c>
      <c r="G35" s="23" t="e">
        <f>IF(CALENDARIO!$E35="", NA(), SUM(PALPITES!$AE$2:$AE35))</f>
        <v>#N/A</v>
      </c>
      <c r="H35" s="23" t="e">
        <f>IF(CALENDARIO!$E35="", NA(), SUM(PALPITES!$AI$2:$AI35))</f>
        <v>#N/A</v>
      </c>
      <c r="I35" s="23" t="e">
        <f>IF(CALENDARIO!$E35="", NA(), SUM(PALPITES!$AM$2:$AM35))</f>
        <v>#N/A</v>
      </c>
      <c r="J35" s="23" t="e">
        <f>IF(CALENDARIO!$E35="", NA(), SUM(PALPITES!$AQ$2:$AQ35))</f>
        <v>#N/A</v>
      </c>
      <c r="K35" s="23" t="e">
        <f>IF(CALENDARIO!$E35="", NA(), SUM(PALPITES!$AU$2:$AU35))</f>
        <v>#N/A</v>
      </c>
      <c r="L35" s="23" t="e">
        <f>IF(CALENDARIO!$E35="", NA(), SUM(PALPITES!$AY$2:$AY35))</f>
        <v>#N/A</v>
      </c>
      <c r="M35" s="23" t="e">
        <f>IF(CALENDARIO!$E35="", NA(), SUM(PALPITES!$BC$2:$BC35))</f>
        <v>#N/A</v>
      </c>
      <c r="N35" s="23" t="e">
        <f>IF(CALENDARIO!$E35="", NA(), SUM(PALPITES!$BG$2:$BG35))</f>
        <v>#N/A</v>
      </c>
      <c r="O35" s="23" t="e">
        <f>IF(CALENDARIO!$E35="", NA(), SUM(PALPITES!$BK$2:$BK35))</f>
        <v>#N/A</v>
      </c>
    </row>
    <row r="36" spans="1:15">
      <c r="A36" s="23">
        <v>35</v>
      </c>
      <c r="B36" s="23" t="e">
        <f>IF(CALENDARIO!$E36="", NA(), SUM(PALPITES!$K$2:$K36))</f>
        <v>#N/A</v>
      </c>
      <c r="C36" s="23" t="e">
        <f>IF(CALENDARIO!$E36="", NA(), SUM(PALPITES!$O$2:$O36))</f>
        <v>#N/A</v>
      </c>
      <c r="D36" s="23" t="e">
        <f>IF(CALENDARIO!$E36="", NA(), SUM(PALPITES!$S$2:$S36))</f>
        <v>#N/A</v>
      </c>
      <c r="E36" s="23" t="e">
        <f>IF(CALENDARIO!$E36="", NA(), SUM(PALPITES!$W$2:$W36))</f>
        <v>#N/A</v>
      </c>
      <c r="F36" s="23" t="e">
        <f>IF(CALENDARIO!$E36="", NA(), SUM(PALPITES!$AA$2:$AA36))</f>
        <v>#N/A</v>
      </c>
      <c r="G36" s="23" t="e">
        <f>IF(CALENDARIO!$E36="", NA(), SUM(PALPITES!$AE$2:$AE36))</f>
        <v>#N/A</v>
      </c>
      <c r="H36" s="23" t="e">
        <f>IF(CALENDARIO!$E36="", NA(), SUM(PALPITES!$AI$2:$AI36))</f>
        <v>#N/A</v>
      </c>
      <c r="I36" s="23" t="e">
        <f>IF(CALENDARIO!$E36="", NA(), SUM(PALPITES!$AM$2:$AM36))</f>
        <v>#N/A</v>
      </c>
      <c r="J36" s="23" t="e">
        <f>IF(CALENDARIO!$E36="", NA(), SUM(PALPITES!$AQ$2:$AQ36))</f>
        <v>#N/A</v>
      </c>
      <c r="K36" s="23" t="e">
        <f>IF(CALENDARIO!$E36="", NA(), SUM(PALPITES!$AU$2:$AU36))</f>
        <v>#N/A</v>
      </c>
      <c r="L36" s="23" t="e">
        <f>IF(CALENDARIO!$E36="", NA(), SUM(PALPITES!$AY$2:$AY36))</f>
        <v>#N/A</v>
      </c>
      <c r="M36" s="23" t="e">
        <f>IF(CALENDARIO!$E36="", NA(), SUM(PALPITES!$BC$2:$BC36))</f>
        <v>#N/A</v>
      </c>
      <c r="N36" s="23" t="e">
        <f>IF(CALENDARIO!$E36="", NA(), SUM(PALPITES!$BG$2:$BG36))</f>
        <v>#N/A</v>
      </c>
      <c r="O36" s="23" t="e">
        <f>IF(CALENDARIO!$E36="", NA(), SUM(PALPITES!$BK$2:$BK36))</f>
        <v>#N/A</v>
      </c>
    </row>
    <row r="37" spans="1:15">
      <c r="A37" s="23">
        <v>36</v>
      </c>
      <c r="B37" s="23" t="e">
        <f>IF(CALENDARIO!$E37="", NA(), SUM(PALPITES!$K$2:$K37))</f>
        <v>#N/A</v>
      </c>
      <c r="C37" s="23" t="e">
        <f>IF(CALENDARIO!$E37="", NA(), SUM(PALPITES!$O$2:$O37))</f>
        <v>#N/A</v>
      </c>
      <c r="D37" s="23" t="e">
        <f>IF(CALENDARIO!$E37="", NA(), SUM(PALPITES!$S$2:$S37))</f>
        <v>#N/A</v>
      </c>
      <c r="E37" s="23" t="e">
        <f>IF(CALENDARIO!$E37="", NA(), SUM(PALPITES!$W$2:$W37))</f>
        <v>#N/A</v>
      </c>
      <c r="F37" s="23" t="e">
        <f>IF(CALENDARIO!$E37="", NA(), SUM(PALPITES!$AA$2:$AA37))</f>
        <v>#N/A</v>
      </c>
      <c r="G37" s="23" t="e">
        <f>IF(CALENDARIO!$E37="", NA(), SUM(PALPITES!$AE$2:$AE37))</f>
        <v>#N/A</v>
      </c>
      <c r="H37" s="23" t="e">
        <f>IF(CALENDARIO!$E37="", NA(), SUM(PALPITES!$AI$2:$AI37))</f>
        <v>#N/A</v>
      </c>
      <c r="I37" s="23" t="e">
        <f>IF(CALENDARIO!$E37="", NA(), SUM(PALPITES!$AM$2:$AM37))</f>
        <v>#N/A</v>
      </c>
      <c r="J37" s="23" t="e">
        <f>IF(CALENDARIO!$E37="", NA(), SUM(PALPITES!$AQ$2:$AQ37))</f>
        <v>#N/A</v>
      </c>
      <c r="K37" s="23" t="e">
        <f>IF(CALENDARIO!$E37="", NA(), SUM(PALPITES!$AU$2:$AU37))</f>
        <v>#N/A</v>
      </c>
      <c r="L37" s="23" t="e">
        <f>IF(CALENDARIO!$E37="", NA(), SUM(PALPITES!$AY$2:$AY37))</f>
        <v>#N/A</v>
      </c>
      <c r="M37" s="23" t="e">
        <f>IF(CALENDARIO!$E37="", NA(), SUM(PALPITES!$BC$2:$BC37))</f>
        <v>#N/A</v>
      </c>
      <c r="N37" s="23" t="e">
        <f>IF(CALENDARIO!$E37="", NA(), SUM(PALPITES!$BG$2:$BG37))</f>
        <v>#N/A</v>
      </c>
      <c r="O37" s="23" t="e">
        <f>IF(CALENDARIO!$E37="", NA(), SUM(PALPITES!$BK$2:$BK37))</f>
        <v>#N/A</v>
      </c>
    </row>
    <row r="38" spans="1:15">
      <c r="A38" s="23">
        <v>37</v>
      </c>
      <c r="B38" s="23" t="e">
        <f>IF(CALENDARIO!$E38="", NA(), SUM(PALPITES!$K$2:$K38))</f>
        <v>#N/A</v>
      </c>
      <c r="C38" s="23" t="e">
        <f>IF(CALENDARIO!$E38="", NA(), SUM(PALPITES!$O$2:$O38))</f>
        <v>#N/A</v>
      </c>
      <c r="D38" s="23" t="e">
        <f>IF(CALENDARIO!$E38="", NA(), SUM(PALPITES!$S$2:$S38))</f>
        <v>#N/A</v>
      </c>
      <c r="E38" s="23" t="e">
        <f>IF(CALENDARIO!$E38="", NA(), SUM(PALPITES!$W$2:$W38))</f>
        <v>#N/A</v>
      </c>
      <c r="F38" s="23" t="e">
        <f>IF(CALENDARIO!$E38="", NA(), SUM(PALPITES!$AA$2:$AA38))</f>
        <v>#N/A</v>
      </c>
      <c r="G38" s="23" t="e">
        <f>IF(CALENDARIO!$E38="", NA(), SUM(PALPITES!$AE$2:$AE38))</f>
        <v>#N/A</v>
      </c>
      <c r="H38" s="23" t="e">
        <f>IF(CALENDARIO!$E38="", NA(), SUM(PALPITES!$AI$2:$AI38))</f>
        <v>#N/A</v>
      </c>
      <c r="I38" s="23" t="e">
        <f>IF(CALENDARIO!$E38="", NA(), SUM(PALPITES!$AM$2:$AM38))</f>
        <v>#N/A</v>
      </c>
      <c r="J38" s="23" t="e">
        <f>IF(CALENDARIO!$E38="", NA(), SUM(PALPITES!$AQ$2:$AQ38))</f>
        <v>#N/A</v>
      </c>
      <c r="K38" s="23" t="e">
        <f>IF(CALENDARIO!$E38="", NA(), SUM(PALPITES!$AU$2:$AU38))</f>
        <v>#N/A</v>
      </c>
      <c r="L38" s="23" t="e">
        <f>IF(CALENDARIO!$E38="", NA(), SUM(PALPITES!$AY$2:$AY38))</f>
        <v>#N/A</v>
      </c>
      <c r="M38" s="23" t="e">
        <f>IF(CALENDARIO!$E38="", NA(), SUM(PALPITES!$BC$2:$BC38))</f>
        <v>#N/A</v>
      </c>
      <c r="N38" s="23" t="e">
        <f>IF(CALENDARIO!$E38="", NA(), SUM(PALPITES!$BG$2:$BG38))</f>
        <v>#N/A</v>
      </c>
      <c r="O38" s="23" t="e">
        <f>IF(CALENDARIO!$E38="", NA(), SUM(PALPITES!$BK$2:$BK38))</f>
        <v>#N/A</v>
      </c>
    </row>
    <row r="39" spans="1:15">
      <c r="A39" s="23">
        <v>38</v>
      </c>
      <c r="B39" s="23" t="e">
        <f>IF(CALENDARIO!$E39="", NA(), SUM(PALPITES!$K$2:$K39))</f>
        <v>#N/A</v>
      </c>
      <c r="C39" s="23" t="e">
        <f>IF(CALENDARIO!$E39="", NA(), SUM(PALPITES!$O$2:$O39))</f>
        <v>#N/A</v>
      </c>
      <c r="D39" s="23" t="e">
        <f>IF(CALENDARIO!$E39="", NA(), SUM(PALPITES!$S$2:$S39))</f>
        <v>#N/A</v>
      </c>
      <c r="E39" s="23" t="e">
        <f>IF(CALENDARIO!$E39="", NA(), SUM(PALPITES!$W$2:$W39))</f>
        <v>#N/A</v>
      </c>
      <c r="F39" s="23" t="e">
        <f>IF(CALENDARIO!$E39="", NA(), SUM(PALPITES!$AA$2:$AA39))</f>
        <v>#N/A</v>
      </c>
      <c r="G39" s="23" t="e">
        <f>IF(CALENDARIO!$E39="", NA(), SUM(PALPITES!$AE$2:$AE39))</f>
        <v>#N/A</v>
      </c>
      <c r="H39" s="23" t="e">
        <f>IF(CALENDARIO!$E39="", NA(), SUM(PALPITES!$AI$2:$AI39))</f>
        <v>#N/A</v>
      </c>
      <c r="I39" s="23" t="e">
        <f>IF(CALENDARIO!$E39="", NA(), SUM(PALPITES!$AM$2:$AM39))</f>
        <v>#N/A</v>
      </c>
      <c r="J39" s="23" t="e">
        <f>IF(CALENDARIO!$E39="", NA(), SUM(PALPITES!$AQ$2:$AQ39))</f>
        <v>#N/A</v>
      </c>
      <c r="K39" s="23" t="e">
        <f>IF(CALENDARIO!$E39="", NA(), SUM(PALPITES!$AU$2:$AU39))</f>
        <v>#N/A</v>
      </c>
      <c r="L39" s="23" t="e">
        <f>IF(CALENDARIO!$E39="", NA(), SUM(PALPITES!$AY$2:$AY39))</f>
        <v>#N/A</v>
      </c>
      <c r="M39" s="23" t="e">
        <f>IF(CALENDARIO!$E39="", NA(), SUM(PALPITES!$BC$2:$BC39))</f>
        <v>#N/A</v>
      </c>
      <c r="N39" s="23" t="e">
        <f>IF(CALENDARIO!$E39="", NA(), SUM(PALPITES!$BG$2:$BG39))</f>
        <v>#N/A</v>
      </c>
      <c r="O39" s="23" t="e">
        <f>IF(CALENDARIO!$E39="", NA(), SUM(PALPITES!$BK$2:$BK39))</f>
        <v>#N/A</v>
      </c>
    </row>
    <row r="40" spans="1:15">
      <c r="A40" s="23">
        <v>39</v>
      </c>
      <c r="B40" s="23" t="e">
        <f>IF(CALENDARIO!$E40="", NA(), SUM(PALPITES!$K$2:$K40))</f>
        <v>#N/A</v>
      </c>
      <c r="C40" s="23" t="e">
        <f>IF(CALENDARIO!$E40="", NA(), SUM(PALPITES!$O$2:$O40))</f>
        <v>#N/A</v>
      </c>
      <c r="D40" s="23" t="e">
        <f>IF(CALENDARIO!$E40="", NA(), SUM(PALPITES!$S$2:$S40))</f>
        <v>#N/A</v>
      </c>
      <c r="E40" s="23" t="e">
        <f>IF(CALENDARIO!$E40="", NA(), SUM(PALPITES!$W$2:$W40))</f>
        <v>#N/A</v>
      </c>
      <c r="F40" s="23" t="e">
        <f>IF(CALENDARIO!$E40="", NA(), SUM(PALPITES!$AA$2:$AA40))</f>
        <v>#N/A</v>
      </c>
      <c r="G40" s="23" t="e">
        <f>IF(CALENDARIO!$E40="", NA(), SUM(PALPITES!$AE$2:$AE40))</f>
        <v>#N/A</v>
      </c>
      <c r="H40" s="23" t="e">
        <f>IF(CALENDARIO!$E40="", NA(), SUM(PALPITES!$AI$2:$AI40))</f>
        <v>#N/A</v>
      </c>
      <c r="I40" s="23" t="e">
        <f>IF(CALENDARIO!$E40="", NA(), SUM(PALPITES!$AM$2:$AM40))</f>
        <v>#N/A</v>
      </c>
      <c r="J40" s="23" t="e">
        <f>IF(CALENDARIO!$E40="", NA(), SUM(PALPITES!$AQ$2:$AQ40))</f>
        <v>#N/A</v>
      </c>
      <c r="K40" s="23" t="e">
        <f>IF(CALENDARIO!$E40="", NA(), SUM(PALPITES!$AU$2:$AU40))</f>
        <v>#N/A</v>
      </c>
      <c r="L40" s="23" t="e">
        <f>IF(CALENDARIO!$E40="", NA(), SUM(PALPITES!$AY$2:$AY40))</f>
        <v>#N/A</v>
      </c>
      <c r="M40" s="23" t="e">
        <f>IF(CALENDARIO!$E40="", NA(), SUM(PALPITES!$BC$2:$BC40))</f>
        <v>#N/A</v>
      </c>
      <c r="N40" s="23" t="e">
        <f>IF(CALENDARIO!$E40="", NA(), SUM(PALPITES!$BG$2:$BG40))</f>
        <v>#N/A</v>
      </c>
      <c r="O40" s="23" t="e">
        <f>IF(CALENDARIO!$E40="", NA(), SUM(PALPITES!$BK$2:$BK40))</f>
        <v>#N/A</v>
      </c>
    </row>
    <row r="41" spans="1:15">
      <c r="A41" s="23">
        <v>40</v>
      </c>
      <c r="B41" s="23" t="e">
        <f>IF(CALENDARIO!$E41="", NA(), SUM(PALPITES!$K$2:$K41))</f>
        <v>#N/A</v>
      </c>
      <c r="C41" s="23" t="e">
        <f>IF(CALENDARIO!$E41="", NA(), SUM(PALPITES!$O$2:$O41))</f>
        <v>#N/A</v>
      </c>
      <c r="D41" s="23" t="e">
        <f>IF(CALENDARIO!$E41="", NA(), SUM(PALPITES!$S$2:$S41))</f>
        <v>#N/A</v>
      </c>
      <c r="E41" s="23" t="e">
        <f>IF(CALENDARIO!$E41="", NA(), SUM(PALPITES!$W$2:$W41))</f>
        <v>#N/A</v>
      </c>
      <c r="F41" s="23" t="e">
        <f>IF(CALENDARIO!$E41="", NA(), SUM(PALPITES!$AA$2:$AA41))</f>
        <v>#N/A</v>
      </c>
      <c r="G41" s="23" t="e">
        <f>IF(CALENDARIO!$E41="", NA(), SUM(PALPITES!$AE$2:$AE41))</f>
        <v>#N/A</v>
      </c>
      <c r="H41" s="23" t="e">
        <f>IF(CALENDARIO!$E41="", NA(), SUM(PALPITES!$AI$2:$AI41))</f>
        <v>#N/A</v>
      </c>
      <c r="I41" s="23" t="e">
        <f>IF(CALENDARIO!$E41="", NA(), SUM(PALPITES!$AM$2:$AM41))</f>
        <v>#N/A</v>
      </c>
      <c r="J41" s="23" t="e">
        <f>IF(CALENDARIO!$E41="", NA(), SUM(PALPITES!$AQ$2:$AQ41))</f>
        <v>#N/A</v>
      </c>
      <c r="K41" s="23" t="e">
        <f>IF(CALENDARIO!$E41="", NA(), SUM(PALPITES!$AU$2:$AU41))</f>
        <v>#N/A</v>
      </c>
      <c r="L41" s="23" t="e">
        <f>IF(CALENDARIO!$E41="", NA(), SUM(PALPITES!$AY$2:$AY41))</f>
        <v>#N/A</v>
      </c>
      <c r="M41" s="23" t="e">
        <f>IF(CALENDARIO!$E41="", NA(), SUM(PALPITES!$BC$2:$BC41))</f>
        <v>#N/A</v>
      </c>
      <c r="N41" s="23" t="e">
        <f>IF(CALENDARIO!$E41="", NA(), SUM(PALPITES!$BG$2:$BG41))</f>
        <v>#N/A</v>
      </c>
      <c r="O41" s="23" t="e">
        <f>IF(CALENDARIO!$E41="", NA(), SUM(PALPITES!$BK$2:$BK41))</f>
        <v>#N/A</v>
      </c>
    </row>
    <row r="42" spans="1:15">
      <c r="A42" s="23">
        <v>41</v>
      </c>
      <c r="B42" s="23" t="e">
        <f>IF(CALENDARIO!$E42="", NA(), SUM(PALPITES!$K$2:$K42))</f>
        <v>#N/A</v>
      </c>
      <c r="C42" s="23" t="e">
        <f>IF(CALENDARIO!$E42="", NA(), SUM(PALPITES!$O$2:$O42))</f>
        <v>#N/A</v>
      </c>
      <c r="D42" s="23" t="e">
        <f>IF(CALENDARIO!$E42="", NA(), SUM(PALPITES!$S$2:$S42))</f>
        <v>#N/A</v>
      </c>
      <c r="E42" s="23" t="e">
        <f>IF(CALENDARIO!$E42="", NA(), SUM(PALPITES!$W$2:$W42))</f>
        <v>#N/A</v>
      </c>
      <c r="F42" s="23" t="e">
        <f>IF(CALENDARIO!$E42="", NA(), SUM(PALPITES!$AA$2:$AA42))</f>
        <v>#N/A</v>
      </c>
      <c r="G42" s="23" t="e">
        <f>IF(CALENDARIO!$E42="", NA(), SUM(PALPITES!$AE$2:$AE42))</f>
        <v>#N/A</v>
      </c>
      <c r="H42" s="23" t="e">
        <f>IF(CALENDARIO!$E42="", NA(), SUM(PALPITES!$AI$2:$AI42))</f>
        <v>#N/A</v>
      </c>
      <c r="I42" s="23" t="e">
        <f>IF(CALENDARIO!$E42="", NA(), SUM(PALPITES!$AM$2:$AM42))</f>
        <v>#N/A</v>
      </c>
      <c r="J42" s="23" t="e">
        <f>IF(CALENDARIO!$E42="", NA(), SUM(PALPITES!$AQ$2:$AQ42))</f>
        <v>#N/A</v>
      </c>
      <c r="K42" s="23" t="e">
        <f>IF(CALENDARIO!$E42="", NA(), SUM(PALPITES!$AU$2:$AU42))</f>
        <v>#N/A</v>
      </c>
      <c r="L42" s="23" t="e">
        <f>IF(CALENDARIO!$E42="", NA(), SUM(PALPITES!$AY$2:$AY42))</f>
        <v>#N/A</v>
      </c>
      <c r="M42" s="23" t="e">
        <f>IF(CALENDARIO!$E42="", NA(), SUM(PALPITES!$BC$2:$BC42))</f>
        <v>#N/A</v>
      </c>
      <c r="N42" s="23" t="e">
        <f>IF(CALENDARIO!$E42="", NA(), SUM(PALPITES!$BG$2:$BG42))</f>
        <v>#N/A</v>
      </c>
      <c r="O42" s="23" t="e">
        <f>IF(CALENDARIO!$E42="", NA(), SUM(PALPITES!$BK$2:$BK42))</f>
        <v>#N/A</v>
      </c>
    </row>
    <row r="43" spans="1:15">
      <c r="A43" s="23">
        <v>42</v>
      </c>
      <c r="B43" s="23" t="e">
        <f>IF(CALENDARIO!$E43="", NA(), SUM(PALPITES!$K$2:$K43))</f>
        <v>#N/A</v>
      </c>
      <c r="C43" s="23" t="e">
        <f>IF(CALENDARIO!$E43="", NA(), SUM(PALPITES!$O$2:$O43))</f>
        <v>#N/A</v>
      </c>
      <c r="D43" s="23" t="e">
        <f>IF(CALENDARIO!$E43="", NA(), SUM(PALPITES!$S$2:$S43))</f>
        <v>#N/A</v>
      </c>
      <c r="E43" s="23" t="e">
        <f>IF(CALENDARIO!$E43="", NA(), SUM(PALPITES!$W$2:$W43))</f>
        <v>#N/A</v>
      </c>
      <c r="F43" s="23" t="e">
        <f>IF(CALENDARIO!$E43="", NA(), SUM(PALPITES!$AA$2:$AA43))</f>
        <v>#N/A</v>
      </c>
      <c r="G43" s="23" t="e">
        <f>IF(CALENDARIO!$E43="", NA(), SUM(PALPITES!$AE$2:$AE43))</f>
        <v>#N/A</v>
      </c>
      <c r="H43" s="23" t="e">
        <f>IF(CALENDARIO!$E43="", NA(), SUM(PALPITES!$AI$2:$AI43))</f>
        <v>#N/A</v>
      </c>
      <c r="I43" s="23" t="e">
        <f>IF(CALENDARIO!$E43="", NA(), SUM(PALPITES!$AM$2:$AM43))</f>
        <v>#N/A</v>
      </c>
      <c r="J43" s="23" t="e">
        <f>IF(CALENDARIO!$E43="", NA(), SUM(PALPITES!$AQ$2:$AQ43))</f>
        <v>#N/A</v>
      </c>
      <c r="K43" s="23" t="e">
        <f>IF(CALENDARIO!$E43="", NA(), SUM(PALPITES!$AU$2:$AU43))</f>
        <v>#N/A</v>
      </c>
      <c r="L43" s="23" t="e">
        <f>IF(CALENDARIO!$E43="", NA(), SUM(PALPITES!$AY$2:$AY43))</f>
        <v>#N/A</v>
      </c>
      <c r="M43" s="23" t="e">
        <f>IF(CALENDARIO!$E43="", NA(), SUM(PALPITES!$BC$2:$BC43))</f>
        <v>#N/A</v>
      </c>
      <c r="N43" s="23" t="e">
        <f>IF(CALENDARIO!$E43="", NA(), SUM(PALPITES!$BG$2:$BG43))</f>
        <v>#N/A</v>
      </c>
      <c r="O43" s="23" t="e">
        <f>IF(CALENDARIO!$E43="", NA(), SUM(PALPITES!$BK$2:$BK43))</f>
        <v>#N/A</v>
      </c>
    </row>
    <row r="44" spans="1:15">
      <c r="A44" s="23">
        <v>43</v>
      </c>
      <c r="B44" s="23" t="e">
        <f>IF(CALENDARIO!$E44="", NA(), SUM(PALPITES!$K$2:$K44))</f>
        <v>#N/A</v>
      </c>
      <c r="C44" s="23" t="e">
        <f>IF(CALENDARIO!$E44="", NA(), SUM(PALPITES!$O$2:$O44))</f>
        <v>#N/A</v>
      </c>
      <c r="D44" s="23" t="e">
        <f>IF(CALENDARIO!$E44="", NA(), SUM(PALPITES!$S$2:$S44))</f>
        <v>#N/A</v>
      </c>
      <c r="E44" s="23" t="e">
        <f>IF(CALENDARIO!$E44="", NA(), SUM(PALPITES!$W$2:$W44))</f>
        <v>#N/A</v>
      </c>
      <c r="F44" s="23" t="e">
        <f>IF(CALENDARIO!$E44="", NA(), SUM(PALPITES!$AA$2:$AA44))</f>
        <v>#N/A</v>
      </c>
      <c r="G44" s="23" t="e">
        <f>IF(CALENDARIO!$E44="", NA(), SUM(PALPITES!$AE$2:$AE44))</f>
        <v>#N/A</v>
      </c>
      <c r="H44" s="23" t="e">
        <f>IF(CALENDARIO!$E44="", NA(), SUM(PALPITES!$AI$2:$AI44))</f>
        <v>#N/A</v>
      </c>
      <c r="I44" s="23" t="e">
        <f>IF(CALENDARIO!$E44="", NA(), SUM(PALPITES!$AM$2:$AM44))</f>
        <v>#N/A</v>
      </c>
      <c r="J44" s="23" t="e">
        <f>IF(CALENDARIO!$E44="", NA(), SUM(PALPITES!$AQ$2:$AQ44))</f>
        <v>#N/A</v>
      </c>
      <c r="K44" s="23" t="e">
        <f>IF(CALENDARIO!$E44="", NA(), SUM(PALPITES!$AU$2:$AU44))</f>
        <v>#N/A</v>
      </c>
      <c r="L44" s="23" t="e">
        <f>IF(CALENDARIO!$E44="", NA(), SUM(PALPITES!$AY$2:$AY44))</f>
        <v>#N/A</v>
      </c>
      <c r="M44" s="23" t="e">
        <f>IF(CALENDARIO!$E44="", NA(), SUM(PALPITES!$BC$2:$BC44))</f>
        <v>#N/A</v>
      </c>
      <c r="N44" s="23" t="e">
        <f>IF(CALENDARIO!$E44="", NA(), SUM(PALPITES!$BG$2:$BG44))</f>
        <v>#N/A</v>
      </c>
      <c r="O44" s="23" t="e">
        <f>IF(CALENDARIO!$E44="", NA(), SUM(PALPITES!$BK$2:$BK44))</f>
        <v>#N/A</v>
      </c>
    </row>
    <row r="45" spans="1:15">
      <c r="A45" s="23">
        <v>44</v>
      </c>
      <c r="B45" s="23" t="e">
        <f>IF(CALENDARIO!$E45="", NA(), SUM(PALPITES!$K$2:$K45))</f>
        <v>#N/A</v>
      </c>
      <c r="C45" s="23" t="e">
        <f>IF(CALENDARIO!$E45="", NA(), SUM(PALPITES!$O$2:$O45))</f>
        <v>#N/A</v>
      </c>
      <c r="D45" s="23" t="e">
        <f>IF(CALENDARIO!$E45="", NA(), SUM(PALPITES!$S$2:$S45))</f>
        <v>#N/A</v>
      </c>
      <c r="E45" s="23" t="e">
        <f>IF(CALENDARIO!$E45="", NA(), SUM(PALPITES!$W$2:$W45))</f>
        <v>#N/A</v>
      </c>
      <c r="F45" s="23" t="e">
        <f>IF(CALENDARIO!$E45="", NA(), SUM(PALPITES!$AA$2:$AA45))</f>
        <v>#N/A</v>
      </c>
      <c r="G45" s="23" t="e">
        <f>IF(CALENDARIO!$E45="", NA(), SUM(PALPITES!$AE$2:$AE45))</f>
        <v>#N/A</v>
      </c>
      <c r="H45" s="23" t="e">
        <f>IF(CALENDARIO!$E45="", NA(), SUM(PALPITES!$AI$2:$AI45))</f>
        <v>#N/A</v>
      </c>
      <c r="I45" s="23" t="e">
        <f>IF(CALENDARIO!$E45="", NA(), SUM(PALPITES!$AM$2:$AM45))</f>
        <v>#N/A</v>
      </c>
      <c r="J45" s="23" t="e">
        <f>IF(CALENDARIO!$E45="", NA(), SUM(PALPITES!$AQ$2:$AQ45))</f>
        <v>#N/A</v>
      </c>
      <c r="K45" s="23" t="e">
        <f>IF(CALENDARIO!$E45="", NA(), SUM(PALPITES!$AU$2:$AU45))</f>
        <v>#N/A</v>
      </c>
      <c r="L45" s="23" t="e">
        <f>IF(CALENDARIO!$E45="", NA(), SUM(PALPITES!$AY$2:$AY45))</f>
        <v>#N/A</v>
      </c>
      <c r="M45" s="23" t="e">
        <f>IF(CALENDARIO!$E45="", NA(), SUM(PALPITES!$BC$2:$BC45))</f>
        <v>#N/A</v>
      </c>
      <c r="N45" s="23" t="e">
        <f>IF(CALENDARIO!$E45="", NA(), SUM(PALPITES!$BG$2:$BG45))</f>
        <v>#N/A</v>
      </c>
      <c r="O45" s="23" t="e">
        <f>IF(CALENDARIO!$E45="", NA(), SUM(PALPITES!$BK$2:$BK45))</f>
        <v>#N/A</v>
      </c>
    </row>
    <row r="46" spans="1:15">
      <c r="A46" s="23">
        <v>45</v>
      </c>
      <c r="B46" s="23" t="e">
        <f>IF(CALENDARIO!$E46="", NA(), SUM(PALPITES!$K$2:$K46))</f>
        <v>#N/A</v>
      </c>
      <c r="C46" s="23" t="e">
        <f>IF(CALENDARIO!$E46="", NA(), SUM(PALPITES!$O$2:$O46))</f>
        <v>#N/A</v>
      </c>
      <c r="D46" s="23" t="e">
        <f>IF(CALENDARIO!$E46="", NA(), SUM(PALPITES!$S$2:$S46))</f>
        <v>#N/A</v>
      </c>
      <c r="E46" s="23" t="e">
        <f>IF(CALENDARIO!$E46="", NA(), SUM(PALPITES!$W$2:$W46))</f>
        <v>#N/A</v>
      </c>
      <c r="F46" s="23" t="e">
        <f>IF(CALENDARIO!$E46="", NA(), SUM(PALPITES!$AA$2:$AA46))</f>
        <v>#N/A</v>
      </c>
      <c r="G46" s="23" t="e">
        <f>IF(CALENDARIO!$E46="", NA(), SUM(PALPITES!$AE$2:$AE46))</f>
        <v>#N/A</v>
      </c>
      <c r="H46" s="23" t="e">
        <f>IF(CALENDARIO!$E46="", NA(), SUM(PALPITES!$AI$2:$AI46))</f>
        <v>#N/A</v>
      </c>
      <c r="I46" s="23" t="e">
        <f>IF(CALENDARIO!$E46="", NA(), SUM(PALPITES!$AM$2:$AM46))</f>
        <v>#N/A</v>
      </c>
      <c r="J46" s="23" t="e">
        <f>IF(CALENDARIO!$E46="", NA(), SUM(PALPITES!$AQ$2:$AQ46))</f>
        <v>#N/A</v>
      </c>
      <c r="K46" s="23" t="e">
        <f>IF(CALENDARIO!$E46="", NA(), SUM(PALPITES!$AU$2:$AU46))</f>
        <v>#N/A</v>
      </c>
      <c r="L46" s="23" t="e">
        <f>IF(CALENDARIO!$E46="", NA(), SUM(PALPITES!$AY$2:$AY46))</f>
        <v>#N/A</v>
      </c>
      <c r="M46" s="23" t="e">
        <f>IF(CALENDARIO!$E46="", NA(), SUM(PALPITES!$BC$2:$BC46))</f>
        <v>#N/A</v>
      </c>
      <c r="N46" s="23" t="e">
        <f>IF(CALENDARIO!$E46="", NA(), SUM(PALPITES!$BG$2:$BG46))</f>
        <v>#N/A</v>
      </c>
      <c r="O46" s="23" t="e">
        <f>IF(CALENDARIO!$E46="", NA(), SUM(PALPITES!$BK$2:$BK46))</f>
        <v>#N/A</v>
      </c>
    </row>
    <row r="47" spans="1:15">
      <c r="A47" s="23">
        <v>46</v>
      </c>
      <c r="B47" s="23" t="e">
        <f>IF(CALENDARIO!$E47="", NA(), SUM(PALPITES!$K$2:$K47))</f>
        <v>#N/A</v>
      </c>
      <c r="C47" s="23" t="e">
        <f>IF(CALENDARIO!$E47="", NA(), SUM(PALPITES!$O$2:$O47))</f>
        <v>#N/A</v>
      </c>
      <c r="D47" s="23" t="e">
        <f>IF(CALENDARIO!$E47="", NA(), SUM(PALPITES!$S$2:$S47))</f>
        <v>#N/A</v>
      </c>
      <c r="E47" s="23" t="e">
        <f>IF(CALENDARIO!$E47="", NA(), SUM(PALPITES!$W$2:$W47))</f>
        <v>#N/A</v>
      </c>
      <c r="F47" s="23" t="e">
        <f>IF(CALENDARIO!$E47="", NA(), SUM(PALPITES!$AA$2:$AA47))</f>
        <v>#N/A</v>
      </c>
      <c r="G47" s="23" t="e">
        <f>IF(CALENDARIO!$E47="", NA(), SUM(PALPITES!$AE$2:$AE47))</f>
        <v>#N/A</v>
      </c>
      <c r="H47" s="23" t="e">
        <f>IF(CALENDARIO!$E47="", NA(), SUM(PALPITES!$AI$2:$AI47))</f>
        <v>#N/A</v>
      </c>
      <c r="I47" s="23" t="e">
        <f>IF(CALENDARIO!$E47="", NA(), SUM(PALPITES!$AM$2:$AM47))</f>
        <v>#N/A</v>
      </c>
      <c r="J47" s="23" t="e">
        <f>IF(CALENDARIO!$E47="", NA(), SUM(PALPITES!$AQ$2:$AQ47))</f>
        <v>#N/A</v>
      </c>
      <c r="K47" s="23" t="e">
        <f>IF(CALENDARIO!$E47="", NA(), SUM(PALPITES!$AU$2:$AU47))</f>
        <v>#N/A</v>
      </c>
      <c r="L47" s="23" t="e">
        <f>IF(CALENDARIO!$E47="", NA(), SUM(PALPITES!$AY$2:$AY47))</f>
        <v>#N/A</v>
      </c>
      <c r="M47" s="23" t="e">
        <f>IF(CALENDARIO!$E47="", NA(), SUM(PALPITES!$BC$2:$BC47))</f>
        <v>#N/A</v>
      </c>
      <c r="N47" s="23" t="e">
        <f>IF(CALENDARIO!$E47="", NA(), SUM(PALPITES!$BG$2:$BG47))</f>
        <v>#N/A</v>
      </c>
      <c r="O47" s="23" t="e">
        <f>IF(CALENDARIO!$E47="", NA(), SUM(PALPITES!$BK$2:$BK47))</f>
        <v>#N/A</v>
      </c>
    </row>
    <row r="48" spans="1:15">
      <c r="A48" s="23">
        <v>47</v>
      </c>
      <c r="B48" s="23" t="e">
        <f>IF(CALENDARIO!$E48="", NA(), SUM(PALPITES!$K$2:$K48))</f>
        <v>#N/A</v>
      </c>
      <c r="C48" s="23" t="e">
        <f>IF(CALENDARIO!$E48="", NA(), SUM(PALPITES!$O$2:$O48))</f>
        <v>#N/A</v>
      </c>
      <c r="D48" s="23" t="e">
        <f>IF(CALENDARIO!$E48="", NA(), SUM(PALPITES!$S$2:$S48))</f>
        <v>#N/A</v>
      </c>
      <c r="E48" s="23" t="e">
        <f>IF(CALENDARIO!$E48="", NA(), SUM(PALPITES!$W$2:$W48))</f>
        <v>#N/A</v>
      </c>
      <c r="F48" s="23" t="e">
        <f>IF(CALENDARIO!$E48="", NA(), SUM(PALPITES!$AA$2:$AA48))</f>
        <v>#N/A</v>
      </c>
      <c r="G48" s="23" t="e">
        <f>IF(CALENDARIO!$E48="", NA(), SUM(PALPITES!$AE$2:$AE48))</f>
        <v>#N/A</v>
      </c>
      <c r="H48" s="23" t="e">
        <f>IF(CALENDARIO!$E48="", NA(), SUM(PALPITES!$AI$2:$AI48))</f>
        <v>#N/A</v>
      </c>
      <c r="I48" s="23" t="e">
        <f>IF(CALENDARIO!$E48="", NA(), SUM(PALPITES!$AM$2:$AM48))</f>
        <v>#N/A</v>
      </c>
      <c r="J48" s="23" t="e">
        <f>IF(CALENDARIO!$E48="", NA(), SUM(PALPITES!$AQ$2:$AQ48))</f>
        <v>#N/A</v>
      </c>
      <c r="K48" s="23" t="e">
        <f>IF(CALENDARIO!$E48="", NA(), SUM(PALPITES!$AU$2:$AU48))</f>
        <v>#N/A</v>
      </c>
      <c r="L48" s="23" t="e">
        <f>IF(CALENDARIO!$E48="", NA(), SUM(PALPITES!$AY$2:$AY48))</f>
        <v>#N/A</v>
      </c>
      <c r="M48" s="23" t="e">
        <f>IF(CALENDARIO!$E48="", NA(), SUM(PALPITES!$BC$2:$BC48))</f>
        <v>#N/A</v>
      </c>
      <c r="N48" s="23" t="e">
        <f>IF(CALENDARIO!$E48="", NA(), SUM(PALPITES!$BG$2:$BG48))</f>
        <v>#N/A</v>
      </c>
      <c r="O48" s="23" t="e">
        <f>IF(CALENDARIO!$E48="", NA(), SUM(PALPITES!$BK$2:$BK48))</f>
        <v>#N/A</v>
      </c>
    </row>
    <row r="49" spans="1:15">
      <c r="A49" s="23">
        <v>48</v>
      </c>
      <c r="B49" s="23" t="e">
        <f>IF(CALENDARIO!$E49="", NA(), SUM(PALPITES!$K$2:$K49))</f>
        <v>#N/A</v>
      </c>
      <c r="C49" s="23" t="e">
        <f>IF(CALENDARIO!$E49="", NA(), SUM(PALPITES!$O$2:$O49))</f>
        <v>#N/A</v>
      </c>
      <c r="D49" s="23" t="e">
        <f>IF(CALENDARIO!$E49="", NA(), SUM(PALPITES!$S$2:$S49))</f>
        <v>#N/A</v>
      </c>
      <c r="E49" s="23" t="e">
        <f>IF(CALENDARIO!$E49="", NA(), SUM(PALPITES!$W$2:$W49))</f>
        <v>#N/A</v>
      </c>
      <c r="F49" s="23" t="e">
        <f>IF(CALENDARIO!$E49="", NA(), SUM(PALPITES!$AA$2:$AA49))</f>
        <v>#N/A</v>
      </c>
      <c r="G49" s="23" t="e">
        <f>IF(CALENDARIO!$E49="", NA(), SUM(PALPITES!$AE$2:$AE49))</f>
        <v>#N/A</v>
      </c>
      <c r="H49" s="23" t="e">
        <f>IF(CALENDARIO!$E49="", NA(), SUM(PALPITES!$AI$2:$AI49))</f>
        <v>#N/A</v>
      </c>
      <c r="I49" s="23" t="e">
        <f>IF(CALENDARIO!$E49="", NA(), SUM(PALPITES!$AM$2:$AM49))</f>
        <v>#N/A</v>
      </c>
      <c r="J49" s="23" t="e">
        <f>IF(CALENDARIO!$E49="", NA(), SUM(PALPITES!$AQ$2:$AQ49))</f>
        <v>#N/A</v>
      </c>
      <c r="K49" s="23" t="e">
        <f>IF(CALENDARIO!$E49="", NA(), SUM(PALPITES!$AU$2:$AU49))</f>
        <v>#N/A</v>
      </c>
      <c r="L49" s="23" t="e">
        <f>IF(CALENDARIO!$E49="", NA(), SUM(PALPITES!$AY$2:$AY49))</f>
        <v>#N/A</v>
      </c>
      <c r="M49" s="23" t="e">
        <f>IF(CALENDARIO!$E49="", NA(), SUM(PALPITES!$BC$2:$BC49))</f>
        <v>#N/A</v>
      </c>
      <c r="N49" s="23" t="e">
        <f>IF(CALENDARIO!$E49="", NA(), SUM(PALPITES!$BG$2:$BG49))</f>
        <v>#N/A</v>
      </c>
      <c r="O49" s="23" t="e">
        <f>IF(CALENDARIO!$E49="", NA(), SUM(PALPITES!$BK$2:$BK49))</f>
        <v>#N/A</v>
      </c>
    </row>
    <row r="50" spans="1:15">
      <c r="A50" s="23">
        <v>49</v>
      </c>
      <c r="B50" s="23" t="e">
        <f>IF(CALENDARIO!$E50="", NA(), SUM(PALPITES!$K$2:$K50))</f>
        <v>#N/A</v>
      </c>
      <c r="C50" s="23" t="e">
        <f>IF(CALENDARIO!$E50="", NA(), SUM(PALPITES!$O$2:$O50))</f>
        <v>#N/A</v>
      </c>
      <c r="D50" s="23" t="e">
        <f>IF(CALENDARIO!$E50="", NA(), SUM(PALPITES!$S$2:$S50))</f>
        <v>#N/A</v>
      </c>
      <c r="E50" s="23" t="e">
        <f>IF(CALENDARIO!$E50="", NA(), SUM(PALPITES!$W$2:$W50))</f>
        <v>#N/A</v>
      </c>
      <c r="F50" s="23" t="e">
        <f>IF(CALENDARIO!$E50="", NA(), SUM(PALPITES!$AA$2:$AA50))</f>
        <v>#N/A</v>
      </c>
      <c r="G50" s="23" t="e">
        <f>IF(CALENDARIO!$E50="", NA(), SUM(PALPITES!$AE$2:$AE50))</f>
        <v>#N/A</v>
      </c>
      <c r="H50" s="23" t="e">
        <f>IF(CALENDARIO!$E50="", NA(), SUM(PALPITES!$AI$2:$AI50))</f>
        <v>#N/A</v>
      </c>
      <c r="I50" s="23" t="e">
        <f>IF(CALENDARIO!$E50="", NA(), SUM(PALPITES!$AM$2:$AM50))</f>
        <v>#N/A</v>
      </c>
      <c r="J50" s="23" t="e">
        <f>IF(CALENDARIO!$E50="", NA(), SUM(PALPITES!$AQ$2:$AQ50))</f>
        <v>#N/A</v>
      </c>
      <c r="K50" s="23" t="e">
        <f>IF(CALENDARIO!$E50="", NA(), SUM(PALPITES!$AU$2:$AU50))</f>
        <v>#N/A</v>
      </c>
      <c r="L50" s="23" t="e">
        <f>IF(CALENDARIO!$E50="", NA(), SUM(PALPITES!$AY$2:$AY50))</f>
        <v>#N/A</v>
      </c>
      <c r="M50" s="23" t="e">
        <f>IF(CALENDARIO!$E50="", NA(), SUM(PALPITES!$BC$2:$BC50))</f>
        <v>#N/A</v>
      </c>
      <c r="N50" s="23" t="e">
        <f>IF(CALENDARIO!$E50="", NA(), SUM(PALPITES!$BG$2:$BG50))</f>
        <v>#N/A</v>
      </c>
      <c r="O50" s="23" t="e">
        <f>IF(CALENDARIO!$E50="", NA(), SUM(PALPITES!$BK$2:$BK50))</f>
        <v>#N/A</v>
      </c>
    </row>
    <row r="51" spans="1:15">
      <c r="A51" s="23">
        <v>50</v>
      </c>
      <c r="B51" s="23" t="e">
        <f>IF(CALENDARIO!$E51="", NA(), SUM(PALPITES!$K$2:$K51))</f>
        <v>#N/A</v>
      </c>
      <c r="C51" s="23" t="e">
        <f>IF(CALENDARIO!$E51="", NA(), SUM(PALPITES!$O$2:$O51))</f>
        <v>#N/A</v>
      </c>
      <c r="D51" s="23" t="e">
        <f>IF(CALENDARIO!$E51="", NA(), SUM(PALPITES!$S$2:$S51))</f>
        <v>#N/A</v>
      </c>
      <c r="E51" s="23" t="e">
        <f>IF(CALENDARIO!$E51="", NA(), SUM(PALPITES!$W$2:$W51))</f>
        <v>#N/A</v>
      </c>
      <c r="F51" s="23" t="e">
        <f>IF(CALENDARIO!$E51="", NA(), SUM(PALPITES!$AA$2:$AA51))</f>
        <v>#N/A</v>
      </c>
      <c r="G51" s="23" t="e">
        <f>IF(CALENDARIO!$E51="", NA(), SUM(PALPITES!$AE$2:$AE51))</f>
        <v>#N/A</v>
      </c>
      <c r="H51" s="23" t="e">
        <f>IF(CALENDARIO!$E51="", NA(), SUM(PALPITES!$AI$2:$AI51))</f>
        <v>#N/A</v>
      </c>
      <c r="I51" s="23" t="e">
        <f>IF(CALENDARIO!$E51="", NA(), SUM(PALPITES!$AM$2:$AM51))</f>
        <v>#N/A</v>
      </c>
      <c r="J51" s="23" t="e">
        <f>IF(CALENDARIO!$E51="", NA(), SUM(PALPITES!$AQ$2:$AQ51))</f>
        <v>#N/A</v>
      </c>
      <c r="K51" s="23" t="e">
        <f>IF(CALENDARIO!$E51="", NA(), SUM(PALPITES!$AU$2:$AU51))</f>
        <v>#N/A</v>
      </c>
      <c r="L51" s="23" t="e">
        <f>IF(CALENDARIO!$E51="", NA(), SUM(PALPITES!$AY$2:$AY51))</f>
        <v>#N/A</v>
      </c>
      <c r="M51" s="23" t="e">
        <f>IF(CALENDARIO!$E51="", NA(), SUM(PALPITES!$BC$2:$BC51))</f>
        <v>#N/A</v>
      </c>
      <c r="N51" s="23" t="e">
        <f>IF(CALENDARIO!$E51="", NA(), SUM(PALPITES!$BG$2:$BG51))</f>
        <v>#N/A</v>
      </c>
      <c r="O51" s="23" t="e">
        <f>IF(CALENDARIO!$E51="", NA(), SUM(PALPITES!$BK$2:$BK51))</f>
        <v>#N/A</v>
      </c>
    </row>
    <row r="52" spans="1:15">
      <c r="A52" s="23">
        <v>51</v>
      </c>
      <c r="B52" s="23" t="e">
        <f>IF(CALENDARIO!$E52="", NA(), SUM(PALPITES!$K$2:$K52))</f>
        <v>#N/A</v>
      </c>
      <c r="C52" s="23" t="e">
        <f>IF(CALENDARIO!$E52="", NA(), SUM(PALPITES!$O$2:$O52))</f>
        <v>#N/A</v>
      </c>
      <c r="D52" s="23" t="e">
        <f>IF(CALENDARIO!$E52="", NA(), SUM(PALPITES!$S$2:$S52))</f>
        <v>#N/A</v>
      </c>
      <c r="E52" s="23" t="e">
        <f>IF(CALENDARIO!$E52="", NA(), SUM(PALPITES!$W$2:$W52))</f>
        <v>#N/A</v>
      </c>
      <c r="F52" s="23" t="e">
        <f>IF(CALENDARIO!$E52="", NA(), SUM(PALPITES!$AA$2:$AA52))</f>
        <v>#N/A</v>
      </c>
      <c r="G52" s="23" t="e">
        <f>IF(CALENDARIO!$E52="", NA(), SUM(PALPITES!$AE$2:$AE52))</f>
        <v>#N/A</v>
      </c>
      <c r="H52" s="23" t="e">
        <f>IF(CALENDARIO!$E52="", NA(), SUM(PALPITES!$AI$2:$AI52))</f>
        <v>#N/A</v>
      </c>
      <c r="I52" s="23" t="e">
        <f>IF(CALENDARIO!$E52="", NA(), SUM(PALPITES!$AM$2:$AM52))</f>
        <v>#N/A</v>
      </c>
      <c r="J52" s="23" t="e">
        <f>IF(CALENDARIO!$E52="", NA(), SUM(PALPITES!$AQ$2:$AQ52))</f>
        <v>#N/A</v>
      </c>
      <c r="K52" s="23" t="e">
        <f>IF(CALENDARIO!$E52="", NA(), SUM(PALPITES!$AU$2:$AU52))</f>
        <v>#N/A</v>
      </c>
      <c r="L52" s="23" t="e">
        <f>IF(CALENDARIO!$E52="", NA(), SUM(PALPITES!$AY$2:$AY52))</f>
        <v>#N/A</v>
      </c>
      <c r="M52" s="23" t="e">
        <f>IF(CALENDARIO!$E52="", NA(), SUM(PALPITES!$BC$2:$BC52))</f>
        <v>#N/A</v>
      </c>
      <c r="N52" s="23" t="e">
        <f>IF(CALENDARIO!$E52="", NA(), SUM(PALPITES!$BG$2:$BG52))</f>
        <v>#N/A</v>
      </c>
      <c r="O52" s="23" t="e">
        <f>IF(CALENDARIO!$E52="", NA(), SUM(PALPITES!$BK$2:$BK52))</f>
        <v>#N/A</v>
      </c>
    </row>
    <row r="53" spans="1:15">
      <c r="A53" s="23">
        <v>52</v>
      </c>
      <c r="B53" s="23" t="e">
        <f>IF(CALENDARIO!$E53="", NA(), SUM(PALPITES!$K$2:$K53))</f>
        <v>#N/A</v>
      </c>
      <c r="C53" s="23" t="e">
        <f>IF(CALENDARIO!$E53="", NA(), SUM(PALPITES!$O$2:$O53))</f>
        <v>#N/A</v>
      </c>
      <c r="D53" s="23" t="e">
        <f>IF(CALENDARIO!$E53="", NA(), SUM(PALPITES!$S$2:$S53))</f>
        <v>#N/A</v>
      </c>
      <c r="E53" s="23" t="e">
        <f>IF(CALENDARIO!$E53="", NA(), SUM(PALPITES!$W$2:$W53))</f>
        <v>#N/A</v>
      </c>
      <c r="F53" s="23" t="e">
        <f>IF(CALENDARIO!$E53="", NA(), SUM(PALPITES!$AA$2:$AA53))</f>
        <v>#N/A</v>
      </c>
      <c r="G53" s="23" t="e">
        <f>IF(CALENDARIO!$E53="", NA(), SUM(PALPITES!$AE$2:$AE53))</f>
        <v>#N/A</v>
      </c>
      <c r="H53" s="23" t="e">
        <f>IF(CALENDARIO!$E53="", NA(), SUM(PALPITES!$AI$2:$AI53))</f>
        <v>#N/A</v>
      </c>
      <c r="I53" s="23" t="e">
        <f>IF(CALENDARIO!$E53="", NA(), SUM(PALPITES!$AM$2:$AM53))</f>
        <v>#N/A</v>
      </c>
      <c r="J53" s="23" t="e">
        <f>IF(CALENDARIO!$E53="", NA(), SUM(PALPITES!$AQ$2:$AQ53))</f>
        <v>#N/A</v>
      </c>
      <c r="K53" s="23" t="e">
        <f>IF(CALENDARIO!$E53="", NA(), SUM(PALPITES!$AU$2:$AU53))</f>
        <v>#N/A</v>
      </c>
      <c r="L53" s="23" t="e">
        <f>IF(CALENDARIO!$E53="", NA(), SUM(PALPITES!$AY$2:$AY53))</f>
        <v>#N/A</v>
      </c>
      <c r="M53" s="23" t="e">
        <f>IF(CALENDARIO!$E53="", NA(), SUM(PALPITES!$BC$2:$BC53))</f>
        <v>#N/A</v>
      </c>
      <c r="N53" s="23" t="e">
        <f>IF(CALENDARIO!$E53="", NA(), SUM(PALPITES!$BG$2:$BG53))</f>
        <v>#N/A</v>
      </c>
      <c r="O53" s="23" t="e">
        <f>IF(CALENDARIO!$E53="", NA(), SUM(PALPITES!$BK$2:$BK53))</f>
        <v>#N/A</v>
      </c>
    </row>
    <row r="54" spans="1:15">
      <c r="A54" s="23">
        <v>53</v>
      </c>
      <c r="B54" s="23" t="e">
        <f>IF(CALENDARIO!$E54="", NA(), SUM(PALPITES!$K$2:$K54))</f>
        <v>#N/A</v>
      </c>
      <c r="C54" s="23" t="e">
        <f>IF(CALENDARIO!$E54="", NA(), SUM(PALPITES!$O$2:$O54))</f>
        <v>#N/A</v>
      </c>
      <c r="D54" s="23" t="e">
        <f>IF(CALENDARIO!$E54="", NA(), SUM(PALPITES!$S$2:$S54))</f>
        <v>#N/A</v>
      </c>
      <c r="E54" s="23" t="e">
        <f>IF(CALENDARIO!$E54="", NA(), SUM(PALPITES!$W$2:$W54))</f>
        <v>#N/A</v>
      </c>
      <c r="F54" s="23" t="e">
        <f>IF(CALENDARIO!$E54="", NA(), SUM(PALPITES!$AA$2:$AA54))</f>
        <v>#N/A</v>
      </c>
      <c r="G54" s="23" t="e">
        <f>IF(CALENDARIO!$E54="", NA(), SUM(PALPITES!$AE$2:$AE54))</f>
        <v>#N/A</v>
      </c>
      <c r="H54" s="23" t="e">
        <f>IF(CALENDARIO!$E54="", NA(), SUM(PALPITES!$AI$2:$AI54))</f>
        <v>#N/A</v>
      </c>
      <c r="I54" s="23" t="e">
        <f>IF(CALENDARIO!$E54="", NA(), SUM(PALPITES!$AM$2:$AM54))</f>
        <v>#N/A</v>
      </c>
      <c r="J54" s="23" t="e">
        <f>IF(CALENDARIO!$E54="", NA(), SUM(PALPITES!$AQ$2:$AQ54))</f>
        <v>#N/A</v>
      </c>
      <c r="K54" s="23" t="e">
        <f>IF(CALENDARIO!$E54="", NA(), SUM(PALPITES!$AU$2:$AU54))</f>
        <v>#N/A</v>
      </c>
      <c r="L54" s="23" t="e">
        <f>IF(CALENDARIO!$E54="", NA(), SUM(PALPITES!$AY$2:$AY54))</f>
        <v>#N/A</v>
      </c>
      <c r="M54" s="23" t="e">
        <f>IF(CALENDARIO!$E54="", NA(), SUM(PALPITES!$BC$2:$BC54))</f>
        <v>#N/A</v>
      </c>
      <c r="N54" s="23" t="e">
        <f>IF(CALENDARIO!$E54="", NA(), SUM(PALPITES!$BG$2:$BG54))</f>
        <v>#N/A</v>
      </c>
      <c r="O54" s="23" t="e">
        <f>IF(CALENDARIO!$E54="", NA(), SUM(PALPITES!$BK$2:$BK54))</f>
        <v>#N/A</v>
      </c>
    </row>
    <row r="55" spans="1:15">
      <c r="A55" s="23">
        <v>54</v>
      </c>
      <c r="B55" s="23" t="e">
        <f>IF(CALENDARIO!$E55="", NA(), SUM(PALPITES!$K$2:$K55))</f>
        <v>#N/A</v>
      </c>
      <c r="C55" s="23" t="e">
        <f>IF(CALENDARIO!$E55="", NA(), SUM(PALPITES!$O$2:$O55))</f>
        <v>#N/A</v>
      </c>
      <c r="D55" s="23" t="e">
        <f>IF(CALENDARIO!$E55="", NA(), SUM(PALPITES!$S$2:$S55))</f>
        <v>#N/A</v>
      </c>
      <c r="E55" s="23" t="e">
        <f>IF(CALENDARIO!$E55="", NA(), SUM(PALPITES!$W$2:$W55))</f>
        <v>#N/A</v>
      </c>
      <c r="F55" s="23" t="e">
        <f>IF(CALENDARIO!$E55="", NA(), SUM(PALPITES!$AA$2:$AA55))</f>
        <v>#N/A</v>
      </c>
      <c r="G55" s="23" t="e">
        <f>IF(CALENDARIO!$E55="", NA(), SUM(PALPITES!$AE$2:$AE55))</f>
        <v>#N/A</v>
      </c>
      <c r="H55" s="23" t="e">
        <f>IF(CALENDARIO!$E55="", NA(), SUM(PALPITES!$AI$2:$AI55))</f>
        <v>#N/A</v>
      </c>
      <c r="I55" s="23" t="e">
        <f>IF(CALENDARIO!$E55="", NA(), SUM(PALPITES!$AM$2:$AM55))</f>
        <v>#N/A</v>
      </c>
      <c r="J55" s="23" t="e">
        <f>IF(CALENDARIO!$E55="", NA(), SUM(PALPITES!$AQ$2:$AQ55))</f>
        <v>#N/A</v>
      </c>
      <c r="K55" s="23" t="e">
        <f>IF(CALENDARIO!$E55="", NA(), SUM(PALPITES!$AU$2:$AU55))</f>
        <v>#N/A</v>
      </c>
      <c r="L55" s="23" t="e">
        <f>IF(CALENDARIO!$E55="", NA(), SUM(PALPITES!$AY$2:$AY55))</f>
        <v>#N/A</v>
      </c>
      <c r="M55" s="23" t="e">
        <f>IF(CALENDARIO!$E55="", NA(), SUM(PALPITES!$BC$2:$BC55))</f>
        <v>#N/A</v>
      </c>
      <c r="N55" s="23" t="e">
        <f>IF(CALENDARIO!$E55="", NA(), SUM(PALPITES!$BG$2:$BG55))</f>
        <v>#N/A</v>
      </c>
      <c r="O55" s="23" t="e">
        <f>IF(CALENDARIO!$E55="", NA(), SUM(PALPITES!$BK$2:$BK55))</f>
        <v>#N/A</v>
      </c>
    </row>
    <row r="56" spans="1:15">
      <c r="A56" s="23">
        <v>55</v>
      </c>
      <c r="B56" s="23" t="e">
        <f>IF(CALENDARIO!$E56="", NA(), SUM(PALPITES!$K$2:$K56))</f>
        <v>#N/A</v>
      </c>
      <c r="C56" s="23" t="e">
        <f>IF(CALENDARIO!$E56="", NA(), SUM(PALPITES!$O$2:$O56))</f>
        <v>#N/A</v>
      </c>
      <c r="D56" s="23" t="e">
        <f>IF(CALENDARIO!$E56="", NA(), SUM(PALPITES!$S$2:$S56))</f>
        <v>#N/A</v>
      </c>
      <c r="E56" s="23" t="e">
        <f>IF(CALENDARIO!$E56="", NA(), SUM(PALPITES!$W$2:$W56))</f>
        <v>#N/A</v>
      </c>
      <c r="F56" s="23" t="e">
        <f>IF(CALENDARIO!$E56="", NA(), SUM(PALPITES!$AA$2:$AA56))</f>
        <v>#N/A</v>
      </c>
      <c r="G56" s="23" t="e">
        <f>IF(CALENDARIO!$E56="", NA(), SUM(PALPITES!$AE$2:$AE56))</f>
        <v>#N/A</v>
      </c>
      <c r="H56" s="23" t="e">
        <f>IF(CALENDARIO!$E56="", NA(), SUM(PALPITES!$AI$2:$AI56))</f>
        <v>#N/A</v>
      </c>
      <c r="I56" s="23" t="e">
        <f>IF(CALENDARIO!$E56="", NA(), SUM(PALPITES!$AM$2:$AM56))</f>
        <v>#N/A</v>
      </c>
      <c r="J56" s="23" t="e">
        <f>IF(CALENDARIO!$E56="", NA(), SUM(PALPITES!$AQ$2:$AQ56))</f>
        <v>#N/A</v>
      </c>
      <c r="K56" s="23" t="e">
        <f>IF(CALENDARIO!$E56="", NA(), SUM(PALPITES!$AU$2:$AU56))</f>
        <v>#N/A</v>
      </c>
      <c r="L56" s="23" t="e">
        <f>IF(CALENDARIO!$E56="", NA(), SUM(PALPITES!$AY$2:$AY56))</f>
        <v>#N/A</v>
      </c>
      <c r="M56" s="23" t="e">
        <f>IF(CALENDARIO!$E56="", NA(), SUM(PALPITES!$BC$2:$BC56))</f>
        <v>#N/A</v>
      </c>
      <c r="N56" s="23" t="e">
        <f>IF(CALENDARIO!$E56="", NA(), SUM(PALPITES!$BG$2:$BG56))</f>
        <v>#N/A</v>
      </c>
      <c r="O56" s="23" t="e">
        <f>IF(CALENDARIO!$E56="", NA(), SUM(PALPITES!$BK$2:$BK56))</f>
        <v>#N/A</v>
      </c>
    </row>
    <row r="57" spans="1:15">
      <c r="A57" s="23">
        <v>56</v>
      </c>
      <c r="B57" s="23" t="e">
        <f>IF(CALENDARIO!$E57="", NA(), SUM(PALPITES!$K$2:$K57))</f>
        <v>#N/A</v>
      </c>
      <c r="C57" s="23" t="e">
        <f>IF(CALENDARIO!$E57="", NA(), SUM(PALPITES!$O$2:$O57))</f>
        <v>#N/A</v>
      </c>
      <c r="D57" s="23" t="e">
        <f>IF(CALENDARIO!$E57="", NA(), SUM(PALPITES!$S$2:$S57))</f>
        <v>#N/A</v>
      </c>
      <c r="E57" s="23" t="e">
        <f>IF(CALENDARIO!$E57="", NA(), SUM(PALPITES!$W$2:$W57))</f>
        <v>#N/A</v>
      </c>
      <c r="F57" s="23" t="e">
        <f>IF(CALENDARIO!$E57="", NA(), SUM(PALPITES!$AA$2:$AA57))</f>
        <v>#N/A</v>
      </c>
      <c r="G57" s="23" t="e">
        <f>IF(CALENDARIO!$E57="", NA(), SUM(PALPITES!$AE$2:$AE57))</f>
        <v>#N/A</v>
      </c>
      <c r="H57" s="23" t="e">
        <f>IF(CALENDARIO!$E57="", NA(), SUM(PALPITES!$AI$2:$AI57))</f>
        <v>#N/A</v>
      </c>
      <c r="I57" s="23" t="e">
        <f>IF(CALENDARIO!$E57="", NA(), SUM(PALPITES!$AM$2:$AM57))</f>
        <v>#N/A</v>
      </c>
      <c r="J57" s="23" t="e">
        <f>IF(CALENDARIO!$E57="", NA(), SUM(PALPITES!$AQ$2:$AQ57))</f>
        <v>#N/A</v>
      </c>
      <c r="K57" s="23" t="e">
        <f>IF(CALENDARIO!$E57="", NA(), SUM(PALPITES!$AU$2:$AU57))</f>
        <v>#N/A</v>
      </c>
      <c r="L57" s="23" t="e">
        <f>IF(CALENDARIO!$E57="", NA(), SUM(PALPITES!$AY$2:$AY57))</f>
        <v>#N/A</v>
      </c>
      <c r="M57" s="23" t="e">
        <f>IF(CALENDARIO!$E57="", NA(), SUM(PALPITES!$BC$2:$BC57))</f>
        <v>#N/A</v>
      </c>
      <c r="N57" s="23" t="e">
        <f>IF(CALENDARIO!$E57="", NA(), SUM(PALPITES!$BG$2:$BG57))</f>
        <v>#N/A</v>
      </c>
      <c r="O57" s="23" t="e">
        <f>IF(CALENDARIO!$E57="", NA(), SUM(PALPITES!$BK$2:$BK57))</f>
        <v>#N/A</v>
      </c>
    </row>
    <row r="58" spans="1:15">
      <c r="A58" s="23">
        <v>57</v>
      </c>
      <c r="B58" s="23" t="e">
        <f>IF(CALENDARIO!$E58="", NA(), SUM(PALPITES!$K$2:$K58))</f>
        <v>#N/A</v>
      </c>
      <c r="C58" s="23" t="e">
        <f>IF(CALENDARIO!$E58="", NA(), SUM(PALPITES!$O$2:$O58))</f>
        <v>#N/A</v>
      </c>
      <c r="D58" s="23" t="e">
        <f>IF(CALENDARIO!$E58="", NA(), SUM(PALPITES!$S$2:$S58))</f>
        <v>#N/A</v>
      </c>
      <c r="E58" s="23" t="e">
        <f>IF(CALENDARIO!$E58="", NA(), SUM(PALPITES!$W$2:$W58))</f>
        <v>#N/A</v>
      </c>
      <c r="F58" s="23" t="e">
        <f>IF(CALENDARIO!$E58="", NA(), SUM(PALPITES!$AA$2:$AA58))</f>
        <v>#N/A</v>
      </c>
      <c r="G58" s="23" t="e">
        <f>IF(CALENDARIO!$E58="", NA(), SUM(PALPITES!$AE$2:$AE58))</f>
        <v>#N/A</v>
      </c>
      <c r="H58" s="23" t="e">
        <f>IF(CALENDARIO!$E58="", NA(), SUM(PALPITES!$AI$2:$AI58))</f>
        <v>#N/A</v>
      </c>
      <c r="I58" s="23" t="e">
        <f>IF(CALENDARIO!$E58="", NA(), SUM(PALPITES!$AM$2:$AM58))</f>
        <v>#N/A</v>
      </c>
      <c r="J58" s="23" t="e">
        <f>IF(CALENDARIO!$E58="", NA(), SUM(PALPITES!$AQ$2:$AQ58))</f>
        <v>#N/A</v>
      </c>
      <c r="K58" s="23" t="e">
        <f>IF(CALENDARIO!$E58="", NA(), SUM(PALPITES!$AU$2:$AU58))</f>
        <v>#N/A</v>
      </c>
      <c r="L58" s="23" t="e">
        <f>IF(CALENDARIO!$E58="", NA(), SUM(PALPITES!$AY$2:$AY58))</f>
        <v>#N/A</v>
      </c>
      <c r="M58" s="23" t="e">
        <f>IF(CALENDARIO!$E58="", NA(), SUM(PALPITES!$BC$2:$BC58))</f>
        <v>#N/A</v>
      </c>
      <c r="N58" s="23" t="e">
        <f>IF(CALENDARIO!$E58="", NA(), SUM(PALPITES!$BG$2:$BG58))</f>
        <v>#N/A</v>
      </c>
      <c r="O58" s="23" t="e">
        <f>IF(CALENDARIO!$E58="", NA(), SUM(PALPITES!$BK$2:$BK58))</f>
        <v>#N/A</v>
      </c>
    </row>
    <row r="59" spans="1:15">
      <c r="A59" s="23">
        <v>58</v>
      </c>
      <c r="B59" s="23" t="e">
        <f>IF(CALENDARIO!$E59="", NA(), SUM(PALPITES!$K$2:$K59))</f>
        <v>#N/A</v>
      </c>
      <c r="C59" s="23" t="e">
        <f>IF(CALENDARIO!$E59="", NA(), SUM(PALPITES!$O$2:$O59))</f>
        <v>#N/A</v>
      </c>
      <c r="D59" s="23" t="e">
        <f>IF(CALENDARIO!$E59="", NA(), SUM(PALPITES!$S$2:$S59))</f>
        <v>#N/A</v>
      </c>
      <c r="E59" s="23" t="e">
        <f>IF(CALENDARIO!$E59="", NA(), SUM(PALPITES!$W$2:$W59))</f>
        <v>#N/A</v>
      </c>
      <c r="F59" s="23" t="e">
        <f>IF(CALENDARIO!$E59="", NA(), SUM(PALPITES!$AA$2:$AA59))</f>
        <v>#N/A</v>
      </c>
      <c r="G59" s="23" t="e">
        <f>IF(CALENDARIO!$E59="", NA(), SUM(PALPITES!$AE$2:$AE59))</f>
        <v>#N/A</v>
      </c>
      <c r="H59" s="23" t="e">
        <f>IF(CALENDARIO!$E59="", NA(), SUM(PALPITES!$AI$2:$AI59))</f>
        <v>#N/A</v>
      </c>
      <c r="I59" s="23" t="e">
        <f>IF(CALENDARIO!$E59="", NA(), SUM(PALPITES!$AM$2:$AM59))</f>
        <v>#N/A</v>
      </c>
      <c r="J59" s="23" t="e">
        <f>IF(CALENDARIO!$E59="", NA(), SUM(PALPITES!$AQ$2:$AQ59))</f>
        <v>#N/A</v>
      </c>
      <c r="K59" s="23" t="e">
        <f>IF(CALENDARIO!$E59="", NA(), SUM(PALPITES!$AU$2:$AU59))</f>
        <v>#N/A</v>
      </c>
      <c r="L59" s="23" t="e">
        <f>IF(CALENDARIO!$E59="", NA(), SUM(PALPITES!$AY$2:$AY59))</f>
        <v>#N/A</v>
      </c>
      <c r="M59" s="23" t="e">
        <f>IF(CALENDARIO!$E59="", NA(), SUM(PALPITES!$BC$2:$BC59))</f>
        <v>#N/A</v>
      </c>
      <c r="N59" s="23" t="e">
        <f>IF(CALENDARIO!$E59="", NA(), SUM(PALPITES!$BG$2:$BG59))</f>
        <v>#N/A</v>
      </c>
      <c r="O59" s="23" t="e">
        <f>IF(CALENDARIO!$E59="", NA(), SUM(PALPITES!$BK$2:$BK59))</f>
        <v>#N/A</v>
      </c>
    </row>
    <row r="60" spans="1:15">
      <c r="A60" s="23">
        <v>59</v>
      </c>
      <c r="B60" s="23" t="e">
        <f>IF(CALENDARIO!$E60="", NA(), SUM(PALPITES!$K$2:$K60))</f>
        <v>#N/A</v>
      </c>
      <c r="C60" s="23" t="e">
        <f>IF(CALENDARIO!$E60="", NA(), SUM(PALPITES!$O$2:$O60))</f>
        <v>#N/A</v>
      </c>
      <c r="D60" s="23" t="e">
        <f>IF(CALENDARIO!$E60="", NA(), SUM(PALPITES!$S$2:$S60))</f>
        <v>#N/A</v>
      </c>
      <c r="E60" s="23" t="e">
        <f>IF(CALENDARIO!$E60="", NA(), SUM(PALPITES!$W$2:$W60))</f>
        <v>#N/A</v>
      </c>
      <c r="F60" s="23" t="e">
        <f>IF(CALENDARIO!$E60="", NA(), SUM(PALPITES!$AA$2:$AA60))</f>
        <v>#N/A</v>
      </c>
      <c r="G60" s="23" t="e">
        <f>IF(CALENDARIO!$E60="", NA(), SUM(PALPITES!$AE$2:$AE60))</f>
        <v>#N/A</v>
      </c>
      <c r="H60" s="23" t="e">
        <f>IF(CALENDARIO!$E60="", NA(), SUM(PALPITES!$AI$2:$AI60))</f>
        <v>#N/A</v>
      </c>
      <c r="I60" s="23" t="e">
        <f>IF(CALENDARIO!$E60="", NA(), SUM(PALPITES!$AM$2:$AM60))</f>
        <v>#N/A</v>
      </c>
      <c r="J60" s="23" t="e">
        <f>IF(CALENDARIO!$E60="", NA(), SUM(PALPITES!$AQ$2:$AQ60))</f>
        <v>#N/A</v>
      </c>
      <c r="K60" s="23" t="e">
        <f>IF(CALENDARIO!$E60="", NA(), SUM(PALPITES!$AU$2:$AU60))</f>
        <v>#N/A</v>
      </c>
      <c r="L60" s="23" t="e">
        <f>IF(CALENDARIO!$E60="", NA(), SUM(PALPITES!$AY$2:$AY60))</f>
        <v>#N/A</v>
      </c>
      <c r="M60" s="23" t="e">
        <f>IF(CALENDARIO!$E60="", NA(), SUM(PALPITES!$BC$2:$BC60))</f>
        <v>#N/A</v>
      </c>
      <c r="N60" s="23" t="e">
        <f>IF(CALENDARIO!$E60="", NA(), SUM(PALPITES!$BG$2:$BG60))</f>
        <v>#N/A</v>
      </c>
      <c r="O60" s="23" t="e">
        <f>IF(CALENDARIO!$E60="", NA(), SUM(PALPITES!$BK$2:$BK60))</f>
        <v>#N/A</v>
      </c>
    </row>
    <row r="61" spans="1:15">
      <c r="A61" s="23">
        <v>60</v>
      </c>
      <c r="B61" s="23" t="e">
        <f>IF(CALENDARIO!$E61="", NA(), SUM(PALPITES!$K$2:$K61))</f>
        <v>#N/A</v>
      </c>
      <c r="C61" s="23" t="e">
        <f>IF(CALENDARIO!$E61="", NA(), SUM(PALPITES!$O$2:$O61))</f>
        <v>#N/A</v>
      </c>
      <c r="D61" s="23" t="e">
        <f>IF(CALENDARIO!$E61="", NA(), SUM(PALPITES!$S$2:$S61))</f>
        <v>#N/A</v>
      </c>
      <c r="E61" s="23" t="e">
        <f>IF(CALENDARIO!$E61="", NA(), SUM(PALPITES!$W$2:$W61))</f>
        <v>#N/A</v>
      </c>
      <c r="F61" s="23" t="e">
        <f>IF(CALENDARIO!$E61="", NA(), SUM(PALPITES!$AA$2:$AA61))</f>
        <v>#N/A</v>
      </c>
      <c r="G61" s="23" t="e">
        <f>IF(CALENDARIO!$E61="", NA(), SUM(PALPITES!$AE$2:$AE61))</f>
        <v>#N/A</v>
      </c>
      <c r="H61" s="23" t="e">
        <f>IF(CALENDARIO!$E61="", NA(), SUM(PALPITES!$AI$2:$AI61))</f>
        <v>#N/A</v>
      </c>
      <c r="I61" s="23" t="e">
        <f>IF(CALENDARIO!$E61="", NA(), SUM(PALPITES!$AM$2:$AM61))</f>
        <v>#N/A</v>
      </c>
      <c r="J61" s="23" t="e">
        <f>IF(CALENDARIO!$E61="", NA(), SUM(PALPITES!$AQ$2:$AQ61))</f>
        <v>#N/A</v>
      </c>
      <c r="K61" s="23" t="e">
        <f>IF(CALENDARIO!$E61="", NA(), SUM(PALPITES!$AU$2:$AU61))</f>
        <v>#N/A</v>
      </c>
      <c r="L61" s="23" t="e">
        <f>IF(CALENDARIO!$E61="", NA(), SUM(PALPITES!$AY$2:$AY61))</f>
        <v>#N/A</v>
      </c>
      <c r="M61" s="23" t="e">
        <f>IF(CALENDARIO!$E61="", NA(), SUM(PALPITES!$BC$2:$BC61))</f>
        <v>#N/A</v>
      </c>
      <c r="N61" s="23" t="e">
        <f>IF(CALENDARIO!$E61="", NA(), SUM(PALPITES!$BG$2:$BG61))</f>
        <v>#N/A</v>
      </c>
      <c r="O61" s="23" t="e">
        <f>IF(CALENDARIO!$E61="", NA(), SUM(PALPITES!$BK$2:$BK61))</f>
        <v>#N/A</v>
      </c>
    </row>
    <row r="62" spans="1:15">
      <c r="A62" s="23">
        <v>61</v>
      </c>
      <c r="B62" s="23" t="e">
        <f>IF(CALENDARIO!$E62="", NA(), SUM(PALPITES!$K$2:$K62))</f>
        <v>#N/A</v>
      </c>
      <c r="C62" s="23" t="e">
        <f>IF(CALENDARIO!$E62="", NA(), SUM(PALPITES!$O$2:$O62))</f>
        <v>#N/A</v>
      </c>
      <c r="D62" s="23" t="e">
        <f>IF(CALENDARIO!$E62="", NA(), SUM(PALPITES!$S$2:$S62))</f>
        <v>#N/A</v>
      </c>
      <c r="E62" s="23" t="e">
        <f>IF(CALENDARIO!$E62="", NA(), SUM(PALPITES!$W$2:$W62))</f>
        <v>#N/A</v>
      </c>
      <c r="F62" s="23" t="e">
        <f>IF(CALENDARIO!$E62="", NA(), SUM(PALPITES!$AA$2:$AA62))</f>
        <v>#N/A</v>
      </c>
      <c r="G62" s="23" t="e">
        <f>IF(CALENDARIO!$E62="", NA(), SUM(PALPITES!$AE$2:$AE62))</f>
        <v>#N/A</v>
      </c>
      <c r="H62" s="23" t="e">
        <f>IF(CALENDARIO!$E62="", NA(), SUM(PALPITES!$AI$2:$AI62))</f>
        <v>#N/A</v>
      </c>
      <c r="I62" s="23" t="e">
        <f>IF(CALENDARIO!$E62="", NA(), SUM(PALPITES!$AM$2:$AM62))</f>
        <v>#N/A</v>
      </c>
      <c r="J62" s="23" t="e">
        <f>IF(CALENDARIO!$E62="", NA(), SUM(PALPITES!$AQ$2:$AQ62))</f>
        <v>#N/A</v>
      </c>
      <c r="K62" s="23" t="e">
        <f>IF(CALENDARIO!$E62="", NA(), SUM(PALPITES!$AU$2:$AU62))</f>
        <v>#N/A</v>
      </c>
      <c r="L62" s="23" t="e">
        <f>IF(CALENDARIO!$E62="", NA(), SUM(PALPITES!$AY$2:$AY62))</f>
        <v>#N/A</v>
      </c>
      <c r="M62" s="23" t="e">
        <f>IF(CALENDARIO!$E62="", NA(), SUM(PALPITES!$BC$2:$BC62))</f>
        <v>#N/A</v>
      </c>
      <c r="N62" s="23" t="e">
        <f>IF(CALENDARIO!$E62="", NA(), SUM(PALPITES!$BG$2:$BG62))</f>
        <v>#N/A</v>
      </c>
      <c r="O62" s="23" t="e">
        <f>IF(CALENDARIO!$E62="", NA(), SUM(PALPITES!$BK$2:$BK62))</f>
        <v>#N/A</v>
      </c>
    </row>
    <row r="63" spans="1:15">
      <c r="A63" s="23">
        <v>62</v>
      </c>
      <c r="B63" s="23" t="e">
        <f>IF(CALENDARIO!$E63="", NA(), SUM(PALPITES!$K$2:$K63))</f>
        <v>#N/A</v>
      </c>
      <c r="C63" s="23" t="e">
        <f>IF(CALENDARIO!$E63="", NA(), SUM(PALPITES!$O$2:$O63))</f>
        <v>#N/A</v>
      </c>
      <c r="D63" s="23" t="e">
        <f>IF(CALENDARIO!$E63="", NA(), SUM(PALPITES!$S$2:$S63))</f>
        <v>#N/A</v>
      </c>
      <c r="E63" s="23" t="e">
        <f>IF(CALENDARIO!$E63="", NA(), SUM(PALPITES!$W$2:$W63))</f>
        <v>#N/A</v>
      </c>
      <c r="F63" s="23" t="e">
        <f>IF(CALENDARIO!$E63="", NA(), SUM(PALPITES!$AA$2:$AA63))</f>
        <v>#N/A</v>
      </c>
      <c r="G63" s="23" t="e">
        <f>IF(CALENDARIO!$E63="", NA(), SUM(PALPITES!$AE$2:$AE63))</f>
        <v>#N/A</v>
      </c>
      <c r="H63" s="23" t="e">
        <f>IF(CALENDARIO!$E63="", NA(), SUM(PALPITES!$AI$2:$AI63))</f>
        <v>#N/A</v>
      </c>
      <c r="I63" s="23" t="e">
        <f>IF(CALENDARIO!$E63="", NA(), SUM(PALPITES!$AM$2:$AM63))</f>
        <v>#N/A</v>
      </c>
      <c r="J63" s="23" t="e">
        <f>IF(CALENDARIO!$E63="", NA(), SUM(PALPITES!$AQ$2:$AQ63))</f>
        <v>#N/A</v>
      </c>
      <c r="K63" s="23" t="e">
        <f>IF(CALENDARIO!$E63="", NA(), SUM(PALPITES!$AU$2:$AU63))</f>
        <v>#N/A</v>
      </c>
      <c r="L63" s="23" t="e">
        <f>IF(CALENDARIO!$E63="", NA(), SUM(PALPITES!$AY$2:$AY63))</f>
        <v>#N/A</v>
      </c>
      <c r="M63" s="23" t="e">
        <f>IF(CALENDARIO!$E63="", NA(), SUM(PALPITES!$BC$2:$BC63))</f>
        <v>#N/A</v>
      </c>
      <c r="N63" s="23" t="e">
        <f>IF(CALENDARIO!$E63="", NA(), SUM(PALPITES!$BG$2:$BG63))</f>
        <v>#N/A</v>
      </c>
      <c r="O63" s="23" t="e">
        <f>IF(CALENDARIO!$E63="", NA(), SUM(PALPITES!$BK$2:$BK63))</f>
        <v>#N/A</v>
      </c>
    </row>
    <row r="64" spans="1:15">
      <c r="A64" s="23">
        <v>63</v>
      </c>
      <c r="B64" s="23" t="e">
        <f>IF(CALENDARIO!$E64="", NA(), SUM(PALPITES!$K$2:$K64))</f>
        <v>#N/A</v>
      </c>
      <c r="C64" s="23" t="e">
        <f>IF(CALENDARIO!$E64="", NA(), SUM(PALPITES!$O$2:$O64))</f>
        <v>#N/A</v>
      </c>
      <c r="D64" s="23" t="e">
        <f>IF(CALENDARIO!$E64="", NA(), SUM(PALPITES!$S$2:$S64))</f>
        <v>#N/A</v>
      </c>
      <c r="E64" s="23" t="e">
        <f>IF(CALENDARIO!$E64="", NA(), SUM(PALPITES!$W$2:$W64))</f>
        <v>#N/A</v>
      </c>
      <c r="F64" s="23" t="e">
        <f>IF(CALENDARIO!$E64="", NA(), SUM(PALPITES!$AA$2:$AA64))</f>
        <v>#N/A</v>
      </c>
      <c r="G64" s="23" t="e">
        <f>IF(CALENDARIO!$E64="", NA(), SUM(PALPITES!$AE$2:$AE64))</f>
        <v>#N/A</v>
      </c>
      <c r="H64" s="23" t="e">
        <f>IF(CALENDARIO!$E64="", NA(), SUM(PALPITES!$AI$2:$AI64))</f>
        <v>#N/A</v>
      </c>
      <c r="I64" s="23" t="e">
        <f>IF(CALENDARIO!$E64="", NA(), SUM(PALPITES!$AM$2:$AM64))</f>
        <v>#N/A</v>
      </c>
      <c r="J64" s="23" t="e">
        <f>IF(CALENDARIO!$E64="", NA(), SUM(PALPITES!$AQ$2:$AQ64))</f>
        <v>#N/A</v>
      </c>
      <c r="K64" s="23" t="e">
        <f>IF(CALENDARIO!$E64="", NA(), SUM(PALPITES!$AU$2:$AU64))</f>
        <v>#N/A</v>
      </c>
      <c r="L64" s="23" t="e">
        <f>IF(CALENDARIO!$E64="", NA(), SUM(PALPITES!$AY$2:$AY64))</f>
        <v>#N/A</v>
      </c>
      <c r="M64" s="23" t="e">
        <f>IF(CALENDARIO!$E64="", NA(), SUM(PALPITES!$BC$2:$BC64))</f>
        <v>#N/A</v>
      </c>
      <c r="N64" s="23" t="e">
        <f>IF(CALENDARIO!$E64="", NA(), SUM(PALPITES!$BG$2:$BG64))</f>
        <v>#N/A</v>
      </c>
      <c r="O64" s="23" t="e">
        <f>IF(CALENDARIO!$E64="", NA(), SUM(PALPITES!$BK$2:$BK64))</f>
        <v>#N/A</v>
      </c>
    </row>
    <row r="65" spans="1:15">
      <c r="A65" s="23">
        <v>64</v>
      </c>
      <c r="B65" s="23" t="e">
        <f>IF(CALENDARIO!$E65="", NA(), SUM(PALPITES!$K$2:$K65))</f>
        <v>#N/A</v>
      </c>
      <c r="C65" s="23" t="e">
        <f>IF(CALENDARIO!$E65="", NA(), SUM(PALPITES!$O$2:$O65))</f>
        <v>#N/A</v>
      </c>
      <c r="D65" s="23" t="e">
        <f>IF(CALENDARIO!$E65="", NA(), SUM(PALPITES!$S$2:$S65))</f>
        <v>#N/A</v>
      </c>
      <c r="E65" s="23" t="e">
        <f>IF(CALENDARIO!$E65="", NA(), SUM(PALPITES!$W$2:$W65))</f>
        <v>#N/A</v>
      </c>
      <c r="F65" s="23" t="e">
        <f>IF(CALENDARIO!$E65="", NA(), SUM(PALPITES!$AA$2:$AA65))</f>
        <v>#N/A</v>
      </c>
      <c r="G65" s="23" t="e">
        <f>IF(CALENDARIO!$E65="", NA(), SUM(PALPITES!$AE$2:$AE65))</f>
        <v>#N/A</v>
      </c>
      <c r="H65" s="23" t="e">
        <f>IF(CALENDARIO!$E65="", NA(), SUM(PALPITES!$AI$2:$AI65))</f>
        <v>#N/A</v>
      </c>
      <c r="I65" s="23" t="e">
        <f>IF(CALENDARIO!$E65="", NA(), SUM(PALPITES!$AM$2:$AM65))</f>
        <v>#N/A</v>
      </c>
      <c r="J65" s="23" t="e">
        <f>IF(CALENDARIO!$E65="", NA(), SUM(PALPITES!$AQ$2:$AQ65))</f>
        <v>#N/A</v>
      </c>
      <c r="K65" s="23" t="e">
        <f>IF(CALENDARIO!$E65="", NA(), SUM(PALPITES!$AU$2:$AU65))</f>
        <v>#N/A</v>
      </c>
      <c r="L65" s="23" t="e">
        <f>IF(CALENDARIO!$E65="", NA(), SUM(PALPITES!$AY$2:$AY65))</f>
        <v>#N/A</v>
      </c>
      <c r="M65" s="23" t="e">
        <f>IF(CALENDARIO!$E65="", NA(), SUM(PALPITES!$BC$2:$BC65))</f>
        <v>#N/A</v>
      </c>
      <c r="N65" s="23" t="e">
        <f>IF(CALENDARIO!$E65="", NA(), SUM(PALPITES!$BG$2:$BG65))</f>
        <v>#N/A</v>
      </c>
      <c r="O65" s="23" t="e">
        <f>IF(CALENDARIO!$E65="", NA(), SUM(PALPITES!$BK$2:$BK65))</f>
        <v>#N/A</v>
      </c>
    </row>
    <row r="66" spans="1:15">
      <c r="A66" s="23">
        <v>65</v>
      </c>
      <c r="B66" s="23" t="e">
        <f>IF(CALENDARIO!$E66="", NA(), SUM(PALPITES!$K$2:$K66))</f>
        <v>#N/A</v>
      </c>
      <c r="C66" s="23" t="e">
        <f>IF(CALENDARIO!$E66="", NA(), SUM(PALPITES!$O$2:$O66))</f>
        <v>#N/A</v>
      </c>
      <c r="D66" s="23" t="e">
        <f>IF(CALENDARIO!$E66="", NA(), SUM(PALPITES!$S$2:$S66))</f>
        <v>#N/A</v>
      </c>
      <c r="E66" s="23" t="e">
        <f>IF(CALENDARIO!$E66="", NA(), SUM(PALPITES!$W$2:$W66))</f>
        <v>#N/A</v>
      </c>
      <c r="F66" s="23" t="e">
        <f>IF(CALENDARIO!$E66="", NA(), SUM(PALPITES!$AA$2:$AA66))</f>
        <v>#N/A</v>
      </c>
      <c r="G66" s="23" t="e">
        <f>IF(CALENDARIO!$E66="", NA(), SUM(PALPITES!$AE$2:$AE66))</f>
        <v>#N/A</v>
      </c>
      <c r="H66" s="23" t="e">
        <f>IF(CALENDARIO!$E66="", NA(), SUM(PALPITES!$AI$2:$AI66))</f>
        <v>#N/A</v>
      </c>
      <c r="I66" s="23" t="e">
        <f>IF(CALENDARIO!$E66="", NA(), SUM(PALPITES!$AM$2:$AM66))</f>
        <v>#N/A</v>
      </c>
      <c r="J66" s="23" t="e">
        <f>IF(CALENDARIO!$E66="", NA(), SUM(PALPITES!$AQ$2:$AQ66))</f>
        <v>#N/A</v>
      </c>
      <c r="K66" s="23" t="e">
        <f>IF(CALENDARIO!$E66="", NA(), SUM(PALPITES!$AU$2:$AU66))</f>
        <v>#N/A</v>
      </c>
      <c r="L66" s="23" t="e">
        <f>IF(CALENDARIO!$E66="", NA(), SUM(PALPITES!$AY$2:$AY66))</f>
        <v>#N/A</v>
      </c>
      <c r="M66" s="23" t="e">
        <f>IF(CALENDARIO!$E66="", NA(), SUM(PALPITES!$BC$2:$BC66))</f>
        <v>#N/A</v>
      </c>
      <c r="N66" s="23" t="e">
        <f>IF(CALENDARIO!$E66="", NA(), SUM(PALPITES!$BG$2:$BG66))</f>
        <v>#N/A</v>
      </c>
      <c r="O66" s="23" t="e">
        <f>IF(CALENDARIO!$E66="", NA(), SUM(PALPITES!$BK$2:$BK66))</f>
        <v>#N/A</v>
      </c>
    </row>
    <row r="67" spans="1:15">
      <c r="A67" s="23">
        <v>66</v>
      </c>
      <c r="B67" s="23" t="e">
        <f>IF(CALENDARIO!$E67="", NA(), SUM(PALPITES!$K$2:$K67))</f>
        <v>#N/A</v>
      </c>
      <c r="C67" s="23" t="e">
        <f>IF(CALENDARIO!$E67="", NA(), SUM(PALPITES!$O$2:$O67))</f>
        <v>#N/A</v>
      </c>
      <c r="D67" s="23" t="e">
        <f>IF(CALENDARIO!$E67="", NA(), SUM(PALPITES!$S$2:$S67))</f>
        <v>#N/A</v>
      </c>
      <c r="E67" s="23" t="e">
        <f>IF(CALENDARIO!$E67="", NA(), SUM(PALPITES!$W$2:$W67))</f>
        <v>#N/A</v>
      </c>
      <c r="F67" s="23" t="e">
        <f>IF(CALENDARIO!$E67="", NA(), SUM(PALPITES!$AA$2:$AA67))</f>
        <v>#N/A</v>
      </c>
      <c r="G67" s="23" t="e">
        <f>IF(CALENDARIO!$E67="", NA(), SUM(PALPITES!$AE$2:$AE67))</f>
        <v>#N/A</v>
      </c>
      <c r="H67" s="23" t="e">
        <f>IF(CALENDARIO!$E67="", NA(), SUM(PALPITES!$AI$2:$AI67))</f>
        <v>#N/A</v>
      </c>
      <c r="I67" s="23" t="e">
        <f>IF(CALENDARIO!$E67="", NA(), SUM(PALPITES!$AM$2:$AM67))</f>
        <v>#N/A</v>
      </c>
      <c r="J67" s="23" t="e">
        <f>IF(CALENDARIO!$E67="", NA(), SUM(PALPITES!$AQ$2:$AQ67))</f>
        <v>#N/A</v>
      </c>
      <c r="K67" s="23" t="e">
        <f>IF(CALENDARIO!$E67="", NA(), SUM(PALPITES!$AU$2:$AU67))</f>
        <v>#N/A</v>
      </c>
      <c r="L67" s="23" t="e">
        <f>IF(CALENDARIO!$E67="", NA(), SUM(PALPITES!$AY$2:$AY67))</f>
        <v>#N/A</v>
      </c>
      <c r="M67" s="23" t="e">
        <f>IF(CALENDARIO!$E67="", NA(), SUM(PALPITES!$BC$2:$BC67))</f>
        <v>#N/A</v>
      </c>
      <c r="N67" s="23" t="e">
        <f>IF(CALENDARIO!$E67="", NA(), SUM(PALPITES!$BG$2:$BG67))</f>
        <v>#N/A</v>
      </c>
      <c r="O67" s="23" t="e">
        <f>IF(CALENDARIO!$E67="", NA(), SUM(PALPITES!$BK$2:$BK67))</f>
        <v>#N/A</v>
      </c>
    </row>
    <row r="68" spans="1:15">
      <c r="A68" s="23">
        <v>67</v>
      </c>
      <c r="B68" s="23" t="e">
        <f>IF(CALENDARIO!$E68="", NA(), SUM(PALPITES!$K$2:$K68))</f>
        <v>#N/A</v>
      </c>
      <c r="C68" s="23" t="e">
        <f>IF(CALENDARIO!$E68="", NA(), SUM(PALPITES!$O$2:$O68))</f>
        <v>#N/A</v>
      </c>
      <c r="D68" s="23" t="e">
        <f>IF(CALENDARIO!$E68="", NA(), SUM(PALPITES!$S$2:$S68))</f>
        <v>#N/A</v>
      </c>
      <c r="E68" s="23" t="e">
        <f>IF(CALENDARIO!$E68="", NA(), SUM(PALPITES!$W$2:$W68))</f>
        <v>#N/A</v>
      </c>
      <c r="F68" s="23" t="e">
        <f>IF(CALENDARIO!$E68="", NA(), SUM(PALPITES!$AA$2:$AA68))</f>
        <v>#N/A</v>
      </c>
      <c r="G68" s="23" t="e">
        <f>IF(CALENDARIO!$E68="", NA(), SUM(PALPITES!$AE$2:$AE68))</f>
        <v>#N/A</v>
      </c>
      <c r="H68" s="23" t="e">
        <f>IF(CALENDARIO!$E68="", NA(), SUM(PALPITES!$AI$2:$AI68))</f>
        <v>#N/A</v>
      </c>
      <c r="I68" s="23" t="e">
        <f>IF(CALENDARIO!$E68="", NA(), SUM(PALPITES!$AM$2:$AM68))</f>
        <v>#N/A</v>
      </c>
      <c r="J68" s="23" t="e">
        <f>IF(CALENDARIO!$E68="", NA(), SUM(PALPITES!$AQ$2:$AQ68))</f>
        <v>#N/A</v>
      </c>
      <c r="K68" s="23" t="e">
        <f>IF(CALENDARIO!$E68="", NA(), SUM(PALPITES!$AU$2:$AU68))</f>
        <v>#N/A</v>
      </c>
      <c r="L68" s="23" t="e">
        <f>IF(CALENDARIO!$E68="", NA(), SUM(PALPITES!$AY$2:$AY68))</f>
        <v>#N/A</v>
      </c>
      <c r="M68" s="23" t="e">
        <f>IF(CALENDARIO!$E68="", NA(), SUM(PALPITES!$BC$2:$BC68))</f>
        <v>#N/A</v>
      </c>
      <c r="N68" s="23" t="e">
        <f>IF(CALENDARIO!$E68="", NA(), SUM(PALPITES!$BG$2:$BG68))</f>
        <v>#N/A</v>
      </c>
      <c r="O68" s="23" t="e">
        <f>IF(CALENDARIO!$E68="", NA(), SUM(PALPITES!$BK$2:$BK68))</f>
        <v>#N/A</v>
      </c>
    </row>
    <row r="69" spans="1:15">
      <c r="A69" s="23">
        <v>68</v>
      </c>
      <c r="B69" s="23" t="e">
        <f>IF(CALENDARIO!$E69="", NA(), SUM(PALPITES!$K$2:$K69))</f>
        <v>#N/A</v>
      </c>
      <c r="C69" s="23" t="e">
        <f>IF(CALENDARIO!$E69="", NA(), SUM(PALPITES!$O$2:$O69))</f>
        <v>#N/A</v>
      </c>
      <c r="D69" s="23" t="e">
        <f>IF(CALENDARIO!$E69="", NA(), SUM(PALPITES!$S$2:$S69))</f>
        <v>#N/A</v>
      </c>
      <c r="E69" s="23" t="e">
        <f>IF(CALENDARIO!$E69="", NA(), SUM(PALPITES!$W$2:$W69))</f>
        <v>#N/A</v>
      </c>
      <c r="F69" s="23" t="e">
        <f>IF(CALENDARIO!$E69="", NA(), SUM(PALPITES!$AA$2:$AA69))</f>
        <v>#N/A</v>
      </c>
      <c r="G69" s="23" t="e">
        <f>IF(CALENDARIO!$E69="", NA(), SUM(PALPITES!$AE$2:$AE69))</f>
        <v>#N/A</v>
      </c>
      <c r="H69" s="23" t="e">
        <f>IF(CALENDARIO!$E69="", NA(), SUM(PALPITES!$AI$2:$AI69))</f>
        <v>#N/A</v>
      </c>
      <c r="I69" s="23" t="e">
        <f>IF(CALENDARIO!$E69="", NA(), SUM(PALPITES!$AM$2:$AM69))</f>
        <v>#N/A</v>
      </c>
      <c r="J69" s="23" t="e">
        <f>IF(CALENDARIO!$E69="", NA(), SUM(PALPITES!$AQ$2:$AQ69))</f>
        <v>#N/A</v>
      </c>
      <c r="K69" s="23" t="e">
        <f>IF(CALENDARIO!$E69="", NA(), SUM(PALPITES!$AU$2:$AU69))</f>
        <v>#N/A</v>
      </c>
      <c r="L69" s="23" t="e">
        <f>IF(CALENDARIO!$E69="", NA(), SUM(PALPITES!$AY$2:$AY69))</f>
        <v>#N/A</v>
      </c>
      <c r="M69" s="23" t="e">
        <f>IF(CALENDARIO!$E69="", NA(), SUM(PALPITES!$BC$2:$BC69))</f>
        <v>#N/A</v>
      </c>
      <c r="N69" s="23" t="e">
        <f>IF(CALENDARIO!$E69="", NA(), SUM(PALPITES!$BG$2:$BG69))</f>
        <v>#N/A</v>
      </c>
      <c r="O69" s="23" t="e">
        <f>IF(CALENDARIO!$E69="", NA(), SUM(PALPITES!$BK$2:$BK69))</f>
        <v>#N/A</v>
      </c>
    </row>
    <row r="70" spans="1:15">
      <c r="A70" s="23">
        <v>69</v>
      </c>
      <c r="B70" s="23" t="e">
        <f>IF(CALENDARIO!$E70="", NA(), SUM(PALPITES!$K$2:$K70))</f>
        <v>#N/A</v>
      </c>
      <c r="C70" s="23" t="e">
        <f>IF(CALENDARIO!$E70="", NA(), SUM(PALPITES!$O$2:$O70))</f>
        <v>#N/A</v>
      </c>
      <c r="D70" s="23" t="e">
        <f>IF(CALENDARIO!$E70="", NA(), SUM(PALPITES!$S$2:$S70))</f>
        <v>#N/A</v>
      </c>
      <c r="E70" s="23" t="e">
        <f>IF(CALENDARIO!$E70="", NA(), SUM(PALPITES!$W$2:$W70))</f>
        <v>#N/A</v>
      </c>
      <c r="F70" s="23" t="e">
        <f>IF(CALENDARIO!$E70="", NA(), SUM(PALPITES!$AA$2:$AA70))</f>
        <v>#N/A</v>
      </c>
      <c r="G70" s="23" t="e">
        <f>IF(CALENDARIO!$E70="", NA(), SUM(PALPITES!$AE$2:$AE70))</f>
        <v>#N/A</v>
      </c>
      <c r="H70" s="23" t="e">
        <f>IF(CALENDARIO!$E70="", NA(), SUM(PALPITES!$AI$2:$AI70))</f>
        <v>#N/A</v>
      </c>
      <c r="I70" s="23" t="e">
        <f>IF(CALENDARIO!$E70="", NA(), SUM(PALPITES!$AM$2:$AM70))</f>
        <v>#N/A</v>
      </c>
      <c r="J70" s="23" t="e">
        <f>IF(CALENDARIO!$E70="", NA(), SUM(PALPITES!$AQ$2:$AQ70))</f>
        <v>#N/A</v>
      </c>
      <c r="K70" s="23" t="e">
        <f>IF(CALENDARIO!$E70="", NA(), SUM(PALPITES!$AU$2:$AU70))</f>
        <v>#N/A</v>
      </c>
      <c r="L70" s="23" t="e">
        <f>IF(CALENDARIO!$E70="", NA(), SUM(PALPITES!$AY$2:$AY70))</f>
        <v>#N/A</v>
      </c>
      <c r="M70" s="23" t="e">
        <f>IF(CALENDARIO!$E70="", NA(), SUM(PALPITES!$BC$2:$BC70))</f>
        <v>#N/A</v>
      </c>
      <c r="N70" s="23" t="e">
        <f>IF(CALENDARIO!$E70="", NA(), SUM(PALPITES!$BG$2:$BG70))</f>
        <v>#N/A</v>
      </c>
      <c r="O70" s="23" t="e">
        <f>IF(CALENDARIO!$E70="", NA(), SUM(PALPITES!$BK$2:$BK70))</f>
        <v>#N/A</v>
      </c>
    </row>
    <row r="71" spans="1:15">
      <c r="A71" s="23">
        <v>70</v>
      </c>
      <c r="B71" s="23" t="e">
        <f>IF(CALENDARIO!$E71="", NA(), SUM(PALPITES!$K$2:$K71))</f>
        <v>#N/A</v>
      </c>
      <c r="C71" s="23" t="e">
        <f>IF(CALENDARIO!$E71="", NA(), SUM(PALPITES!$O$2:$O71))</f>
        <v>#N/A</v>
      </c>
      <c r="D71" s="23" t="e">
        <f>IF(CALENDARIO!$E71="", NA(), SUM(PALPITES!$S$2:$S71))</f>
        <v>#N/A</v>
      </c>
      <c r="E71" s="23" t="e">
        <f>IF(CALENDARIO!$E71="", NA(), SUM(PALPITES!$W$2:$W71))</f>
        <v>#N/A</v>
      </c>
      <c r="F71" s="23" t="e">
        <f>IF(CALENDARIO!$E71="", NA(), SUM(PALPITES!$AA$2:$AA71))</f>
        <v>#N/A</v>
      </c>
      <c r="G71" s="23" t="e">
        <f>IF(CALENDARIO!$E71="", NA(), SUM(PALPITES!$AE$2:$AE71))</f>
        <v>#N/A</v>
      </c>
      <c r="H71" s="23" t="e">
        <f>IF(CALENDARIO!$E71="", NA(), SUM(PALPITES!$AI$2:$AI71))</f>
        <v>#N/A</v>
      </c>
      <c r="I71" s="23" t="e">
        <f>IF(CALENDARIO!$E71="", NA(), SUM(PALPITES!$AM$2:$AM71))</f>
        <v>#N/A</v>
      </c>
      <c r="J71" s="23" t="e">
        <f>IF(CALENDARIO!$E71="", NA(), SUM(PALPITES!$AQ$2:$AQ71))</f>
        <v>#N/A</v>
      </c>
      <c r="K71" s="23" t="e">
        <f>IF(CALENDARIO!$E71="", NA(), SUM(PALPITES!$AU$2:$AU71))</f>
        <v>#N/A</v>
      </c>
      <c r="L71" s="23" t="e">
        <f>IF(CALENDARIO!$E71="", NA(), SUM(PALPITES!$AY$2:$AY71))</f>
        <v>#N/A</v>
      </c>
      <c r="M71" s="23" t="e">
        <f>IF(CALENDARIO!$E71="", NA(), SUM(PALPITES!$BC$2:$BC71))</f>
        <v>#N/A</v>
      </c>
      <c r="N71" s="23" t="e">
        <f>IF(CALENDARIO!$E71="", NA(), SUM(PALPITES!$BG$2:$BG71))</f>
        <v>#N/A</v>
      </c>
      <c r="O71" s="23" t="e">
        <f>IF(CALENDARIO!$E71="", NA(), SUM(PALPITES!$BK$2:$BK71))</f>
        <v>#N/A</v>
      </c>
    </row>
    <row r="72" spans="1:15">
      <c r="A72" s="23">
        <v>71</v>
      </c>
      <c r="B72" s="23" t="e">
        <f>IF(CALENDARIO!$E72="", NA(), SUM(PALPITES!$K$2:$K72))</f>
        <v>#N/A</v>
      </c>
      <c r="C72" s="23" t="e">
        <f>IF(CALENDARIO!$E72="", NA(), SUM(PALPITES!$O$2:$O72))</f>
        <v>#N/A</v>
      </c>
      <c r="D72" s="23" t="e">
        <f>IF(CALENDARIO!$E72="", NA(), SUM(PALPITES!$S$2:$S72))</f>
        <v>#N/A</v>
      </c>
      <c r="E72" s="23" t="e">
        <f>IF(CALENDARIO!$E72="", NA(), SUM(PALPITES!$W$2:$W72))</f>
        <v>#N/A</v>
      </c>
      <c r="F72" s="23" t="e">
        <f>IF(CALENDARIO!$E72="", NA(), SUM(PALPITES!$AA$2:$AA72))</f>
        <v>#N/A</v>
      </c>
      <c r="G72" s="23" t="e">
        <f>IF(CALENDARIO!$E72="", NA(), SUM(PALPITES!$AE$2:$AE72))</f>
        <v>#N/A</v>
      </c>
      <c r="H72" s="23" t="e">
        <f>IF(CALENDARIO!$E72="", NA(), SUM(PALPITES!$AI$2:$AI72))</f>
        <v>#N/A</v>
      </c>
      <c r="I72" s="23" t="e">
        <f>IF(CALENDARIO!$E72="", NA(), SUM(PALPITES!$AM$2:$AM72))</f>
        <v>#N/A</v>
      </c>
      <c r="J72" s="23" t="e">
        <f>IF(CALENDARIO!$E72="", NA(), SUM(PALPITES!$AQ$2:$AQ72))</f>
        <v>#N/A</v>
      </c>
      <c r="K72" s="23" t="e">
        <f>IF(CALENDARIO!$E72="", NA(), SUM(PALPITES!$AU$2:$AU72))</f>
        <v>#N/A</v>
      </c>
      <c r="L72" s="23" t="e">
        <f>IF(CALENDARIO!$E72="", NA(), SUM(PALPITES!$AY$2:$AY72))</f>
        <v>#N/A</v>
      </c>
      <c r="M72" s="23" t="e">
        <f>IF(CALENDARIO!$E72="", NA(), SUM(PALPITES!$BC$2:$BC72))</f>
        <v>#N/A</v>
      </c>
      <c r="N72" s="23" t="e">
        <f>IF(CALENDARIO!$E72="", NA(), SUM(PALPITES!$BG$2:$BG72))</f>
        <v>#N/A</v>
      </c>
      <c r="O72" s="23" t="e">
        <f>IF(CALENDARIO!$E72="", NA(), SUM(PALPITES!$BK$2:$BK72))</f>
        <v>#N/A</v>
      </c>
    </row>
    <row r="73" spans="1:15">
      <c r="A73" s="23">
        <v>72</v>
      </c>
      <c r="B73" s="23" t="e">
        <f>IF(CALENDARIO!$E73="", NA(), SUM(PALPITES!$K$2:$K73))</f>
        <v>#N/A</v>
      </c>
      <c r="C73" s="23" t="e">
        <f>IF(CALENDARIO!$E73="", NA(), SUM(PALPITES!$O$2:$O73))</f>
        <v>#N/A</v>
      </c>
      <c r="D73" s="23" t="e">
        <f>IF(CALENDARIO!$E73="", NA(), SUM(PALPITES!$S$2:$S73))</f>
        <v>#N/A</v>
      </c>
      <c r="E73" s="23" t="e">
        <f>IF(CALENDARIO!$E73="", NA(), SUM(PALPITES!$W$2:$W73))</f>
        <v>#N/A</v>
      </c>
      <c r="F73" s="23" t="e">
        <f>IF(CALENDARIO!$E73="", NA(), SUM(PALPITES!$AA$2:$AA73))</f>
        <v>#N/A</v>
      </c>
      <c r="G73" s="23" t="e">
        <f>IF(CALENDARIO!$E73="", NA(), SUM(PALPITES!$AE$2:$AE73))</f>
        <v>#N/A</v>
      </c>
      <c r="H73" s="23" t="e">
        <f>IF(CALENDARIO!$E73="", NA(), SUM(PALPITES!$AI$2:$AI73))</f>
        <v>#N/A</v>
      </c>
      <c r="I73" s="23" t="e">
        <f>IF(CALENDARIO!$E73="", NA(), SUM(PALPITES!$AM$2:$AM73))</f>
        <v>#N/A</v>
      </c>
      <c r="J73" s="23" t="e">
        <f>IF(CALENDARIO!$E73="", NA(), SUM(PALPITES!$AQ$2:$AQ73))</f>
        <v>#N/A</v>
      </c>
      <c r="K73" s="23" t="e">
        <f>IF(CALENDARIO!$E73="", NA(), SUM(PALPITES!$AU$2:$AU73))</f>
        <v>#N/A</v>
      </c>
      <c r="L73" s="23" t="e">
        <f>IF(CALENDARIO!$E73="", NA(), SUM(PALPITES!$AY$2:$AY73))</f>
        <v>#N/A</v>
      </c>
      <c r="M73" s="23" t="e">
        <f>IF(CALENDARIO!$E73="", NA(), SUM(PALPITES!$BC$2:$BC73))</f>
        <v>#N/A</v>
      </c>
      <c r="N73" s="23" t="e">
        <f>IF(CALENDARIO!$E73="", NA(), SUM(PALPITES!$BG$2:$BG73))</f>
        <v>#N/A</v>
      </c>
      <c r="O73" s="23" t="e">
        <f>IF(CALENDARIO!$E73="", NA(), SUM(PALPITES!$BK$2:$BK73))</f>
        <v>#N/A</v>
      </c>
    </row>
    <row r="74" spans="1:15">
      <c r="A74" s="23">
        <v>73</v>
      </c>
      <c r="B74" s="23" t="e">
        <f>IF(CALENDARIO!$E74="", NA(), SUM(PALPITES!$K$2:$K74))</f>
        <v>#N/A</v>
      </c>
      <c r="C74" s="23" t="e">
        <f>IF(CALENDARIO!$E74="", NA(), SUM(PALPITES!$O$2:$O74))</f>
        <v>#N/A</v>
      </c>
      <c r="D74" s="23" t="e">
        <f>IF(CALENDARIO!$E74="", NA(), SUM(PALPITES!$S$2:$S74))</f>
        <v>#N/A</v>
      </c>
      <c r="E74" s="23" t="e">
        <f>IF(CALENDARIO!$E74="", NA(), SUM(PALPITES!$W$2:$W74))</f>
        <v>#N/A</v>
      </c>
      <c r="F74" s="23" t="e">
        <f>IF(CALENDARIO!$E74="", NA(), SUM(PALPITES!$AA$2:$AA74))</f>
        <v>#N/A</v>
      </c>
      <c r="G74" s="23" t="e">
        <f>IF(CALENDARIO!$E74="", NA(), SUM(PALPITES!$AE$2:$AE74))</f>
        <v>#N/A</v>
      </c>
      <c r="H74" s="23" t="e">
        <f>IF(CALENDARIO!$E74="", NA(), SUM(PALPITES!$AI$2:$AI74))</f>
        <v>#N/A</v>
      </c>
      <c r="I74" s="23" t="e">
        <f>IF(CALENDARIO!$E74="", NA(), SUM(PALPITES!$AM$2:$AM74))</f>
        <v>#N/A</v>
      </c>
      <c r="J74" s="23" t="e">
        <f>IF(CALENDARIO!$E74="", NA(), SUM(PALPITES!$AQ$2:$AQ74))</f>
        <v>#N/A</v>
      </c>
      <c r="K74" s="23" t="e">
        <f>IF(CALENDARIO!$E74="", NA(), SUM(PALPITES!$AU$2:$AU74))</f>
        <v>#N/A</v>
      </c>
      <c r="L74" s="23" t="e">
        <f>IF(CALENDARIO!$E74="", NA(), SUM(PALPITES!$AY$2:$AY74))</f>
        <v>#N/A</v>
      </c>
      <c r="M74" s="23" t="e">
        <f>IF(CALENDARIO!$E74="", NA(), SUM(PALPITES!$BC$2:$BC74))</f>
        <v>#N/A</v>
      </c>
      <c r="N74" s="23" t="e">
        <f>IF(CALENDARIO!$E74="", NA(), SUM(PALPITES!$BG$2:$BG74))</f>
        <v>#N/A</v>
      </c>
      <c r="O74" s="23" t="e">
        <f>IF(CALENDARIO!$E74="", NA(), SUM(PALPITES!$BK$2:$BK74))</f>
        <v>#N/A</v>
      </c>
    </row>
    <row r="75" spans="1:15">
      <c r="A75" s="23">
        <v>74</v>
      </c>
      <c r="B75" s="23" t="e">
        <f>IF(CALENDARIO!$E75="", NA(), SUM(PALPITES!$K$2:$K75))</f>
        <v>#N/A</v>
      </c>
      <c r="C75" s="23" t="e">
        <f>IF(CALENDARIO!$E75="", NA(), SUM(PALPITES!$O$2:$O75))</f>
        <v>#N/A</v>
      </c>
      <c r="D75" s="23" t="e">
        <f>IF(CALENDARIO!$E75="", NA(), SUM(PALPITES!$S$2:$S75))</f>
        <v>#N/A</v>
      </c>
      <c r="E75" s="23" t="e">
        <f>IF(CALENDARIO!$E75="", NA(), SUM(PALPITES!$W$2:$W75))</f>
        <v>#N/A</v>
      </c>
      <c r="F75" s="23" t="e">
        <f>IF(CALENDARIO!$E75="", NA(), SUM(PALPITES!$AA$2:$AA75))</f>
        <v>#N/A</v>
      </c>
      <c r="G75" s="23" t="e">
        <f>IF(CALENDARIO!$E75="", NA(), SUM(PALPITES!$AE$2:$AE75))</f>
        <v>#N/A</v>
      </c>
      <c r="H75" s="23" t="e">
        <f>IF(CALENDARIO!$E75="", NA(), SUM(PALPITES!$AI$2:$AI75))</f>
        <v>#N/A</v>
      </c>
      <c r="I75" s="23" t="e">
        <f>IF(CALENDARIO!$E75="", NA(), SUM(PALPITES!$AM$2:$AM75))</f>
        <v>#N/A</v>
      </c>
      <c r="J75" s="23" t="e">
        <f>IF(CALENDARIO!$E75="", NA(), SUM(PALPITES!$AQ$2:$AQ75))</f>
        <v>#N/A</v>
      </c>
      <c r="K75" s="23" t="e">
        <f>IF(CALENDARIO!$E75="", NA(), SUM(PALPITES!$AU$2:$AU75))</f>
        <v>#N/A</v>
      </c>
      <c r="L75" s="23" t="e">
        <f>IF(CALENDARIO!$E75="", NA(), SUM(PALPITES!$AY$2:$AY75))</f>
        <v>#N/A</v>
      </c>
      <c r="M75" s="23" t="e">
        <f>IF(CALENDARIO!$E75="", NA(), SUM(PALPITES!$BC$2:$BC75))</f>
        <v>#N/A</v>
      </c>
      <c r="N75" s="23" t="e">
        <f>IF(CALENDARIO!$E75="", NA(), SUM(PALPITES!$BG$2:$BG75))</f>
        <v>#N/A</v>
      </c>
      <c r="O75" s="23" t="e">
        <f>IF(CALENDARIO!$E75="", NA(), SUM(PALPITES!$BK$2:$BK75))</f>
        <v>#N/A</v>
      </c>
    </row>
    <row r="76" spans="1:15">
      <c r="A76" s="23">
        <v>75</v>
      </c>
      <c r="B76" s="23" t="e">
        <f>IF(CALENDARIO!$E76="", NA(), SUM(PALPITES!$K$2:$K76))</f>
        <v>#N/A</v>
      </c>
      <c r="C76" s="23" t="e">
        <f>IF(CALENDARIO!$E76="", NA(), SUM(PALPITES!$O$2:$O76))</f>
        <v>#N/A</v>
      </c>
      <c r="D76" s="23" t="e">
        <f>IF(CALENDARIO!$E76="", NA(), SUM(PALPITES!$S$2:$S76))</f>
        <v>#N/A</v>
      </c>
      <c r="E76" s="23" t="e">
        <f>IF(CALENDARIO!$E76="", NA(), SUM(PALPITES!$W$2:$W76))</f>
        <v>#N/A</v>
      </c>
      <c r="F76" s="23" t="e">
        <f>IF(CALENDARIO!$E76="", NA(), SUM(PALPITES!$AA$2:$AA76))</f>
        <v>#N/A</v>
      </c>
      <c r="G76" s="23" t="e">
        <f>IF(CALENDARIO!$E76="", NA(), SUM(PALPITES!$AE$2:$AE76))</f>
        <v>#N/A</v>
      </c>
      <c r="H76" s="23" t="e">
        <f>IF(CALENDARIO!$E76="", NA(), SUM(PALPITES!$AI$2:$AI76))</f>
        <v>#N/A</v>
      </c>
      <c r="I76" s="23" t="e">
        <f>IF(CALENDARIO!$E76="", NA(), SUM(PALPITES!$AM$2:$AM76))</f>
        <v>#N/A</v>
      </c>
      <c r="J76" s="23" t="e">
        <f>IF(CALENDARIO!$E76="", NA(), SUM(PALPITES!$AQ$2:$AQ76))</f>
        <v>#N/A</v>
      </c>
      <c r="K76" s="23" t="e">
        <f>IF(CALENDARIO!$E76="", NA(), SUM(PALPITES!$AU$2:$AU76))</f>
        <v>#N/A</v>
      </c>
      <c r="L76" s="23" t="e">
        <f>IF(CALENDARIO!$E76="", NA(), SUM(PALPITES!$AY$2:$AY76))</f>
        <v>#N/A</v>
      </c>
      <c r="M76" s="23" t="e">
        <f>IF(CALENDARIO!$E76="", NA(), SUM(PALPITES!$BC$2:$BC76))</f>
        <v>#N/A</v>
      </c>
      <c r="N76" s="23" t="e">
        <f>IF(CALENDARIO!$E76="", NA(), SUM(PALPITES!$BG$2:$BG76))</f>
        <v>#N/A</v>
      </c>
      <c r="O76" s="23" t="e">
        <f>IF(CALENDARIO!$E76="", NA(), SUM(PALPITES!$BK$2:$BK76))</f>
        <v>#N/A</v>
      </c>
    </row>
    <row r="77" spans="1:15">
      <c r="A77" s="23">
        <v>76</v>
      </c>
      <c r="B77" s="23" t="e">
        <f>IF(CALENDARIO!$E77="", NA(), SUM(PALPITES!$K$2:$K77))</f>
        <v>#N/A</v>
      </c>
      <c r="C77" s="23" t="e">
        <f>IF(CALENDARIO!$E77="", NA(), SUM(PALPITES!$O$2:$O77))</f>
        <v>#N/A</v>
      </c>
      <c r="D77" s="23" t="e">
        <f>IF(CALENDARIO!$E77="", NA(), SUM(PALPITES!$S$2:$S77))</f>
        <v>#N/A</v>
      </c>
      <c r="E77" s="23" t="e">
        <f>IF(CALENDARIO!$E77="", NA(), SUM(PALPITES!$W$2:$W77))</f>
        <v>#N/A</v>
      </c>
      <c r="F77" s="23" t="e">
        <f>IF(CALENDARIO!$E77="", NA(), SUM(PALPITES!$AA$2:$AA77))</f>
        <v>#N/A</v>
      </c>
      <c r="G77" s="23" t="e">
        <f>IF(CALENDARIO!$E77="", NA(), SUM(PALPITES!$AE$2:$AE77))</f>
        <v>#N/A</v>
      </c>
      <c r="H77" s="23" t="e">
        <f>IF(CALENDARIO!$E77="", NA(), SUM(PALPITES!$AI$2:$AI77))</f>
        <v>#N/A</v>
      </c>
      <c r="I77" s="23" t="e">
        <f>IF(CALENDARIO!$E77="", NA(), SUM(PALPITES!$AM$2:$AM77))</f>
        <v>#N/A</v>
      </c>
      <c r="J77" s="23" t="e">
        <f>IF(CALENDARIO!$E77="", NA(), SUM(PALPITES!$AQ$2:$AQ77))</f>
        <v>#N/A</v>
      </c>
      <c r="K77" s="23" t="e">
        <f>IF(CALENDARIO!$E77="", NA(), SUM(PALPITES!$AU$2:$AU77))</f>
        <v>#N/A</v>
      </c>
      <c r="L77" s="23" t="e">
        <f>IF(CALENDARIO!$E77="", NA(), SUM(PALPITES!$AY$2:$AY77))</f>
        <v>#N/A</v>
      </c>
      <c r="M77" s="23" t="e">
        <f>IF(CALENDARIO!$E77="", NA(), SUM(PALPITES!$BC$2:$BC77))</f>
        <v>#N/A</v>
      </c>
      <c r="N77" s="23" t="e">
        <f>IF(CALENDARIO!$E77="", NA(), SUM(PALPITES!$BG$2:$BG77))</f>
        <v>#N/A</v>
      </c>
      <c r="O77" s="23" t="e">
        <f>IF(CALENDARIO!$E77="", NA(), SUM(PALPITES!$BK$2:$BK77))</f>
        <v>#N/A</v>
      </c>
    </row>
    <row r="78" spans="1:15">
      <c r="A78" s="23">
        <v>77</v>
      </c>
      <c r="B78" s="23" t="e">
        <f>IF(CALENDARIO!$E78="", NA(), SUM(PALPITES!$K$2:$K78))</f>
        <v>#N/A</v>
      </c>
      <c r="C78" s="23" t="e">
        <f>IF(CALENDARIO!$E78="", NA(), SUM(PALPITES!$O$2:$O78))</f>
        <v>#N/A</v>
      </c>
      <c r="D78" s="23" t="e">
        <f>IF(CALENDARIO!$E78="", NA(), SUM(PALPITES!$S$2:$S78))</f>
        <v>#N/A</v>
      </c>
      <c r="E78" s="23" t="e">
        <f>IF(CALENDARIO!$E78="", NA(), SUM(PALPITES!$W$2:$W78))</f>
        <v>#N/A</v>
      </c>
      <c r="F78" s="23" t="e">
        <f>IF(CALENDARIO!$E78="", NA(), SUM(PALPITES!$AA$2:$AA78))</f>
        <v>#N/A</v>
      </c>
      <c r="G78" s="23" t="e">
        <f>IF(CALENDARIO!$E78="", NA(), SUM(PALPITES!$AE$2:$AE78))</f>
        <v>#N/A</v>
      </c>
      <c r="H78" s="23" t="e">
        <f>IF(CALENDARIO!$E78="", NA(), SUM(PALPITES!$AI$2:$AI78))</f>
        <v>#N/A</v>
      </c>
      <c r="I78" s="23" t="e">
        <f>IF(CALENDARIO!$E78="", NA(), SUM(PALPITES!$AM$2:$AM78))</f>
        <v>#N/A</v>
      </c>
      <c r="J78" s="23" t="e">
        <f>IF(CALENDARIO!$E78="", NA(), SUM(PALPITES!$AQ$2:$AQ78))</f>
        <v>#N/A</v>
      </c>
      <c r="K78" s="23" t="e">
        <f>IF(CALENDARIO!$E78="", NA(), SUM(PALPITES!$AU$2:$AU78))</f>
        <v>#N/A</v>
      </c>
      <c r="L78" s="23" t="e">
        <f>IF(CALENDARIO!$E78="", NA(), SUM(PALPITES!$AY$2:$AY78))</f>
        <v>#N/A</v>
      </c>
      <c r="M78" s="23" t="e">
        <f>IF(CALENDARIO!$E78="", NA(), SUM(PALPITES!$BC$2:$BC78))</f>
        <v>#N/A</v>
      </c>
      <c r="N78" s="23" t="e">
        <f>IF(CALENDARIO!$E78="", NA(), SUM(PALPITES!$BG$2:$BG78))</f>
        <v>#N/A</v>
      </c>
      <c r="O78" s="23" t="e">
        <f>IF(CALENDARIO!$E78="", NA(), SUM(PALPITES!$BK$2:$BK78))</f>
        <v>#N/A</v>
      </c>
    </row>
    <row r="79" spans="1:15">
      <c r="A79" s="23">
        <v>78</v>
      </c>
      <c r="B79" s="23" t="e">
        <f>IF(CALENDARIO!$E79="", NA(), SUM(PALPITES!$K$2:$K79))</f>
        <v>#N/A</v>
      </c>
      <c r="C79" s="23" t="e">
        <f>IF(CALENDARIO!$E79="", NA(), SUM(PALPITES!$O$2:$O79))</f>
        <v>#N/A</v>
      </c>
      <c r="D79" s="23" t="e">
        <f>IF(CALENDARIO!$E79="", NA(), SUM(PALPITES!$S$2:$S79))</f>
        <v>#N/A</v>
      </c>
      <c r="E79" s="23" t="e">
        <f>IF(CALENDARIO!$E79="", NA(), SUM(PALPITES!$W$2:$W79))</f>
        <v>#N/A</v>
      </c>
      <c r="F79" s="23" t="e">
        <f>IF(CALENDARIO!$E79="", NA(), SUM(PALPITES!$AA$2:$AA79))</f>
        <v>#N/A</v>
      </c>
      <c r="G79" s="23" t="e">
        <f>IF(CALENDARIO!$E79="", NA(), SUM(PALPITES!$AE$2:$AE79))</f>
        <v>#N/A</v>
      </c>
      <c r="H79" s="23" t="e">
        <f>IF(CALENDARIO!$E79="", NA(), SUM(PALPITES!$AI$2:$AI79))</f>
        <v>#N/A</v>
      </c>
      <c r="I79" s="23" t="e">
        <f>IF(CALENDARIO!$E79="", NA(), SUM(PALPITES!$AM$2:$AM79))</f>
        <v>#N/A</v>
      </c>
      <c r="J79" s="23" t="e">
        <f>IF(CALENDARIO!$E79="", NA(), SUM(PALPITES!$AQ$2:$AQ79))</f>
        <v>#N/A</v>
      </c>
      <c r="K79" s="23" t="e">
        <f>IF(CALENDARIO!$E79="", NA(), SUM(PALPITES!$AU$2:$AU79))</f>
        <v>#N/A</v>
      </c>
      <c r="L79" s="23" t="e">
        <f>IF(CALENDARIO!$E79="", NA(), SUM(PALPITES!$AY$2:$AY79))</f>
        <v>#N/A</v>
      </c>
      <c r="M79" s="23" t="e">
        <f>IF(CALENDARIO!$E79="", NA(), SUM(PALPITES!$BC$2:$BC79))</f>
        <v>#N/A</v>
      </c>
      <c r="N79" s="23" t="e">
        <f>IF(CALENDARIO!$E79="", NA(), SUM(PALPITES!$BG$2:$BG79))</f>
        <v>#N/A</v>
      </c>
      <c r="O79" s="23" t="e">
        <f>IF(CALENDARIO!$E79="", NA(), SUM(PALPITES!$BK$2:$BK79))</f>
        <v>#N/A</v>
      </c>
    </row>
    <row r="80" spans="1:15">
      <c r="A80" s="23">
        <v>79</v>
      </c>
      <c r="B80" s="23" t="e">
        <f>IF(CALENDARIO!$E80="", NA(), SUM(PALPITES!$K$2:$K80))</f>
        <v>#N/A</v>
      </c>
      <c r="C80" s="23" t="e">
        <f>IF(CALENDARIO!$E80="", NA(), SUM(PALPITES!$O$2:$O80))</f>
        <v>#N/A</v>
      </c>
      <c r="D80" s="23" t="e">
        <f>IF(CALENDARIO!$E80="", NA(), SUM(PALPITES!$S$2:$S80))</f>
        <v>#N/A</v>
      </c>
      <c r="E80" s="23" t="e">
        <f>IF(CALENDARIO!$E80="", NA(), SUM(PALPITES!$W$2:$W80))</f>
        <v>#N/A</v>
      </c>
      <c r="F80" s="23" t="e">
        <f>IF(CALENDARIO!$E80="", NA(), SUM(PALPITES!$AA$2:$AA80))</f>
        <v>#N/A</v>
      </c>
      <c r="G80" s="23" t="e">
        <f>IF(CALENDARIO!$E80="", NA(), SUM(PALPITES!$AE$2:$AE80))</f>
        <v>#N/A</v>
      </c>
      <c r="H80" s="23" t="e">
        <f>IF(CALENDARIO!$E80="", NA(), SUM(PALPITES!$AI$2:$AI80))</f>
        <v>#N/A</v>
      </c>
      <c r="I80" s="23" t="e">
        <f>IF(CALENDARIO!$E80="", NA(), SUM(PALPITES!$AM$2:$AM80))</f>
        <v>#N/A</v>
      </c>
      <c r="J80" s="23" t="e">
        <f>IF(CALENDARIO!$E80="", NA(), SUM(PALPITES!$AQ$2:$AQ80))</f>
        <v>#N/A</v>
      </c>
      <c r="K80" s="23" t="e">
        <f>IF(CALENDARIO!$E80="", NA(), SUM(PALPITES!$AU$2:$AU80))</f>
        <v>#N/A</v>
      </c>
      <c r="L80" s="23" t="e">
        <f>IF(CALENDARIO!$E80="", NA(), SUM(PALPITES!$AY$2:$AY80))</f>
        <v>#N/A</v>
      </c>
      <c r="M80" s="23" t="e">
        <f>IF(CALENDARIO!$E80="", NA(), SUM(PALPITES!$BC$2:$BC80))</f>
        <v>#N/A</v>
      </c>
      <c r="N80" s="23" t="e">
        <f>IF(CALENDARIO!$E80="", NA(), SUM(PALPITES!$BG$2:$BG80))</f>
        <v>#N/A</v>
      </c>
      <c r="O80" s="23" t="e">
        <f>IF(CALENDARIO!$E80="", NA(), SUM(PALPITES!$BK$2:$BK80))</f>
        <v>#N/A</v>
      </c>
    </row>
    <row r="81" spans="1:15">
      <c r="A81" s="23">
        <v>80</v>
      </c>
      <c r="B81" s="23" t="e">
        <f>IF(CALENDARIO!$E81="", NA(), SUM(PALPITES!$K$2:$K81))</f>
        <v>#N/A</v>
      </c>
      <c r="C81" s="23" t="e">
        <f>IF(CALENDARIO!$E81="", NA(), SUM(PALPITES!$O$2:$O81))</f>
        <v>#N/A</v>
      </c>
      <c r="D81" s="23" t="e">
        <f>IF(CALENDARIO!$E81="", NA(), SUM(PALPITES!$S$2:$S81))</f>
        <v>#N/A</v>
      </c>
      <c r="E81" s="23" t="e">
        <f>IF(CALENDARIO!$E81="", NA(), SUM(PALPITES!$W$2:$W81))</f>
        <v>#N/A</v>
      </c>
      <c r="F81" s="23" t="e">
        <f>IF(CALENDARIO!$E81="", NA(), SUM(PALPITES!$AA$2:$AA81))</f>
        <v>#N/A</v>
      </c>
      <c r="G81" s="23" t="e">
        <f>IF(CALENDARIO!$E81="", NA(), SUM(PALPITES!$AE$2:$AE81))</f>
        <v>#N/A</v>
      </c>
      <c r="H81" s="23" t="e">
        <f>IF(CALENDARIO!$E81="", NA(), SUM(PALPITES!$AI$2:$AI81))</f>
        <v>#N/A</v>
      </c>
      <c r="I81" s="23" t="e">
        <f>IF(CALENDARIO!$E81="", NA(), SUM(PALPITES!$AM$2:$AM81))</f>
        <v>#N/A</v>
      </c>
      <c r="J81" s="23" t="e">
        <f>IF(CALENDARIO!$E81="", NA(), SUM(PALPITES!$AQ$2:$AQ81))</f>
        <v>#N/A</v>
      </c>
      <c r="K81" s="23" t="e">
        <f>IF(CALENDARIO!$E81="", NA(), SUM(PALPITES!$AU$2:$AU81))</f>
        <v>#N/A</v>
      </c>
      <c r="L81" s="23" t="e">
        <f>IF(CALENDARIO!$E81="", NA(), SUM(PALPITES!$AY$2:$AY81))</f>
        <v>#N/A</v>
      </c>
      <c r="M81" s="23" t="e">
        <f>IF(CALENDARIO!$E81="", NA(), SUM(PALPITES!$BC$2:$BC81))</f>
        <v>#N/A</v>
      </c>
      <c r="N81" s="23" t="e">
        <f>IF(CALENDARIO!$E81="", NA(), SUM(PALPITES!$BG$2:$BG81))</f>
        <v>#N/A</v>
      </c>
      <c r="O81" s="23" t="e">
        <f>IF(CALENDARIO!$E81="", NA(), SUM(PALPITES!$BK$2:$BK81))</f>
        <v>#N/A</v>
      </c>
    </row>
    <row r="82" spans="1:15">
      <c r="A82" s="23">
        <v>81</v>
      </c>
      <c r="B82" s="23" t="e">
        <f>IF(CALENDARIO!$E82="", NA(), SUM(PALPITES!$K$2:$K82))</f>
        <v>#N/A</v>
      </c>
      <c r="C82" s="23" t="e">
        <f>IF(CALENDARIO!$E82="", NA(), SUM(PALPITES!$O$2:$O82))</f>
        <v>#N/A</v>
      </c>
      <c r="D82" s="23" t="e">
        <f>IF(CALENDARIO!$E82="", NA(), SUM(PALPITES!$S$2:$S82))</f>
        <v>#N/A</v>
      </c>
      <c r="E82" s="23" t="e">
        <f>IF(CALENDARIO!$E82="", NA(), SUM(PALPITES!$W$2:$W82))</f>
        <v>#N/A</v>
      </c>
      <c r="F82" s="23" t="e">
        <f>IF(CALENDARIO!$E82="", NA(), SUM(PALPITES!$AA$2:$AA82))</f>
        <v>#N/A</v>
      </c>
      <c r="G82" s="23" t="e">
        <f>IF(CALENDARIO!$E82="", NA(), SUM(PALPITES!$AE$2:$AE82))</f>
        <v>#N/A</v>
      </c>
      <c r="H82" s="23" t="e">
        <f>IF(CALENDARIO!$E82="", NA(), SUM(PALPITES!$AI$2:$AI82))</f>
        <v>#N/A</v>
      </c>
      <c r="I82" s="23" t="e">
        <f>IF(CALENDARIO!$E82="", NA(), SUM(PALPITES!$AM$2:$AM82))</f>
        <v>#N/A</v>
      </c>
      <c r="J82" s="23" t="e">
        <f>IF(CALENDARIO!$E82="", NA(), SUM(PALPITES!$AQ$2:$AQ82))</f>
        <v>#N/A</v>
      </c>
      <c r="K82" s="23" t="e">
        <f>IF(CALENDARIO!$E82="", NA(), SUM(PALPITES!$AU$2:$AU82))</f>
        <v>#N/A</v>
      </c>
      <c r="L82" s="23" t="e">
        <f>IF(CALENDARIO!$E82="", NA(), SUM(PALPITES!$AY$2:$AY82))</f>
        <v>#N/A</v>
      </c>
      <c r="M82" s="23" t="e">
        <f>IF(CALENDARIO!$E82="", NA(), SUM(PALPITES!$BC$2:$BC82))</f>
        <v>#N/A</v>
      </c>
      <c r="N82" s="23" t="e">
        <f>IF(CALENDARIO!$E82="", NA(), SUM(PALPITES!$BG$2:$BG82))</f>
        <v>#N/A</v>
      </c>
      <c r="O82" s="23" t="e">
        <f>IF(CALENDARIO!$E82="", NA(), SUM(PALPITES!$BK$2:$BK82))</f>
        <v>#N/A</v>
      </c>
    </row>
    <row r="83" spans="1:15">
      <c r="A83" s="23">
        <v>82</v>
      </c>
      <c r="B83" s="23" t="e">
        <f>IF(CALENDARIO!$E83="", NA(), SUM(PALPITES!$K$2:$K83))</f>
        <v>#N/A</v>
      </c>
      <c r="C83" s="23" t="e">
        <f>IF(CALENDARIO!$E83="", NA(), SUM(PALPITES!$O$2:$O83))</f>
        <v>#N/A</v>
      </c>
      <c r="D83" s="23" t="e">
        <f>IF(CALENDARIO!$E83="", NA(), SUM(PALPITES!$S$2:$S83))</f>
        <v>#N/A</v>
      </c>
      <c r="E83" s="23" t="e">
        <f>IF(CALENDARIO!$E83="", NA(), SUM(PALPITES!$W$2:$W83))</f>
        <v>#N/A</v>
      </c>
      <c r="F83" s="23" t="e">
        <f>IF(CALENDARIO!$E83="", NA(), SUM(PALPITES!$AA$2:$AA83))</f>
        <v>#N/A</v>
      </c>
      <c r="G83" s="23" t="e">
        <f>IF(CALENDARIO!$E83="", NA(), SUM(PALPITES!$AE$2:$AE83))</f>
        <v>#N/A</v>
      </c>
      <c r="H83" s="23" t="e">
        <f>IF(CALENDARIO!$E83="", NA(), SUM(PALPITES!$AI$2:$AI83))</f>
        <v>#N/A</v>
      </c>
      <c r="I83" s="23" t="e">
        <f>IF(CALENDARIO!$E83="", NA(), SUM(PALPITES!$AM$2:$AM83))</f>
        <v>#N/A</v>
      </c>
      <c r="J83" s="23" t="e">
        <f>IF(CALENDARIO!$E83="", NA(), SUM(PALPITES!$AQ$2:$AQ83))</f>
        <v>#N/A</v>
      </c>
      <c r="K83" s="23" t="e">
        <f>IF(CALENDARIO!$E83="", NA(), SUM(PALPITES!$AU$2:$AU83))</f>
        <v>#N/A</v>
      </c>
      <c r="L83" s="23" t="e">
        <f>IF(CALENDARIO!$E83="", NA(), SUM(PALPITES!$AY$2:$AY83))</f>
        <v>#N/A</v>
      </c>
      <c r="M83" s="23" t="e">
        <f>IF(CALENDARIO!$E83="", NA(), SUM(PALPITES!$BC$2:$BC83))</f>
        <v>#N/A</v>
      </c>
      <c r="N83" s="23" t="e">
        <f>IF(CALENDARIO!$E83="", NA(), SUM(PALPITES!$BG$2:$BG83))</f>
        <v>#N/A</v>
      </c>
      <c r="O83" s="23" t="e">
        <f>IF(CALENDARIO!$E83="", NA(), SUM(PALPITES!$BK$2:$BK83))</f>
        <v>#N/A</v>
      </c>
    </row>
    <row r="84" spans="1:15">
      <c r="A84" s="23">
        <v>83</v>
      </c>
      <c r="B84" s="23" t="e">
        <f>IF(CALENDARIO!$E84="", NA(), SUM(PALPITES!$K$2:$K84))</f>
        <v>#N/A</v>
      </c>
      <c r="C84" s="23" t="e">
        <f>IF(CALENDARIO!$E84="", NA(), SUM(PALPITES!$O$2:$O84))</f>
        <v>#N/A</v>
      </c>
      <c r="D84" s="23" t="e">
        <f>IF(CALENDARIO!$E84="", NA(), SUM(PALPITES!$S$2:$S84))</f>
        <v>#N/A</v>
      </c>
      <c r="E84" s="23" t="e">
        <f>IF(CALENDARIO!$E84="", NA(), SUM(PALPITES!$W$2:$W84))</f>
        <v>#N/A</v>
      </c>
      <c r="F84" s="23" t="e">
        <f>IF(CALENDARIO!$E84="", NA(), SUM(PALPITES!$AA$2:$AA84))</f>
        <v>#N/A</v>
      </c>
      <c r="G84" s="23" t="e">
        <f>IF(CALENDARIO!$E84="", NA(), SUM(PALPITES!$AE$2:$AE84))</f>
        <v>#N/A</v>
      </c>
      <c r="H84" s="23" t="e">
        <f>IF(CALENDARIO!$E84="", NA(), SUM(PALPITES!$AI$2:$AI84))</f>
        <v>#N/A</v>
      </c>
      <c r="I84" s="23" t="e">
        <f>IF(CALENDARIO!$E84="", NA(), SUM(PALPITES!$AM$2:$AM84))</f>
        <v>#N/A</v>
      </c>
      <c r="J84" s="23" t="e">
        <f>IF(CALENDARIO!$E84="", NA(), SUM(PALPITES!$AQ$2:$AQ84))</f>
        <v>#N/A</v>
      </c>
      <c r="K84" s="23" t="e">
        <f>IF(CALENDARIO!$E84="", NA(), SUM(PALPITES!$AU$2:$AU84))</f>
        <v>#N/A</v>
      </c>
      <c r="L84" s="23" t="e">
        <f>IF(CALENDARIO!$E84="", NA(), SUM(PALPITES!$AY$2:$AY84))</f>
        <v>#N/A</v>
      </c>
      <c r="M84" s="23" t="e">
        <f>IF(CALENDARIO!$E84="", NA(), SUM(PALPITES!$BC$2:$BC84))</f>
        <v>#N/A</v>
      </c>
      <c r="N84" s="23" t="e">
        <f>IF(CALENDARIO!$E84="", NA(), SUM(PALPITES!$BG$2:$BG84))</f>
        <v>#N/A</v>
      </c>
      <c r="O84" s="23" t="e">
        <f>IF(CALENDARIO!$E84="", NA(), SUM(PALPITES!$BK$2:$BK84))</f>
        <v>#N/A</v>
      </c>
    </row>
    <row r="85" spans="1:15">
      <c r="A85" s="23">
        <v>84</v>
      </c>
      <c r="B85" s="23" t="e">
        <f>IF(CALENDARIO!$E85="", NA(), SUM(PALPITES!$K$2:$K85))</f>
        <v>#N/A</v>
      </c>
      <c r="C85" s="23" t="e">
        <f>IF(CALENDARIO!$E85="", NA(), SUM(PALPITES!$O$2:$O85))</f>
        <v>#N/A</v>
      </c>
      <c r="D85" s="23" t="e">
        <f>IF(CALENDARIO!$E85="", NA(), SUM(PALPITES!$S$2:$S85))</f>
        <v>#N/A</v>
      </c>
      <c r="E85" s="23" t="e">
        <f>IF(CALENDARIO!$E85="", NA(), SUM(PALPITES!$W$2:$W85))</f>
        <v>#N/A</v>
      </c>
      <c r="F85" s="23" t="e">
        <f>IF(CALENDARIO!$E85="", NA(), SUM(PALPITES!$AA$2:$AA85))</f>
        <v>#N/A</v>
      </c>
      <c r="G85" s="23" t="e">
        <f>IF(CALENDARIO!$E85="", NA(), SUM(PALPITES!$AE$2:$AE85))</f>
        <v>#N/A</v>
      </c>
      <c r="H85" s="23" t="e">
        <f>IF(CALENDARIO!$E85="", NA(), SUM(PALPITES!$AI$2:$AI85))</f>
        <v>#N/A</v>
      </c>
      <c r="I85" s="23" t="e">
        <f>IF(CALENDARIO!$E85="", NA(), SUM(PALPITES!$AM$2:$AM85))</f>
        <v>#N/A</v>
      </c>
      <c r="J85" s="23" t="e">
        <f>IF(CALENDARIO!$E85="", NA(), SUM(PALPITES!$AQ$2:$AQ85))</f>
        <v>#N/A</v>
      </c>
      <c r="K85" s="23" t="e">
        <f>IF(CALENDARIO!$E85="", NA(), SUM(PALPITES!$AU$2:$AU85))</f>
        <v>#N/A</v>
      </c>
      <c r="L85" s="23" t="e">
        <f>IF(CALENDARIO!$E85="", NA(), SUM(PALPITES!$AY$2:$AY85))</f>
        <v>#N/A</v>
      </c>
      <c r="M85" s="23" t="e">
        <f>IF(CALENDARIO!$E85="", NA(), SUM(PALPITES!$BC$2:$BC85))</f>
        <v>#N/A</v>
      </c>
      <c r="N85" s="23" t="e">
        <f>IF(CALENDARIO!$E85="", NA(), SUM(PALPITES!$BG$2:$BG85))</f>
        <v>#N/A</v>
      </c>
      <c r="O85" s="23" t="e">
        <f>IF(CALENDARIO!$E85="", NA(), SUM(PALPITES!$BK$2:$BK85))</f>
        <v>#N/A</v>
      </c>
    </row>
    <row r="86" spans="1:15">
      <c r="A86" s="23">
        <v>85</v>
      </c>
      <c r="B86" s="23" t="e">
        <f>IF(CALENDARIO!$E86="", NA(), SUM(PALPITES!$K$2:$K86))</f>
        <v>#N/A</v>
      </c>
      <c r="C86" s="23" t="e">
        <f>IF(CALENDARIO!$E86="", NA(), SUM(PALPITES!$O$2:$O86))</f>
        <v>#N/A</v>
      </c>
      <c r="D86" s="23" t="e">
        <f>IF(CALENDARIO!$E86="", NA(), SUM(PALPITES!$S$2:$S86))</f>
        <v>#N/A</v>
      </c>
      <c r="E86" s="23" t="e">
        <f>IF(CALENDARIO!$E86="", NA(), SUM(PALPITES!$W$2:$W86))</f>
        <v>#N/A</v>
      </c>
      <c r="F86" s="23" t="e">
        <f>IF(CALENDARIO!$E86="", NA(), SUM(PALPITES!$AA$2:$AA86))</f>
        <v>#N/A</v>
      </c>
      <c r="G86" s="23" t="e">
        <f>IF(CALENDARIO!$E86="", NA(), SUM(PALPITES!$AE$2:$AE86))</f>
        <v>#N/A</v>
      </c>
      <c r="H86" s="23" t="e">
        <f>IF(CALENDARIO!$E86="", NA(), SUM(PALPITES!$AI$2:$AI86))</f>
        <v>#N/A</v>
      </c>
      <c r="I86" s="23" t="e">
        <f>IF(CALENDARIO!$E86="", NA(), SUM(PALPITES!$AM$2:$AM86))</f>
        <v>#N/A</v>
      </c>
      <c r="J86" s="23" t="e">
        <f>IF(CALENDARIO!$E86="", NA(), SUM(PALPITES!$AQ$2:$AQ86))</f>
        <v>#N/A</v>
      </c>
      <c r="K86" s="23" t="e">
        <f>IF(CALENDARIO!$E86="", NA(), SUM(PALPITES!$AU$2:$AU86))</f>
        <v>#N/A</v>
      </c>
      <c r="L86" s="23" t="e">
        <f>IF(CALENDARIO!$E86="", NA(), SUM(PALPITES!$AY$2:$AY86))</f>
        <v>#N/A</v>
      </c>
      <c r="M86" s="23" t="e">
        <f>IF(CALENDARIO!$E86="", NA(), SUM(PALPITES!$BC$2:$BC86))</f>
        <v>#N/A</v>
      </c>
      <c r="N86" s="23" t="e">
        <f>IF(CALENDARIO!$E86="", NA(), SUM(PALPITES!$BG$2:$BG86))</f>
        <v>#N/A</v>
      </c>
      <c r="O86" s="23" t="e">
        <f>IF(CALENDARIO!$E86="", NA(), SUM(PALPITES!$BK$2:$BK86))</f>
        <v>#N/A</v>
      </c>
    </row>
    <row r="87" spans="1:15">
      <c r="A87" s="23">
        <v>86</v>
      </c>
      <c r="B87" s="23" t="e">
        <f>IF(CALENDARIO!$E87="", NA(), SUM(PALPITES!$K$2:$K87))</f>
        <v>#N/A</v>
      </c>
      <c r="C87" s="23" t="e">
        <f>IF(CALENDARIO!$E87="", NA(), SUM(PALPITES!$O$2:$O87))</f>
        <v>#N/A</v>
      </c>
      <c r="D87" s="23" t="e">
        <f>IF(CALENDARIO!$E87="", NA(), SUM(PALPITES!$S$2:$S87))</f>
        <v>#N/A</v>
      </c>
      <c r="E87" s="23" t="e">
        <f>IF(CALENDARIO!$E87="", NA(), SUM(PALPITES!$W$2:$W87))</f>
        <v>#N/A</v>
      </c>
      <c r="F87" s="23" t="e">
        <f>IF(CALENDARIO!$E87="", NA(), SUM(PALPITES!$AA$2:$AA87))</f>
        <v>#N/A</v>
      </c>
      <c r="G87" s="23" t="e">
        <f>IF(CALENDARIO!$E87="", NA(), SUM(PALPITES!$AE$2:$AE87))</f>
        <v>#N/A</v>
      </c>
      <c r="H87" s="23" t="e">
        <f>IF(CALENDARIO!$E87="", NA(), SUM(PALPITES!$AI$2:$AI87))</f>
        <v>#N/A</v>
      </c>
      <c r="I87" s="23" t="e">
        <f>IF(CALENDARIO!$E87="", NA(), SUM(PALPITES!$AM$2:$AM87))</f>
        <v>#N/A</v>
      </c>
      <c r="J87" s="23" t="e">
        <f>IF(CALENDARIO!$E87="", NA(), SUM(PALPITES!$AQ$2:$AQ87))</f>
        <v>#N/A</v>
      </c>
      <c r="K87" s="23" t="e">
        <f>IF(CALENDARIO!$E87="", NA(), SUM(PALPITES!$AU$2:$AU87))</f>
        <v>#N/A</v>
      </c>
      <c r="L87" s="23" t="e">
        <f>IF(CALENDARIO!$E87="", NA(), SUM(PALPITES!$AY$2:$AY87))</f>
        <v>#N/A</v>
      </c>
      <c r="M87" s="23" t="e">
        <f>IF(CALENDARIO!$E87="", NA(), SUM(PALPITES!$BC$2:$BC87))</f>
        <v>#N/A</v>
      </c>
      <c r="N87" s="23" t="e">
        <f>IF(CALENDARIO!$E87="", NA(), SUM(PALPITES!$BG$2:$BG87))</f>
        <v>#N/A</v>
      </c>
      <c r="O87" s="23" t="e">
        <f>IF(CALENDARIO!$E87="", NA(), SUM(PALPITES!$BK$2:$BK87))</f>
        <v>#N/A</v>
      </c>
    </row>
    <row r="88" spans="1:15">
      <c r="A88" s="23">
        <v>87</v>
      </c>
      <c r="B88" s="23" t="e">
        <f>IF(CALENDARIO!$E88="", NA(), SUM(PALPITES!$K$2:$K88))</f>
        <v>#N/A</v>
      </c>
      <c r="C88" s="23" t="e">
        <f>IF(CALENDARIO!$E88="", NA(), SUM(PALPITES!$O$2:$O88))</f>
        <v>#N/A</v>
      </c>
      <c r="D88" s="23" t="e">
        <f>IF(CALENDARIO!$E88="", NA(), SUM(PALPITES!$S$2:$S88))</f>
        <v>#N/A</v>
      </c>
      <c r="E88" s="23" t="e">
        <f>IF(CALENDARIO!$E88="", NA(), SUM(PALPITES!$W$2:$W88))</f>
        <v>#N/A</v>
      </c>
      <c r="F88" s="23" t="e">
        <f>IF(CALENDARIO!$E88="", NA(), SUM(PALPITES!$AA$2:$AA88))</f>
        <v>#N/A</v>
      </c>
      <c r="G88" s="23" t="e">
        <f>IF(CALENDARIO!$E88="", NA(), SUM(PALPITES!$AE$2:$AE88))</f>
        <v>#N/A</v>
      </c>
      <c r="H88" s="23" t="e">
        <f>IF(CALENDARIO!$E88="", NA(), SUM(PALPITES!$AI$2:$AI88))</f>
        <v>#N/A</v>
      </c>
      <c r="I88" s="23" t="e">
        <f>IF(CALENDARIO!$E88="", NA(), SUM(PALPITES!$AM$2:$AM88))</f>
        <v>#N/A</v>
      </c>
      <c r="J88" s="23" t="e">
        <f>IF(CALENDARIO!$E88="", NA(), SUM(PALPITES!$AQ$2:$AQ88))</f>
        <v>#N/A</v>
      </c>
      <c r="K88" s="23" t="e">
        <f>IF(CALENDARIO!$E88="", NA(), SUM(PALPITES!$AU$2:$AU88))</f>
        <v>#N/A</v>
      </c>
      <c r="L88" s="23" t="e">
        <f>IF(CALENDARIO!$E88="", NA(), SUM(PALPITES!$AY$2:$AY88))</f>
        <v>#N/A</v>
      </c>
      <c r="M88" s="23" t="e">
        <f>IF(CALENDARIO!$E88="", NA(), SUM(PALPITES!$BC$2:$BC88))</f>
        <v>#N/A</v>
      </c>
      <c r="N88" s="23" t="e">
        <f>IF(CALENDARIO!$E88="", NA(), SUM(PALPITES!$BG$2:$BG88))</f>
        <v>#N/A</v>
      </c>
      <c r="O88" s="23" t="e">
        <f>IF(CALENDARIO!$E88="", NA(), SUM(PALPITES!$BK$2:$BK88))</f>
        <v>#N/A</v>
      </c>
    </row>
    <row r="89" spans="1:15">
      <c r="A89" s="23">
        <v>88</v>
      </c>
      <c r="B89" s="23" t="e">
        <f>IF(CALENDARIO!$E89="", NA(), SUM(PALPITES!$K$2:$K89))</f>
        <v>#N/A</v>
      </c>
      <c r="C89" s="23" t="e">
        <f>IF(CALENDARIO!$E89="", NA(), SUM(PALPITES!$O$2:$O89))</f>
        <v>#N/A</v>
      </c>
      <c r="D89" s="23" t="e">
        <f>IF(CALENDARIO!$E89="", NA(), SUM(PALPITES!$S$2:$S89))</f>
        <v>#N/A</v>
      </c>
      <c r="E89" s="23" t="e">
        <f>IF(CALENDARIO!$E89="", NA(), SUM(PALPITES!$W$2:$W89))</f>
        <v>#N/A</v>
      </c>
      <c r="F89" s="23" t="e">
        <f>IF(CALENDARIO!$E89="", NA(), SUM(PALPITES!$AA$2:$AA89))</f>
        <v>#N/A</v>
      </c>
      <c r="G89" s="23" t="e">
        <f>IF(CALENDARIO!$E89="", NA(), SUM(PALPITES!$AE$2:$AE89))</f>
        <v>#N/A</v>
      </c>
      <c r="H89" s="23" t="e">
        <f>IF(CALENDARIO!$E89="", NA(), SUM(PALPITES!$AI$2:$AI89))</f>
        <v>#N/A</v>
      </c>
      <c r="I89" s="23" t="e">
        <f>IF(CALENDARIO!$E89="", NA(), SUM(PALPITES!$AM$2:$AM89))</f>
        <v>#N/A</v>
      </c>
      <c r="J89" s="23" t="e">
        <f>IF(CALENDARIO!$E89="", NA(), SUM(PALPITES!$AQ$2:$AQ89))</f>
        <v>#N/A</v>
      </c>
      <c r="K89" s="23" t="e">
        <f>IF(CALENDARIO!$E89="", NA(), SUM(PALPITES!$AU$2:$AU89))</f>
        <v>#N/A</v>
      </c>
      <c r="L89" s="23" t="e">
        <f>IF(CALENDARIO!$E89="", NA(), SUM(PALPITES!$AY$2:$AY89))</f>
        <v>#N/A</v>
      </c>
      <c r="M89" s="23" t="e">
        <f>IF(CALENDARIO!$E89="", NA(), SUM(PALPITES!$BC$2:$BC89))</f>
        <v>#N/A</v>
      </c>
      <c r="N89" s="23" t="e">
        <f>IF(CALENDARIO!$E89="", NA(), SUM(PALPITES!$BG$2:$BG89))</f>
        <v>#N/A</v>
      </c>
      <c r="O89" s="23" t="e">
        <f>IF(CALENDARIO!$E89="", NA(), SUM(PALPITES!$BK$2:$BK89))</f>
        <v>#N/A</v>
      </c>
    </row>
    <row r="90" spans="1:15">
      <c r="A90" s="23">
        <v>89</v>
      </c>
      <c r="B90" s="23" t="e">
        <f>IF(CALENDARIO!$E90="", NA(), SUM(PALPITES!$K$2:$K90))</f>
        <v>#N/A</v>
      </c>
      <c r="C90" s="23" t="e">
        <f>IF(CALENDARIO!$E90="", NA(), SUM(PALPITES!$O$2:$O90))</f>
        <v>#N/A</v>
      </c>
      <c r="D90" s="23" t="e">
        <f>IF(CALENDARIO!$E90="", NA(), SUM(PALPITES!$S$2:$S90))</f>
        <v>#N/A</v>
      </c>
      <c r="E90" s="23" t="e">
        <f>IF(CALENDARIO!$E90="", NA(), SUM(PALPITES!$W$2:$W90))</f>
        <v>#N/A</v>
      </c>
      <c r="F90" s="23" t="e">
        <f>IF(CALENDARIO!$E90="", NA(), SUM(PALPITES!$AA$2:$AA90))</f>
        <v>#N/A</v>
      </c>
      <c r="G90" s="23" t="e">
        <f>IF(CALENDARIO!$E90="", NA(), SUM(PALPITES!$AE$2:$AE90))</f>
        <v>#N/A</v>
      </c>
      <c r="H90" s="23" t="e">
        <f>IF(CALENDARIO!$E90="", NA(), SUM(PALPITES!$AI$2:$AI90))</f>
        <v>#N/A</v>
      </c>
      <c r="I90" s="23" t="e">
        <f>IF(CALENDARIO!$E90="", NA(), SUM(PALPITES!$AM$2:$AM90))</f>
        <v>#N/A</v>
      </c>
      <c r="J90" s="23" t="e">
        <f>IF(CALENDARIO!$E90="", NA(), SUM(PALPITES!$AQ$2:$AQ90))</f>
        <v>#N/A</v>
      </c>
      <c r="K90" s="23" t="e">
        <f>IF(CALENDARIO!$E90="", NA(), SUM(PALPITES!$AU$2:$AU90))</f>
        <v>#N/A</v>
      </c>
      <c r="L90" s="23" t="e">
        <f>IF(CALENDARIO!$E90="", NA(), SUM(PALPITES!$AY$2:$AY90))</f>
        <v>#N/A</v>
      </c>
      <c r="M90" s="23" t="e">
        <f>IF(CALENDARIO!$E90="", NA(), SUM(PALPITES!$BC$2:$BC90))</f>
        <v>#N/A</v>
      </c>
      <c r="N90" s="23" t="e">
        <f>IF(CALENDARIO!$E90="", NA(), SUM(PALPITES!$BG$2:$BG90))</f>
        <v>#N/A</v>
      </c>
      <c r="O90" s="23" t="e">
        <f>IF(CALENDARIO!$E90="", NA(), SUM(PALPITES!$BK$2:$BK90))</f>
        <v>#N/A</v>
      </c>
    </row>
    <row r="91" spans="1:15">
      <c r="A91" s="23">
        <v>90</v>
      </c>
      <c r="B91" s="23" t="e">
        <f>IF(CALENDARIO!$E91="", NA(), SUM(PALPITES!$K$2:$K91))</f>
        <v>#N/A</v>
      </c>
      <c r="C91" s="23" t="e">
        <f>IF(CALENDARIO!$E91="", NA(), SUM(PALPITES!$O$2:$O91))</f>
        <v>#N/A</v>
      </c>
      <c r="D91" s="23" t="e">
        <f>IF(CALENDARIO!$E91="", NA(), SUM(PALPITES!$S$2:$S91))</f>
        <v>#N/A</v>
      </c>
      <c r="E91" s="23" t="e">
        <f>IF(CALENDARIO!$E91="", NA(), SUM(PALPITES!$W$2:$W91))</f>
        <v>#N/A</v>
      </c>
      <c r="F91" s="23" t="e">
        <f>IF(CALENDARIO!$E91="", NA(), SUM(PALPITES!$AA$2:$AA91))</f>
        <v>#N/A</v>
      </c>
      <c r="G91" s="23" t="e">
        <f>IF(CALENDARIO!$E91="", NA(), SUM(PALPITES!$AE$2:$AE91))</f>
        <v>#N/A</v>
      </c>
      <c r="H91" s="23" t="e">
        <f>IF(CALENDARIO!$E91="", NA(), SUM(PALPITES!$AI$2:$AI91))</f>
        <v>#N/A</v>
      </c>
      <c r="I91" s="23" t="e">
        <f>IF(CALENDARIO!$E91="", NA(), SUM(PALPITES!$AM$2:$AM91))</f>
        <v>#N/A</v>
      </c>
      <c r="J91" s="23" t="e">
        <f>IF(CALENDARIO!$E91="", NA(), SUM(PALPITES!$AQ$2:$AQ91))</f>
        <v>#N/A</v>
      </c>
      <c r="K91" s="23" t="e">
        <f>IF(CALENDARIO!$E91="", NA(), SUM(PALPITES!$AU$2:$AU91))</f>
        <v>#N/A</v>
      </c>
      <c r="L91" s="23" t="e">
        <f>IF(CALENDARIO!$E91="", NA(), SUM(PALPITES!$AY$2:$AY91))</f>
        <v>#N/A</v>
      </c>
      <c r="M91" s="23" t="e">
        <f>IF(CALENDARIO!$E91="", NA(), SUM(PALPITES!$BC$2:$BC91))</f>
        <v>#N/A</v>
      </c>
      <c r="N91" s="23" t="e">
        <f>IF(CALENDARIO!$E91="", NA(), SUM(PALPITES!$BG$2:$BG91))</f>
        <v>#N/A</v>
      </c>
      <c r="O91" s="23" t="e">
        <f>IF(CALENDARIO!$E91="", NA(), SUM(PALPITES!$BK$2:$BK91))</f>
        <v>#N/A</v>
      </c>
    </row>
    <row r="92" spans="1:15">
      <c r="A92" s="23">
        <v>91</v>
      </c>
      <c r="B92" s="23" t="e">
        <f>IF(CALENDARIO!$E92="", NA(), SUM(PALPITES!$K$2:$K92))</f>
        <v>#N/A</v>
      </c>
      <c r="C92" s="23" t="e">
        <f>IF(CALENDARIO!$E92="", NA(), SUM(PALPITES!$O$2:$O92))</f>
        <v>#N/A</v>
      </c>
      <c r="D92" s="23" t="e">
        <f>IF(CALENDARIO!$E92="", NA(), SUM(PALPITES!$S$2:$S92))</f>
        <v>#N/A</v>
      </c>
      <c r="E92" s="23" t="e">
        <f>IF(CALENDARIO!$E92="", NA(), SUM(PALPITES!$W$2:$W92))</f>
        <v>#N/A</v>
      </c>
      <c r="F92" s="23" t="e">
        <f>IF(CALENDARIO!$E92="", NA(), SUM(PALPITES!$AA$2:$AA92))</f>
        <v>#N/A</v>
      </c>
      <c r="G92" s="23" t="e">
        <f>IF(CALENDARIO!$E92="", NA(), SUM(PALPITES!$AE$2:$AE92))</f>
        <v>#N/A</v>
      </c>
      <c r="H92" s="23" t="e">
        <f>IF(CALENDARIO!$E92="", NA(), SUM(PALPITES!$AI$2:$AI92))</f>
        <v>#N/A</v>
      </c>
      <c r="I92" s="23" t="e">
        <f>IF(CALENDARIO!$E92="", NA(), SUM(PALPITES!$AM$2:$AM92))</f>
        <v>#N/A</v>
      </c>
      <c r="J92" s="23" t="e">
        <f>IF(CALENDARIO!$E92="", NA(), SUM(PALPITES!$AQ$2:$AQ92))</f>
        <v>#N/A</v>
      </c>
      <c r="K92" s="23" t="e">
        <f>IF(CALENDARIO!$E92="", NA(), SUM(PALPITES!$AU$2:$AU92))</f>
        <v>#N/A</v>
      </c>
      <c r="L92" s="23" t="e">
        <f>IF(CALENDARIO!$E92="", NA(), SUM(PALPITES!$AY$2:$AY92))</f>
        <v>#N/A</v>
      </c>
      <c r="M92" s="23" t="e">
        <f>IF(CALENDARIO!$E92="", NA(), SUM(PALPITES!$BC$2:$BC92))</f>
        <v>#N/A</v>
      </c>
      <c r="N92" s="23" t="e">
        <f>IF(CALENDARIO!$E92="", NA(), SUM(PALPITES!$BG$2:$BG92))</f>
        <v>#N/A</v>
      </c>
      <c r="O92" s="23" t="e">
        <f>IF(CALENDARIO!$E92="", NA(), SUM(PALPITES!$BK$2:$BK92))</f>
        <v>#N/A</v>
      </c>
    </row>
    <row r="93" spans="1:15">
      <c r="A93" s="23">
        <v>92</v>
      </c>
      <c r="B93" s="23" t="e">
        <f>IF(CALENDARIO!$E93="", NA(), SUM(PALPITES!$K$2:$K93))</f>
        <v>#N/A</v>
      </c>
      <c r="C93" s="23" t="e">
        <f>IF(CALENDARIO!$E93="", NA(), SUM(PALPITES!$O$2:$O93))</f>
        <v>#N/A</v>
      </c>
      <c r="D93" s="23" t="e">
        <f>IF(CALENDARIO!$E93="", NA(), SUM(PALPITES!$S$2:$S93))</f>
        <v>#N/A</v>
      </c>
      <c r="E93" s="23" t="e">
        <f>IF(CALENDARIO!$E93="", NA(), SUM(PALPITES!$W$2:$W93))</f>
        <v>#N/A</v>
      </c>
      <c r="F93" s="23" t="e">
        <f>IF(CALENDARIO!$E93="", NA(), SUM(PALPITES!$AA$2:$AA93))</f>
        <v>#N/A</v>
      </c>
      <c r="G93" s="23" t="e">
        <f>IF(CALENDARIO!$E93="", NA(), SUM(PALPITES!$AE$2:$AE93))</f>
        <v>#N/A</v>
      </c>
      <c r="H93" s="23" t="e">
        <f>IF(CALENDARIO!$E93="", NA(), SUM(PALPITES!$AI$2:$AI93))</f>
        <v>#N/A</v>
      </c>
      <c r="I93" s="23" t="e">
        <f>IF(CALENDARIO!$E93="", NA(), SUM(PALPITES!$AM$2:$AM93))</f>
        <v>#N/A</v>
      </c>
      <c r="J93" s="23" t="e">
        <f>IF(CALENDARIO!$E93="", NA(), SUM(PALPITES!$AQ$2:$AQ93))</f>
        <v>#N/A</v>
      </c>
      <c r="K93" s="23" t="e">
        <f>IF(CALENDARIO!$E93="", NA(), SUM(PALPITES!$AU$2:$AU93))</f>
        <v>#N/A</v>
      </c>
      <c r="L93" s="23" t="e">
        <f>IF(CALENDARIO!$E93="", NA(), SUM(PALPITES!$AY$2:$AY93))</f>
        <v>#N/A</v>
      </c>
      <c r="M93" s="23" t="e">
        <f>IF(CALENDARIO!$E93="", NA(), SUM(PALPITES!$BC$2:$BC93))</f>
        <v>#N/A</v>
      </c>
      <c r="N93" s="23" t="e">
        <f>IF(CALENDARIO!$E93="", NA(), SUM(PALPITES!$BG$2:$BG93))</f>
        <v>#N/A</v>
      </c>
      <c r="O93" s="23" t="e">
        <f>IF(CALENDARIO!$E93="", NA(), SUM(PALPITES!$BK$2:$BK93))</f>
        <v>#N/A</v>
      </c>
    </row>
    <row r="94" spans="1:15">
      <c r="A94" s="23">
        <v>93</v>
      </c>
      <c r="B94" s="23" t="e">
        <f>IF(CALENDARIO!$E94="", NA(), SUM(PALPITES!$K$2:$K94))</f>
        <v>#N/A</v>
      </c>
      <c r="C94" s="23" t="e">
        <f>IF(CALENDARIO!$E94="", NA(), SUM(PALPITES!$O$2:$O94))</f>
        <v>#N/A</v>
      </c>
      <c r="D94" s="23" t="e">
        <f>IF(CALENDARIO!$E94="", NA(), SUM(PALPITES!$S$2:$S94))</f>
        <v>#N/A</v>
      </c>
      <c r="E94" s="23" t="e">
        <f>IF(CALENDARIO!$E94="", NA(), SUM(PALPITES!$W$2:$W94))</f>
        <v>#N/A</v>
      </c>
      <c r="F94" s="23" t="e">
        <f>IF(CALENDARIO!$E94="", NA(), SUM(PALPITES!$AA$2:$AA94))</f>
        <v>#N/A</v>
      </c>
      <c r="G94" s="23" t="e">
        <f>IF(CALENDARIO!$E94="", NA(), SUM(PALPITES!$AE$2:$AE94))</f>
        <v>#N/A</v>
      </c>
      <c r="H94" s="23" t="e">
        <f>IF(CALENDARIO!$E94="", NA(), SUM(PALPITES!$AI$2:$AI94))</f>
        <v>#N/A</v>
      </c>
      <c r="I94" s="23" t="e">
        <f>IF(CALENDARIO!$E94="", NA(), SUM(PALPITES!$AM$2:$AM94))</f>
        <v>#N/A</v>
      </c>
      <c r="J94" s="23" t="e">
        <f>IF(CALENDARIO!$E94="", NA(), SUM(PALPITES!$AQ$2:$AQ94))</f>
        <v>#N/A</v>
      </c>
      <c r="K94" s="23" t="e">
        <f>IF(CALENDARIO!$E94="", NA(), SUM(PALPITES!$AU$2:$AU94))</f>
        <v>#N/A</v>
      </c>
      <c r="L94" s="23" t="e">
        <f>IF(CALENDARIO!$E94="", NA(), SUM(PALPITES!$AY$2:$AY94))</f>
        <v>#N/A</v>
      </c>
      <c r="M94" s="23" t="e">
        <f>IF(CALENDARIO!$E94="", NA(), SUM(PALPITES!$BC$2:$BC94))</f>
        <v>#N/A</v>
      </c>
      <c r="N94" s="23" t="e">
        <f>IF(CALENDARIO!$E94="", NA(), SUM(PALPITES!$BG$2:$BG94))</f>
        <v>#N/A</v>
      </c>
      <c r="O94" s="23" t="e">
        <f>IF(CALENDARIO!$E94="", NA(), SUM(PALPITES!$BK$2:$BK94))</f>
        <v>#N/A</v>
      </c>
    </row>
    <row r="95" spans="1:15">
      <c r="A95" s="23">
        <v>94</v>
      </c>
      <c r="B95" s="23" t="e">
        <f>IF(CALENDARIO!$E95="", NA(), SUM(PALPITES!$K$2:$K95))</f>
        <v>#N/A</v>
      </c>
      <c r="C95" s="23" t="e">
        <f>IF(CALENDARIO!$E95="", NA(), SUM(PALPITES!$O$2:$O95))</f>
        <v>#N/A</v>
      </c>
      <c r="D95" s="23" t="e">
        <f>IF(CALENDARIO!$E95="", NA(), SUM(PALPITES!$S$2:$S95))</f>
        <v>#N/A</v>
      </c>
      <c r="E95" s="23" t="e">
        <f>IF(CALENDARIO!$E95="", NA(), SUM(PALPITES!$W$2:$W95))</f>
        <v>#N/A</v>
      </c>
      <c r="F95" s="23" t="e">
        <f>IF(CALENDARIO!$E95="", NA(), SUM(PALPITES!$AA$2:$AA95))</f>
        <v>#N/A</v>
      </c>
      <c r="G95" s="23" t="e">
        <f>IF(CALENDARIO!$E95="", NA(), SUM(PALPITES!$AE$2:$AE95))</f>
        <v>#N/A</v>
      </c>
      <c r="H95" s="23" t="e">
        <f>IF(CALENDARIO!$E95="", NA(), SUM(PALPITES!$AI$2:$AI95))</f>
        <v>#N/A</v>
      </c>
      <c r="I95" s="23" t="e">
        <f>IF(CALENDARIO!$E95="", NA(), SUM(PALPITES!$AM$2:$AM95))</f>
        <v>#N/A</v>
      </c>
      <c r="J95" s="23" t="e">
        <f>IF(CALENDARIO!$E95="", NA(), SUM(PALPITES!$AQ$2:$AQ95))</f>
        <v>#N/A</v>
      </c>
      <c r="K95" s="23" t="e">
        <f>IF(CALENDARIO!$E95="", NA(), SUM(PALPITES!$AU$2:$AU95))</f>
        <v>#N/A</v>
      </c>
      <c r="L95" s="23" t="e">
        <f>IF(CALENDARIO!$E95="", NA(), SUM(PALPITES!$AY$2:$AY95))</f>
        <v>#N/A</v>
      </c>
      <c r="M95" s="23" t="e">
        <f>IF(CALENDARIO!$E95="", NA(), SUM(PALPITES!$BC$2:$BC95))</f>
        <v>#N/A</v>
      </c>
      <c r="N95" s="23" t="e">
        <f>IF(CALENDARIO!$E95="", NA(), SUM(PALPITES!$BG$2:$BG95))</f>
        <v>#N/A</v>
      </c>
      <c r="O95" s="23" t="e">
        <f>IF(CALENDARIO!$E95="", NA(), SUM(PALPITES!$BK$2:$BK95))</f>
        <v>#N/A</v>
      </c>
    </row>
    <row r="96" spans="1:15">
      <c r="A96" s="23">
        <v>95</v>
      </c>
      <c r="B96" s="23" t="e">
        <f>IF(CALENDARIO!$E96="", NA(), SUM(PALPITES!$K$2:$K96))</f>
        <v>#N/A</v>
      </c>
      <c r="C96" s="23" t="e">
        <f>IF(CALENDARIO!$E96="", NA(), SUM(PALPITES!$O$2:$O96))</f>
        <v>#N/A</v>
      </c>
      <c r="D96" s="23" t="e">
        <f>IF(CALENDARIO!$E96="", NA(), SUM(PALPITES!$S$2:$S96))</f>
        <v>#N/A</v>
      </c>
      <c r="E96" s="23" t="e">
        <f>IF(CALENDARIO!$E96="", NA(), SUM(PALPITES!$W$2:$W96))</f>
        <v>#N/A</v>
      </c>
      <c r="F96" s="23" t="e">
        <f>IF(CALENDARIO!$E96="", NA(), SUM(PALPITES!$AA$2:$AA96))</f>
        <v>#N/A</v>
      </c>
      <c r="G96" s="23" t="e">
        <f>IF(CALENDARIO!$E96="", NA(), SUM(PALPITES!$AE$2:$AE96))</f>
        <v>#N/A</v>
      </c>
      <c r="H96" s="23" t="e">
        <f>IF(CALENDARIO!$E96="", NA(), SUM(PALPITES!$AI$2:$AI96))</f>
        <v>#N/A</v>
      </c>
      <c r="I96" s="23" t="e">
        <f>IF(CALENDARIO!$E96="", NA(), SUM(PALPITES!$AM$2:$AM96))</f>
        <v>#N/A</v>
      </c>
      <c r="J96" s="23" t="e">
        <f>IF(CALENDARIO!$E96="", NA(), SUM(PALPITES!$AQ$2:$AQ96))</f>
        <v>#N/A</v>
      </c>
      <c r="K96" s="23" t="e">
        <f>IF(CALENDARIO!$E96="", NA(), SUM(PALPITES!$AU$2:$AU96))</f>
        <v>#N/A</v>
      </c>
      <c r="L96" s="23" t="e">
        <f>IF(CALENDARIO!$E96="", NA(), SUM(PALPITES!$AY$2:$AY96))</f>
        <v>#N/A</v>
      </c>
      <c r="M96" s="23" t="e">
        <f>IF(CALENDARIO!$E96="", NA(), SUM(PALPITES!$BC$2:$BC96))</f>
        <v>#N/A</v>
      </c>
      <c r="N96" s="23" t="e">
        <f>IF(CALENDARIO!$E96="", NA(), SUM(PALPITES!$BG$2:$BG96))</f>
        <v>#N/A</v>
      </c>
      <c r="O96" s="23" t="e">
        <f>IF(CALENDARIO!$E96="", NA(), SUM(PALPITES!$BK$2:$BK96))</f>
        <v>#N/A</v>
      </c>
    </row>
    <row r="97" spans="1:15">
      <c r="A97" s="23">
        <v>96</v>
      </c>
      <c r="B97" s="23" t="e">
        <f>IF(CALENDARIO!$E97="", NA(), SUM(PALPITES!$K$2:$K97))</f>
        <v>#N/A</v>
      </c>
      <c r="C97" s="23" t="e">
        <f>IF(CALENDARIO!$E97="", NA(), SUM(PALPITES!$O$2:$O97))</f>
        <v>#N/A</v>
      </c>
      <c r="D97" s="23" t="e">
        <f>IF(CALENDARIO!$E97="", NA(), SUM(PALPITES!$S$2:$S97))</f>
        <v>#N/A</v>
      </c>
      <c r="E97" s="23" t="e">
        <f>IF(CALENDARIO!$E97="", NA(), SUM(PALPITES!$W$2:$W97))</f>
        <v>#N/A</v>
      </c>
      <c r="F97" s="23" t="e">
        <f>IF(CALENDARIO!$E97="", NA(), SUM(PALPITES!$AA$2:$AA97))</f>
        <v>#N/A</v>
      </c>
      <c r="G97" s="23" t="e">
        <f>IF(CALENDARIO!$E97="", NA(), SUM(PALPITES!$AE$2:$AE97))</f>
        <v>#N/A</v>
      </c>
      <c r="H97" s="23" t="e">
        <f>IF(CALENDARIO!$E97="", NA(), SUM(PALPITES!$AI$2:$AI97))</f>
        <v>#N/A</v>
      </c>
      <c r="I97" s="23" t="e">
        <f>IF(CALENDARIO!$E97="", NA(), SUM(PALPITES!$AM$2:$AM97))</f>
        <v>#N/A</v>
      </c>
      <c r="J97" s="23" t="e">
        <f>IF(CALENDARIO!$E97="", NA(), SUM(PALPITES!$AQ$2:$AQ97))</f>
        <v>#N/A</v>
      </c>
      <c r="K97" s="23" t="e">
        <f>IF(CALENDARIO!$E97="", NA(), SUM(PALPITES!$AU$2:$AU97))</f>
        <v>#N/A</v>
      </c>
      <c r="L97" s="23" t="e">
        <f>IF(CALENDARIO!$E97="", NA(), SUM(PALPITES!$AY$2:$AY97))</f>
        <v>#N/A</v>
      </c>
      <c r="M97" s="23" t="e">
        <f>IF(CALENDARIO!$E97="", NA(), SUM(PALPITES!$BC$2:$BC97))</f>
        <v>#N/A</v>
      </c>
      <c r="N97" s="23" t="e">
        <f>IF(CALENDARIO!$E97="", NA(), SUM(PALPITES!$BG$2:$BG97))</f>
        <v>#N/A</v>
      </c>
      <c r="O97" s="23" t="e">
        <f>IF(CALENDARIO!$E97="", NA(), SUM(PALPITES!$BK$2:$BK97))</f>
        <v>#N/A</v>
      </c>
    </row>
    <row r="98" spans="1:15">
      <c r="A98" s="23">
        <v>97</v>
      </c>
      <c r="B98" s="23" t="e">
        <f>IF(CALENDARIO!$E98="", NA(), SUM(PALPITES!$K$2:$K98))</f>
        <v>#N/A</v>
      </c>
      <c r="C98" s="23" t="e">
        <f>IF(CALENDARIO!$E98="", NA(), SUM(PALPITES!$O$2:$O98))</f>
        <v>#N/A</v>
      </c>
      <c r="D98" s="23" t="e">
        <f>IF(CALENDARIO!$E98="", NA(), SUM(PALPITES!$S$2:$S98))</f>
        <v>#N/A</v>
      </c>
      <c r="E98" s="23" t="e">
        <f>IF(CALENDARIO!$E98="", NA(), SUM(PALPITES!$W$2:$W98))</f>
        <v>#N/A</v>
      </c>
      <c r="F98" s="23" t="e">
        <f>IF(CALENDARIO!$E98="", NA(), SUM(PALPITES!$AA$2:$AA98))</f>
        <v>#N/A</v>
      </c>
      <c r="G98" s="23" t="e">
        <f>IF(CALENDARIO!$E98="", NA(), SUM(PALPITES!$AE$2:$AE98))</f>
        <v>#N/A</v>
      </c>
      <c r="H98" s="23" t="e">
        <f>IF(CALENDARIO!$E98="", NA(), SUM(PALPITES!$AI$2:$AI98))</f>
        <v>#N/A</v>
      </c>
      <c r="I98" s="23" t="e">
        <f>IF(CALENDARIO!$E98="", NA(), SUM(PALPITES!$AM$2:$AM98))</f>
        <v>#N/A</v>
      </c>
      <c r="J98" s="23" t="e">
        <f>IF(CALENDARIO!$E98="", NA(), SUM(PALPITES!$AQ$2:$AQ98))</f>
        <v>#N/A</v>
      </c>
      <c r="K98" s="23" t="e">
        <f>IF(CALENDARIO!$E98="", NA(), SUM(PALPITES!$AU$2:$AU98))</f>
        <v>#N/A</v>
      </c>
      <c r="L98" s="23" t="e">
        <f>IF(CALENDARIO!$E98="", NA(), SUM(PALPITES!$AY$2:$AY98))</f>
        <v>#N/A</v>
      </c>
      <c r="M98" s="23" t="e">
        <f>IF(CALENDARIO!$E98="", NA(), SUM(PALPITES!$BC$2:$BC98))</f>
        <v>#N/A</v>
      </c>
      <c r="N98" s="23" t="e">
        <f>IF(CALENDARIO!$E98="", NA(), SUM(PALPITES!$BG$2:$BG98))</f>
        <v>#N/A</v>
      </c>
      <c r="O98" s="23" t="e">
        <f>IF(CALENDARIO!$E98="", NA(), SUM(PALPITES!$BK$2:$BK98))</f>
        <v>#N/A</v>
      </c>
    </row>
    <row r="99" spans="1:15">
      <c r="A99" s="23">
        <v>98</v>
      </c>
      <c r="B99" s="23" t="e">
        <f>IF(CALENDARIO!$E99="", NA(), SUM(PALPITES!$K$2:$K99))</f>
        <v>#N/A</v>
      </c>
      <c r="C99" s="23" t="e">
        <f>IF(CALENDARIO!$E99="", NA(), SUM(PALPITES!$O$2:$O99))</f>
        <v>#N/A</v>
      </c>
      <c r="D99" s="23" t="e">
        <f>IF(CALENDARIO!$E99="", NA(), SUM(PALPITES!$S$2:$S99))</f>
        <v>#N/A</v>
      </c>
      <c r="E99" s="23" t="e">
        <f>IF(CALENDARIO!$E99="", NA(), SUM(PALPITES!$W$2:$W99))</f>
        <v>#N/A</v>
      </c>
      <c r="F99" s="23" t="e">
        <f>IF(CALENDARIO!$E99="", NA(), SUM(PALPITES!$AA$2:$AA99))</f>
        <v>#N/A</v>
      </c>
      <c r="G99" s="23" t="e">
        <f>IF(CALENDARIO!$E99="", NA(), SUM(PALPITES!$AE$2:$AE99))</f>
        <v>#N/A</v>
      </c>
      <c r="H99" s="23" t="e">
        <f>IF(CALENDARIO!$E99="", NA(), SUM(PALPITES!$AI$2:$AI99))</f>
        <v>#N/A</v>
      </c>
      <c r="I99" s="23" t="e">
        <f>IF(CALENDARIO!$E99="", NA(), SUM(PALPITES!$AM$2:$AM99))</f>
        <v>#N/A</v>
      </c>
      <c r="J99" s="23" t="e">
        <f>IF(CALENDARIO!$E99="", NA(), SUM(PALPITES!$AQ$2:$AQ99))</f>
        <v>#N/A</v>
      </c>
      <c r="K99" s="23" t="e">
        <f>IF(CALENDARIO!$E99="", NA(), SUM(PALPITES!$AU$2:$AU99))</f>
        <v>#N/A</v>
      </c>
      <c r="L99" s="23" t="e">
        <f>IF(CALENDARIO!$E99="", NA(), SUM(PALPITES!$AY$2:$AY99))</f>
        <v>#N/A</v>
      </c>
      <c r="M99" s="23" t="e">
        <f>IF(CALENDARIO!$E99="", NA(), SUM(PALPITES!$BC$2:$BC99))</f>
        <v>#N/A</v>
      </c>
      <c r="N99" s="23" t="e">
        <f>IF(CALENDARIO!$E99="", NA(), SUM(PALPITES!$BG$2:$BG99))</f>
        <v>#N/A</v>
      </c>
      <c r="O99" s="23" t="e">
        <f>IF(CALENDARIO!$E99="", NA(), SUM(PALPITES!$BK$2:$BK99))</f>
        <v>#N/A</v>
      </c>
    </row>
    <row r="100" spans="1:15">
      <c r="A100" s="23">
        <v>99</v>
      </c>
      <c r="B100" s="23" t="e">
        <f>IF(CALENDARIO!$E100="", NA(), SUM(PALPITES!$K$2:$K100))</f>
        <v>#N/A</v>
      </c>
      <c r="C100" s="23" t="e">
        <f>IF(CALENDARIO!$E100="", NA(), SUM(PALPITES!$O$2:$O100))</f>
        <v>#N/A</v>
      </c>
      <c r="D100" s="23" t="e">
        <f>IF(CALENDARIO!$E100="", NA(), SUM(PALPITES!$S$2:$S100))</f>
        <v>#N/A</v>
      </c>
      <c r="E100" s="23" t="e">
        <f>IF(CALENDARIO!$E100="", NA(), SUM(PALPITES!$W$2:$W100))</f>
        <v>#N/A</v>
      </c>
      <c r="F100" s="23" t="e">
        <f>IF(CALENDARIO!$E100="", NA(), SUM(PALPITES!$AA$2:$AA100))</f>
        <v>#N/A</v>
      </c>
      <c r="G100" s="23" t="e">
        <f>IF(CALENDARIO!$E100="", NA(), SUM(PALPITES!$AE$2:$AE100))</f>
        <v>#N/A</v>
      </c>
      <c r="H100" s="23" t="e">
        <f>IF(CALENDARIO!$E100="", NA(), SUM(PALPITES!$AI$2:$AI100))</f>
        <v>#N/A</v>
      </c>
      <c r="I100" s="23" t="e">
        <f>IF(CALENDARIO!$E100="", NA(), SUM(PALPITES!$AM$2:$AM100))</f>
        <v>#N/A</v>
      </c>
      <c r="J100" s="23" t="e">
        <f>IF(CALENDARIO!$E100="", NA(), SUM(PALPITES!$AQ$2:$AQ100))</f>
        <v>#N/A</v>
      </c>
      <c r="K100" s="23" t="e">
        <f>IF(CALENDARIO!$E100="", NA(), SUM(PALPITES!$AU$2:$AU100))</f>
        <v>#N/A</v>
      </c>
      <c r="L100" s="23" t="e">
        <f>IF(CALENDARIO!$E100="", NA(), SUM(PALPITES!$AY$2:$AY100))</f>
        <v>#N/A</v>
      </c>
      <c r="M100" s="23" t="e">
        <f>IF(CALENDARIO!$E100="", NA(), SUM(PALPITES!$BC$2:$BC100))</f>
        <v>#N/A</v>
      </c>
      <c r="N100" s="23" t="e">
        <f>IF(CALENDARIO!$E100="", NA(), SUM(PALPITES!$BG$2:$BG100))</f>
        <v>#N/A</v>
      </c>
      <c r="O100" s="23" t="e">
        <f>IF(CALENDARIO!$E100="", NA(), SUM(PALPITES!$BK$2:$BK100))</f>
        <v>#N/A</v>
      </c>
    </row>
    <row r="101" spans="1:15">
      <c r="A101" s="23">
        <v>100</v>
      </c>
      <c r="B101" s="23" t="e">
        <f>IF(CALENDARIO!$E101="", NA(), SUM(PALPITES!$K$2:$K101))</f>
        <v>#N/A</v>
      </c>
      <c r="C101" s="23" t="e">
        <f>IF(CALENDARIO!$E101="", NA(), SUM(PALPITES!$O$2:$O101))</f>
        <v>#N/A</v>
      </c>
      <c r="D101" s="23" t="e">
        <f>IF(CALENDARIO!$E101="", NA(), SUM(PALPITES!$S$2:$S101))</f>
        <v>#N/A</v>
      </c>
      <c r="E101" s="23" t="e">
        <f>IF(CALENDARIO!$E101="", NA(), SUM(PALPITES!$W$2:$W101))</f>
        <v>#N/A</v>
      </c>
      <c r="F101" s="23" t="e">
        <f>IF(CALENDARIO!$E101="", NA(), SUM(PALPITES!$AA$2:$AA101))</f>
        <v>#N/A</v>
      </c>
      <c r="G101" s="23" t="e">
        <f>IF(CALENDARIO!$E101="", NA(), SUM(PALPITES!$AE$2:$AE101))</f>
        <v>#N/A</v>
      </c>
      <c r="H101" s="23" t="e">
        <f>IF(CALENDARIO!$E101="", NA(), SUM(PALPITES!$AI$2:$AI101))</f>
        <v>#N/A</v>
      </c>
      <c r="I101" s="23" t="e">
        <f>IF(CALENDARIO!$E101="", NA(), SUM(PALPITES!$AM$2:$AM101))</f>
        <v>#N/A</v>
      </c>
      <c r="J101" s="23" t="e">
        <f>IF(CALENDARIO!$E101="", NA(), SUM(PALPITES!$AQ$2:$AQ101))</f>
        <v>#N/A</v>
      </c>
      <c r="K101" s="23" t="e">
        <f>IF(CALENDARIO!$E101="", NA(), SUM(PALPITES!$AU$2:$AU101))</f>
        <v>#N/A</v>
      </c>
      <c r="L101" s="23" t="e">
        <f>IF(CALENDARIO!$E101="", NA(), SUM(PALPITES!$AY$2:$AY101))</f>
        <v>#N/A</v>
      </c>
      <c r="M101" s="23" t="e">
        <f>IF(CALENDARIO!$E101="", NA(), SUM(PALPITES!$BC$2:$BC101))</f>
        <v>#N/A</v>
      </c>
      <c r="N101" s="23" t="e">
        <f>IF(CALENDARIO!$E101="", NA(), SUM(PALPITES!$BG$2:$BG101))</f>
        <v>#N/A</v>
      </c>
      <c r="O101" s="23" t="e">
        <f>IF(CALENDARIO!$E101="", NA(), SUM(PALPITES!$BK$2:$BK101))</f>
        <v>#N/A</v>
      </c>
    </row>
    <row r="102" spans="1:15">
      <c r="A102" s="23">
        <v>101</v>
      </c>
      <c r="B102" s="23" t="e">
        <f>IF(CALENDARIO!$E102="", NA(), SUM(PALPITES!$K$2:$K102))</f>
        <v>#N/A</v>
      </c>
      <c r="C102" s="23" t="e">
        <f>IF(CALENDARIO!$E102="", NA(), SUM(PALPITES!$O$2:$O102))</f>
        <v>#N/A</v>
      </c>
      <c r="D102" s="23" t="e">
        <f>IF(CALENDARIO!$E102="", NA(), SUM(PALPITES!$S$2:$S102))</f>
        <v>#N/A</v>
      </c>
      <c r="E102" s="23" t="e">
        <f>IF(CALENDARIO!$E102="", NA(), SUM(PALPITES!$W$2:$W102))</f>
        <v>#N/A</v>
      </c>
      <c r="F102" s="23" t="e">
        <f>IF(CALENDARIO!$E102="", NA(), SUM(PALPITES!$AA$2:$AA102))</f>
        <v>#N/A</v>
      </c>
      <c r="G102" s="23" t="e">
        <f>IF(CALENDARIO!$E102="", NA(), SUM(PALPITES!$AE$2:$AE102))</f>
        <v>#N/A</v>
      </c>
      <c r="H102" s="23" t="e">
        <f>IF(CALENDARIO!$E102="", NA(), SUM(PALPITES!$AI$2:$AI102))</f>
        <v>#N/A</v>
      </c>
      <c r="I102" s="23" t="e">
        <f>IF(CALENDARIO!$E102="", NA(), SUM(PALPITES!$AM$2:$AM102))</f>
        <v>#N/A</v>
      </c>
      <c r="J102" s="23" t="e">
        <f>IF(CALENDARIO!$E102="", NA(), SUM(PALPITES!$AQ$2:$AQ102))</f>
        <v>#N/A</v>
      </c>
      <c r="K102" s="23" t="e">
        <f>IF(CALENDARIO!$E102="", NA(), SUM(PALPITES!$AU$2:$AU102))</f>
        <v>#N/A</v>
      </c>
      <c r="L102" s="23" t="e">
        <f>IF(CALENDARIO!$E102="", NA(), SUM(PALPITES!$AY$2:$AY102))</f>
        <v>#N/A</v>
      </c>
      <c r="M102" s="23" t="e">
        <f>IF(CALENDARIO!$E102="", NA(), SUM(PALPITES!$BC$2:$BC102))</f>
        <v>#N/A</v>
      </c>
      <c r="N102" s="23" t="e">
        <f>IF(CALENDARIO!$E102="", NA(), SUM(PALPITES!$BG$2:$BG102))</f>
        <v>#N/A</v>
      </c>
      <c r="O102" s="23" t="e">
        <f>IF(CALENDARIO!$E102="", NA(), SUM(PALPITES!$BK$2:$BK102))</f>
        <v>#N/A</v>
      </c>
    </row>
    <row r="103" spans="1:15">
      <c r="A103" s="23">
        <v>102</v>
      </c>
      <c r="B103" s="23" t="e">
        <f>IF(CALENDARIO!$E103="", NA(), SUM(PALPITES!$K$2:$K103))</f>
        <v>#N/A</v>
      </c>
      <c r="C103" s="23" t="e">
        <f>IF(CALENDARIO!$E103="", NA(), SUM(PALPITES!$O$2:$O103))</f>
        <v>#N/A</v>
      </c>
      <c r="D103" s="23" t="e">
        <f>IF(CALENDARIO!$E103="", NA(), SUM(PALPITES!$S$2:$S103))</f>
        <v>#N/A</v>
      </c>
      <c r="E103" s="23" t="e">
        <f>IF(CALENDARIO!$E103="", NA(), SUM(PALPITES!$W$2:$W103))</f>
        <v>#N/A</v>
      </c>
      <c r="F103" s="23" t="e">
        <f>IF(CALENDARIO!$E103="", NA(), SUM(PALPITES!$AA$2:$AA103))</f>
        <v>#N/A</v>
      </c>
      <c r="G103" s="23" t="e">
        <f>IF(CALENDARIO!$E103="", NA(), SUM(PALPITES!$AE$2:$AE103))</f>
        <v>#N/A</v>
      </c>
      <c r="H103" s="23" t="e">
        <f>IF(CALENDARIO!$E103="", NA(), SUM(PALPITES!$AI$2:$AI103))</f>
        <v>#N/A</v>
      </c>
      <c r="I103" s="23" t="e">
        <f>IF(CALENDARIO!$E103="", NA(), SUM(PALPITES!$AM$2:$AM103))</f>
        <v>#N/A</v>
      </c>
      <c r="J103" s="23" t="e">
        <f>IF(CALENDARIO!$E103="", NA(), SUM(PALPITES!$AQ$2:$AQ103))</f>
        <v>#N/A</v>
      </c>
      <c r="K103" s="23" t="e">
        <f>IF(CALENDARIO!$E103="", NA(), SUM(PALPITES!$AU$2:$AU103))</f>
        <v>#N/A</v>
      </c>
      <c r="L103" s="23" t="e">
        <f>IF(CALENDARIO!$E103="", NA(), SUM(PALPITES!$AY$2:$AY103))</f>
        <v>#N/A</v>
      </c>
      <c r="M103" s="23" t="e">
        <f>IF(CALENDARIO!$E103="", NA(), SUM(PALPITES!$BC$2:$BC103))</f>
        <v>#N/A</v>
      </c>
      <c r="N103" s="23" t="e">
        <f>IF(CALENDARIO!$E103="", NA(), SUM(PALPITES!$BG$2:$BG103))</f>
        <v>#N/A</v>
      </c>
      <c r="O103" s="23" t="e">
        <f>IF(CALENDARIO!$E103="", NA(), SUM(PALPITES!$BK$2:$BK103))</f>
        <v>#N/A</v>
      </c>
    </row>
    <row r="104" spans="1:15">
      <c r="A104" s="23">
        <v>103</v>
      </c>
      <c r="B104" s="23" t="e">
        <f>IF(CALENDARIO!$E104="", NA(), SUM(PALPITES!$K$2:$K104))</f>
        <v>#N/A</v>
      </c>
      <c r="C104" s="23" t="e">
        <f>IF(CALENDARIO!$E104="", NA(), SUM(PALPITES!$O$2:$O104))</f>
        <v>#N/A</v>
      </c>
      <c r="D104" s="23" t="e">
        <f>IF(CALENDARIO!$E104="", NA(), SUM(PALPITES!$S$2:$S104))</f>
        <v>#N/A</v>
      </c>
      <c r="E104" s="23" t="e">
        <f>IF(CALENDARIO!$E104="", NA(), SUM(PALPITES!$W$2:$W104))</f>
        <v>#N/A</v>
      </c>
      <c r="F104" s="23" t="e">
        <f>IF(CALENDARIO!$E104="", NA(), SUM(PALPITES!$AA$2:$AA104))</f>
        <v>#N/A</v>
      </c>
      <c r="G104" s="23" t="e">
        <f>IF(CALENDARIO!$E104="", NA(), SUM(PALPITES!$AE$2:$AE104))</f>
        <v>#N/A</v>
      </c>
      <c r="H104" s="23" t="e">
        <f>IF(CALENDARIO!$E104="", NA(), SUM(PALPITES!$AI$2:$AI104))</f>
        <v>#N/A</v>
      </c>
      <c r="I104" s="23" t="e">
        <f>IF(CALENDARIO!$E104="", NA(), SUM(PALPITES!$AM$2:$AM104))</f>
        <v>#N/A</v>
      </c>
      <c r="J104" s="23" t="e">
        <f>IF(CALENDARIO!$E104="", NA(), SUM(PALPITES!$AQ$2:$AQ104))</f>
        <v>#N/A</v>
      </c>
      <c r="K104" s="23" t="e">
        <f>IF(CALENDARIO!$E104="", NA(), SUM(PALPITES!$AU$2:$AU104))</f>
        <v>#N/A</v>
      </c>
      <c r="L104" s="23" t="e">
        <f>IF(CALENDARIO!$E104="", NA(), SUM(PALPITES!$AY$2:$AY104))</f>
        <v>#N/A</v>
      </c>
      <c r="M104" s="23" t="e">
        <f>IF(CALENDARIO!$E104="", NA(), SUM(PALPITES!$BC$2:$BC104))</f>
        <v>#N/A</v>
      </c>
      <c r="N104" s="23" t="e">
        <f>IF(CALENDARIO!$E104="", NA(), SUM(PALPITES!$BG$2:$BG104))</f>
        <v>#N/A</v>
      </c>
      <c r="O104" s="23" t="e">
        <f>IF(CALENDARIO!$E104="", NA(), SUM(PALPITES!$BK$2:$BK104))</f>
        <v>#N/A</v>
      </c>
    </row>
    <row r="105" spans="1:15">
      <c r="A105" s="23">
        <v>104</v>
      </c>
      <c r="B105" s="23" t="e">
        <f>IF(CALENDARIO!$E105="", NA(), SUM(PALPITES!$K$2:$K105))</f>
        <v>#N/A</v>
      </c>
      <c r="C105" s="23" t="e">
        <f>IF(CALENDARIO!$E105="", NA(), SUM(PALPITES!$O$2:$O105))</f>
        <v>#N/A</v>
      </c>
      <c r="D105" s="23" t="e">
        <f>IF(CALENDARIO!$E105="", NA(), SUM(PALPITES!$S$2:$S105))</f>
        <v>#N/A</v>
      </c>
      <c r="E105" s="23" t="e">
        <f>IF(CALENDARIO!$E105="", NA(), SUM(PALPITES!$W$2:$W105))</f>
        <v>#N/A</v>
      </c>
      <c r="F105" s="23" t="e">
        <f>IF(CALENDARIO!$E105="", NA(), SUM(PALPITES!$AA$2:$AA105))</f>
        <v>#N/A</v>
      </c>
      <c r="G105" s="23" t="e">
        <f>IF(CALENDARIO!$E105="", NA(), SUM(PALPITES!$AE$2:$AE105))</f>
        <v>#N/A</v>
      </c>
      <c r="H105" s="23" t="e">
        <f>IF(CALENDARIO!$E105="", NA(), SUM(PALPITES!$AI$2:$AI105))</f>
        <v>#N/A</v>
      </c>
      <c r="I105" s="23" t="e">
        <f>IF(CALENDARIO!$E105="", NA(), SUM(PALPITES!$AM$2:$AM105))</f>
        <v>#N/A</v>
      </c>
      <c r="J105" s="23" t="e">
        <f>IF(CALENDARIO!$E105="", NA(), SUM(PALPITES!$AQ$2:$AQ105))</f>
        <v>#N/A</v>
      </c>
      <c r="K105" s="23" t="e">
        <f>IF(CALENDARIO!$E105="", NA(), SUM(PALPITES!$AU$2:$AU105))</f>
        <v>#N/A</v>
      </c>
      <c r="L105" s="23" t="e">
        <f>IF(CALENDARIO!$E105="", NA(), SUM(PALPITES!$AY$2:$AY105))</f>
        <v>#N/A</v>
      </c>
      <c r="M105" s="23" t="e">
        <f>IF(CALENDARIO!$E105="", NA(), SUM(PALPITES!$BC$2:$BC105))</f>
        <v>#N/A</v>
      </c>
      <c r="N105" s="23" t="e">
        <f>IF(CALENDARIO!$E105="", NA(), SUM(PALPITES!$BG$2:$BG105))</f>
        <v>#N/A</v>
      </c>
      <c r="O105" s="23" t="e">
        <f>IF(CALENDARIO!$E105="", NA(), SUM(PALPITES!$BK$2:$BK105))</f>
        <v>#N/A</v>
      </c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 t="str">
        <f t="shared" ref="B110:O110" si="0">B1</f>
        <v>ALICE</v>
      </c>
      <c r="C110" s="23" t="str">
        <f t="shared" si="0"/>
        <v>ANNE</v>
      </c>
      <c r="D110" s="23" t="str">
        <f t="shared" si="0"/>
        <v>CARLINHOS</v>
      </c>
      <c r="E110" s="23" t="str">
        <f t="shared" si="0"/>
        <v>DEDE</v>
      </c>
      <c r="F110" s="23" t="str">
        <f t="shared" si="0"/>
        <v>ERIKA</v>
      </c>
      <c r="G110" s="23" t="str">
        <f t="shared" si="0"/>
        <v>GUTO</v>
      </c>
      <c r="H110" s="23" t="str">
        <f t="shared" si="0"/>
        <v>HELENA</v>
      </c>
      <c r="I110" s="23" t="str">
        <f t="shared" si="0"/>
        <v>JULIA</v>
      </c>
      <c r="J110" s="23" t="str">
        <f t="shared" si="0"/>
        <v>KANOO</v>
      </c>
      <c r="K110" s="23" t="str">
        <f t="shared" si="0"/>
        <v>KATIA</v>
      </c>
      <c r="L110" s="23" t="str">
        <f t="shared" si="0"/>
        <v>RAFA</v>
      </c>
      <c r="M110" s="23" t="str">
        <f t="shared" si="0"/>
        <v>RAQUEL</v>
      </c>
      <c r="N110" s="23" t="str">
        <f t="shared" si="0"/>
        <v>RENATO</v>
      </c>
      <c r="O110" s="23" t="str">
        <f t="shared" si="0"/>
        <v>ZE</v>
      </c>
    </row>
    <row r="111" spans="1:15">
      <c r="A111" s="23">
        <v>1</v>
      </c>
      <c r="B111" s="23" t="e">
        <f t="shared" ref="B111:O111" si="1">IF(ISNA(B2), NA(), 15 - RANK(B2, $B2:$O2))</f>
        <v>#N/A</v>
      </c>
      <c r="C111" s="23" t="e">
        <f t="shared" si="1"/>
        <v>#N/A</v>
      </c>
      <c r="D111" s="23" t="e">
        <f t="shared" si="1"/>
        <v>#N/A</v>
      </c>
      <c r="E111" s="23" t="e">
        <f t="shared" si="1"/>
        <v>#N/A</v>
      </c>
      <c r="F111" s="23" t="e">
        <f t="shared" si="1"/>
        <v>#N/A</v>
      </c>
      <c r="G111" s="23" t="e">
        <f t="shared" si="1"/>
        <v>#N/A</v>
      </c>
      <c r="H111" s="23" t="e">
        <f t="shared" si="1"/>
        <v>#N/A</v>
      </c>
      <c r="I111" s="23" t="e">
        <f t="shared" si="1"/>
        <v>#N/A</v>
      </c>
      <c r="J111" s="23" t="e">
        <f t="shared" si="1"/>
        <v>#N/A</v>
      </c>
      <c r="K111" s="23" t="e">
        <f t="shared" si="1"/>
        <v>#N/A</v>
      </c>
      <c r="L111" s="23" t="e">
        <f t="shared" si="1"/>
        <v>#N/A</v>
      </c>
      <c r="M111" s="23" t="e">
        <f t="shared" si="1"/>
        <v>#N/A</v>
      </c>
      <c r="N111" s="23" t="e">
        <f t="shared" si="1"/>
        <v>#N/A</v>
      </c>
      <c r="O111" s="23" t="e">
        <f t="shared" si="1"/>
        <v>#N/A</v>
      </c>
    </row>
    <row r="112" spans="1:15">
      <c r="A112" s="23">
        <v>2</v>
      </c>
      <c r="B112" s="23" t="e">
        <f t="shared" ref="B112:O112" si="2">IF(ISNA(B3), NA(), 15 - RANK(B3, $B3:$O3))</f>
        <v>#N/A</v>
      </c>
      <c r="C112" s="23" t="e">
        <f t="shared" si="2"/>
        <v>#N/A</v>
      </c>
      <c r="D112" s="23" t="e">
        <f t="shared" si="2"/>
        <v>#N/A</v>
      </c>
      <c r="E112" s="23" t="e">
        <f t="shared" si="2"/>
        <v>#N/A</v>
      </c>
      <c r="F112" s="23" t="e">
        <f t="shared" si="2"/>
        <v>#N/A</v>
      </c>
      <c r="G112" s="23" t="e">
        <f t="shared" si="2"/>
        <v>#N/A</v>
      </c>
      <c r="H112" s="23" t="e">
        <f t="shared" si="2"/>
        <v>#N/A</v>
      </c>
      <c r="I112" s="23" t="e">
        <f t="shared" si="2"/>
        <v>#N/A</v>
      </c>
      <c r="J112" s="23" t="e">
        <f t="shared" si="2"/>
        <v>#N/A</v>
      </c>
      <c r="K112" s="23" t="e">
        <f t="shared" si="2"/>
        <v>#N/A</v>
      </c>
      <c r="L112" s="23" t="e">
        <f t="shared" si="2"/>
        <v>#N/A</v>
      </c>
      <c r="M112" s="23" t="e">
        <f t="shared" si="2"/>
        <v>#N/A</v>
      </c>
      <c r="N112" s="23" t="e">
        <f t="shared" si="2"/>
        <v>#N/A</v>
      </c>
      <c r="O112" s="23" t="e">
        <f t="shared" si="2"/>
        <v>#N/A</v>
      </c>
    </row>
    <row r="113" spans="1:15">
      <c r="A113" s="23">
        <v>3</v>
      </c>
      <c r="B113" s="23" t="e">
        <f t="shared" ref="B113:O113" si="3">IF(ISNA(B4), NA(), 15 - RANK(B4, $B4:$O4))</f>
        <v>#N/A</v>
      </c>
      <c r="C113" s="23" t="e">
        <f t="shared" si="3"/>
        <v>#N/A</v>
      </c>
      <c r="D113" s="23" t="e">
        <f t="shared" si="3"/>
        <v>#N/A</v>
      </c>
      <c r="E113" s="23" t="e">
        <f t="shared" si="3"/>
        <v>#N/A</v>
      </c>
      <c r="F113" s="23" t="e">
        <f t="shared" si="3"/>
        <v>#N/A</v>
      </c>
      <c r="G113" s="23" t="e">
        <f t="shared" si="3"/>
        <v>#N/A</v>
      </c>
      <c r="H113" s="23" t="e">
        <f t="shared" si="3"/>
        <v>#N/A</v>
      </c>
      <c r="I113" s="23" t="e">
        <f t="shared" si="3"/>
        <v>#N/A</v>
      </c>
      <c r="J113" s="23" t="e">
        <f t="shared" si="3"/>
        <v>#N/A</v>
      </c>
      <c r="K113" s="23" t="e">
        <f t="shared" si="3"/>
        <v>#N/A</v>
      </c>
      <c r="L113" s="23" t="e">
        <f t="shared" si="3"/>
        <v>#N/A</v>
      </c>
      <c r="M113" s="23" t="e">
        <f t="shared" si="3"/>
        <v>#N/A</v>
      </c>
      <c r="N113" s="23" t="e">
        <f t="shared" si="3"/>
        <v>#N/A</v>
      </c>
      <c r="O113" s="23" t="e">
        <f t="shared" si="3"/>
        <v>#N/A</v>
      </c>
    </row>
    <row r="114" spans="1:15">
      <c r="A114" s="23">
        <v>4</v>
      </c>
      <c r="B114" s="23" t="e">
        <f t="shared" ref="B114:O114" si="4">IF(ISNA(B5), NA(), 15 - RANK(B5, $B5:$O5))</f>
        <v>#N/A</v>
      </c>
      <c r="C114" s="23" t="e">
        <f t="shared" si="4"/>
        <v>#N/A</v>
      </c>
      <c r="D114" s="23" t="e">
        <f t="shared" si="4"/>
        <v>#N/A</v>
      </c>
      <c r="E114" s="23" t="e">
        <f t="shared" si="4"/>
        <v>#N/A</v>
      </c>
      <c r="F114" s="23" t="e">
        <f t="shared" si="4"/>
        <v>#N/A</v>
      </c>
      <c r="G114" s="23" t="e">
        <f t="shared" si="4"/>
        <v>#N/A</v>
      </c>
      <c r="H114" s="23" t="e">
        <f t="shared" si="4"/>
        <v>#N/A</v>
      </c>
      <c r="I114" s="23" t="e">
        <f t="shared" si="4"/>
        <v>#N/A</v>
      </c>
      <c r="J114" s="23" t="e">
        <f t="shared" si="4"/>
        <v>#N/A</v>
      </c>
      <c r="K114" s="23" t="e">
        <f t="shared" si="4"/>
        <v>#N/A</v>
      </c>
      <c r="L114" s="23" t="e">
        <f t="shared" si="4"/>
        <v>#N/A</v>
      </c>
      <c r="M114" s="23" t="e">
        <f t="shared" si="4"/>
        <v>#N/A</v>
      </c>
      <c r="N114" s="23" t="e">
        <f t="shared" si="4"/>
        <v>#N/A</v>
      </c>
      <c r="O114" s="23" t="e">
        <f t="shared" si="4"/>
        <v>#N/A</v>
      </c>
    </row>
    <row r="115" spans="1:15">
      <c r="A115" s="23">
        <v>5</v>
      </c>
      <c r="B115" s="23" t="e">
        <f t="shared" ref="B115:O115" si="5">IF(ISNA(B6), NA(), 15 - RANK(B6, $B6:$O6))</f>
        <v>#N/A</v>
      </c>
      <c r="C115" s="23" t="e">
        <f t="shared" si="5"/>
        <v>#N/A</v>
      </c>
      <c r="D115" s="23" t="e">
        <f t="shared" si="5"/>
        <v>#N/A</v>
      </c>
      <c r="E115" s="23" t="e">
        <f t="shared" si="5"/>
        <v>#N/A</v>
      </c>
      <c r="F115" s="23" t="e">
        <f t="shared" si="5"/>
        <v>#N/A</v>
      </c>
      <c r="G115" s="23" t="e">
        <f t="shared" si="5"/>
        <v>#N/A</v>
      </c>
      <c r="H115" s="23" t="e">
        <f t="shared" si="5"/>
        <v>#N/A</v>
      </c>
      <c r="I115" s="23" t="e">
        <f t="shared" si="5"/>
        <v>#N/A</v>
      </c>
      <c r="J115" s="23" t="e">
        <f t="shared" si="5"/>
        <v>#N/A</v>
      </c>
      <c r="K115" s="23" t="e">
        <f t="shared" si="5"/>
        <v>#N/A</v>
      </c>
      <c r="L115" s="23" t="e">
        <f t="shared" si="5"/>
        <v>#N/A</v>
      </c>
      <c r="M115" s="23" t="e">
        <f t="shared" si="5"/>
        <v>#N/A</v>
      </c>
      <c r="N115" s="23" t="e">
        <f t="shared" si="5"/>
        <v>#N/A</v>
      </c>
      <c r="O115" s="23" t="e">
        <f t="shared" si="5"/>
        <v>#N/A</v>
      </c>
    </row>
    <row r="116" spans="1:15">
      <c r="A116" s="23">
        <v>6</v>
      </c>
      <c r="B116" s="23" t="e">
        <f t="shared" ref="B116:O116" si="6">IF(ISNA(B7), NA(), 15 - RANK(B7, $B7:$O7))</f>
        <v>#N/A</v>
      </c>
      <c r="C116" s="23" t="e">
        <f t="shared" si="6"/>
        <v>#N/A</v>
      </c>
      <c r="D116" s="23" t="e">
        <f t="shared" si="6"/>
        <v>#N/A</v>
      </c>
      <c r="E116" s="23" t="e">
        <f t="shared" si="6"/>
        <v>#N/A</v>
      </c>
      <c r="F116" s="23" t="e">
        <f t="shared" si="6"/>
        <v>#N/A</v>
      </c>
      <c r="G116" s="23" t="e">
        <f t="shared" si="6"/>
        <v>#N/A</v>
      </c>
      <c r="H116" s="23" t="e">
        <f t="shared" si="6"/>
        <v>#N/A</v>
      </c>
      <c r="I116" s="23" t="e">
        <f t="shared" si="6"/>
        <v>#N/A</v>
      </c>
      <c r="J116" s="23" t="e">
        <f t="shared" si="6"/>
        <v>#N/A</v>
      </c>
      <c r="K116" s="23" t="e">
        <f t="shared" si="6"/>
        <v>#N/A</v>
      </c>
      <c r="L116" s="23" t="e">
        <f t="shared" si="6"/>
        <v>#N/A</v>
      </c>
      <c r="M116" s="23" t="e">
        <f t="shared" si="6"/>
        <v>#N/A</v>
      </c>
      <c r="N116" s="23" t="e">
        <f t="shared" si="6"/>
        <v>#N/A</v>
      </c>
      <c r="O116" s="23" t="e">
        <f t="shared" si="6"/>
        <v>#N/A</v>
      </c>
    </row>
    <row r="117" spans="1:15">
      <c r="A117" s="23">
        <v>7</v>
      </c>
      <c r="B117" s="23" t="e">
        <f t="shared" ref="B117:O117" si="7">IF(ISNA(B8), NA(), 15 - RANK(B8, $B8:$O8))</f>
        <v>#N/A</v>
      </c>
      <c r="C117" s="23" t="e">
        <f t="shared" si="7"/>
        <v>#N/A</v>
      </c>
      <c r="D117" s="23" t="e">
        <f t="shared" si="7"/>
        <v>#N/A</v>
      </c>
      <c r="E117" s="23" t="e">
        <f t="shared" si="7"/>
        <v>#N/A</v>
      </c>
      <c r="F117" s="23" t="e">
        <f t="shared" si="7"/>
        <v>#N/A</v>
      </c>
      <c r="G117" s="23" t="e">
        <f t="shared" si="7"/>
        <v>#N/A</v>
      </c>
      <c r="H117" s="23" t="e">
        <f t="shared" si="7"/>
        <v>#N/A</v>
      </c>
      <c r="I117" s="23" t="e">
        <f t="shared" si="7"/>
        <v>#N/A</v>
      </c>
      <c r="J117" s="23" t="e">
        <f t="shared" si="7"/>
        <v>#N/A</v>
      </c>
      <c r="K117" s="23" t="e">
        <f t="shared" si="7"/>
        <v>#N/A</v>
      </c>
      <c r="L117" s="23" t="e">
        <f t="shared" si="7"/>
        <v>#N/A</v>
      </c>
      <c r="M117" s="23" t="e">
        <f t="shared" si="7"/>
        <v>#N/A</v>
      </c>
      <c r="N117" s="23" t="e">
        <f t="shared" si="7"/>
        <v>#N/A</v>
      </c>
      <c r="O117" s="23" t="e">
        <f t="shared" si="7"/>
        <v>#N/A</v>
      </c>
    </row>
    <row r="118" spans="1:15">
      <c r="A118" s="23">
        <v>8</v>
      </c>
      <c r="B118" s="23" t="e">
        <f t="shared" ref="B118:O118" si="8">IF(ISNA(B9), NA(), 15 - RANK(B9, $B9:$O9))</f>
        <v>#N/A</v>
      </c>
      <c r="C118" s="23" t="e">
        <f t="shared" si="8"/>
        <v>#N/A</v>
      </c>
      <c r="D118" s="23" t="e">
        <f t="shared" si="8"/>
        <v>#N/A</v>
      </c>
      <c r="E118" s="23" t="e">
        <f t="shared" si="8"/>
        <v>#N/A</v>
      </c>
      <c r="F118" s="23" t="e">
        <f t="shared" si="8"/>
        <v>#N/A</v>
      </c>
      <c r="G118" s="23" t="e">
        <f t="shared" si="8"/>
        <v>#N/A</v>
      </c>
      <c r="H118" s="23" t="e">
        <f t="shared" si="8"/>
        <v>#N/A</v>
      </c>
      <c r="I118" s="23" t="e">
        <f t="shared" si="8"/>
        <v>#N/A</v>
      </c>
      <c r="J118" s="23" t="e">
        <f t="shared" si="8"/>
        <v>#N/A</v>
      </c>
      <c r="K118" s="23" t="e">
        <f t="shared" si="8"/>
        <v>#N/A</v>
      </c>
      <c r="L118" s="23" t="e">
        <f t="shared" si="8"/>
        <v>#N/A</v>
      </c>
      <c r="M118" s="23" t="e">
        <f t="shared" si="8"/>
        <v>#N/A</v>
      </c>
      <c r="N118" s="23" t="e">
        <f t="shared" si="8"/>
        <v>#N/A</v>
      </c>
      <c r="O118" s="23" t="e">
        <f t="shared" si="8"/>
        <v>#N/A</v>
      </c>
    </row>
    <row r="119" spans="1:15">
      <c r="A119" s="23">
        <v>9</v>
      </c>
      <c r="B119" s="23" t="e">
        <f t="shared" ref="B119:O119" si="9">IF(ISNA(B10), NA(), 15 - RANK(B10, $B10:$O10))</f>
        <v>#N/A</v>
      </c>
      <c r="C119" s="23" t="e">
        <f t="shared" si="9"/>
        <v>#N/A</v>
      </c>
      <c r="D119" s="23" t="e">
        <f t="shared" si="9"/>
        <v>#N/A</v>
      </c>
      <c r="E119" s="23" t="e">
        <f t="shared" si="9"/>
        <v>#N/A</v>
      </c>
      <c r="F119" s="23" t="e">
        <f t="shared" si="9"/>
        <v>#N/A</v>
      </c>
      <c r="G119" s="23" t="e">
        <f t="shared" si="9"/>
        <v>#N/A</v>
      </c>
      <c r="H119" s="23" t="e">
        <f t="shared" si="9"/>
        <v>#N/A</v>
      </c>
      <c r="I119" s="23" t="e">
        <f t="shared" si="9"/>
        <v>#N/A</v>
      </c>
      <c r="J119" s="23" t="e">
        <f t="shared" si="9"/>
        <v>#N/A</v>
      </c>
      <c r="K119" s="23" t="e">
        <f t="shared" si="9"/>
        <v>#N/A</v>
      </c>
      <c r="L119" s="23" t="e">
        <f t="shared" si="9"/>
        <v>#N/A</v>
      </c>
      <c r="M119" s="23" t="e">
        <f t="shared" si="9"/>
        <v>#N/A</v>
      </c>
      <c r="N119" s="23" t="e">
        <f t="shared" si="9"/>
        <v>#N/A</v>
      </c>
      <c r="O119" s="23" t="e">
        <f t="shared" si="9"/>
        <v>#N/A</v>
      </c>
    </row>
    <row r="120" spans="1:15">
      <c r="A120" s="23">
        <v>10</v>
      </c>
      <c r="B120" s="23" t="e">
        <f t="shared" ref="B120:O120" si="10">IF(ISNA(B11), NA(), 15 - RANK(B11, $B11:$O11))</f>
        <v>#N/A</v>
      </c>
      <c r="C120" s="23" t="e">
        <f t="shared" si="10"/>
        <v>#N/A</v>
      </c>
      <c r="D120" s="23" t="e">
        <f t="shared" si="10"/>
        <v>#N/A</v>
      </c>
      <c r="E120" s="23" t="e">
        <f t="shared" si="10"/>
        <v>#N/A</v>
      </c>
      <c r="F120" s="23" t="e">
        <f t="shared" si="10"/>
        <v>#N/A</v>
      </c>
      <c r="G120" s="23" t="e">
        <f t="shared" si="10"/>
        <v>#N/A</v>
      </c>
      <c r="H120" s="23" t="e">
        <f t="shared" si="10"/>
        <v>#N/A</v>
      </c>
      <c r="I120" s="23" t="e">
        <f t="shared" si="10"/>
        <v>#N/A</v>
      </c>
      <c r="J120" s="23" t="e">
        <f t="shared" si="10"/>
        <v>#N/A</v>
      </c>
      <c r="K120" s="23" t="e">
        <f t="shared" si="10"/>
        <v>#N/A</v>
      </c>
      <c r="L120" s="23" t="e">
        <f t="shared" si="10"/>
        <v>#N/A</v>
      </c>
      <c r="M120" s="23" t="e">
        <f t="shared" si="10"/>
        <v>#N/A</v>
      </c>
      <c r="N120" s="23" t="e">
        <f t="shared" si="10"/>
        <v>#N/A</v>
      </c>
      <c r="O120" s="23" t="e">
        <f t="shared" si="10"/>
        <v>#N/A</v>
      </c>
    </row>
    <row r="121" spans="1:15">
      <c r="A121" s="23">
        <v>11</v>
      </c>
      <c r="B121" s="23" t="e">
        <f t="shared" ref="B121:O121" si="11">IF(ISNA(B12), NA(), 15 - RANK(B12, $B12:$O12))</f>
        <v>#N/A</v>
      </c>
      <c r="C121" s="23" t="e">
        <f t="shared" si="11"/>
        <v>#N/A</v>
      </c>
      <c r="D121" s="23" t="e">
        <f t="shared" si="11"/>
        <v>#N/A</v>
      </c>
      <c r="E121" s="23" t="e">
        <f t="shared" si="11"/>
        <v>#N/A</v>
      </c>
      <c r="F121" s="23" t="e">
        <f t="shared" si="11"/>
        <v>#N/A</v>
      </c>
      <c r="G121" s="23" t="e">
        <f t="shared" si="11"/>
        <v>#N/A</v>
      </c>
      <c r="H121" s="23" t="e">
        <f t="shared" si="11"/>
        <v>#N/A</v>
      </c>
      <c r="I121" s="23" t="e">
        <f t="shared" si="11"/>
        <v>#N/A</v>
      </c>
      <c r="J121" s="23" t="e">
        <f t="shared" si="11"/>
        <v>#N/A</v>
      </c>
      <c r="K121" s="23" t="e">
        <f t="shared" si="11"/>
        <v>#N/A</v>
      </c>
      <c r="L121" s="23" t="e">
        <f t="shared" si="11"/>
        <v>#N/A</v>
      </c>
      <c r="M121" s="23" t="e">
        <f t="shared" si="11"/>
        <v>#N/A</v>
      </c>
      <c r="N121" s="23" t="e">
        <f t="shared" si="11"/>
        <v>#N/A</v>
      </c>
      <c r="O121" s="23" t="e">
        <f t="shared" si="11"/>
        <v>#N/A</v>
      </c>
    </row>
    <row r="122" spans="1:15">
      <c r="A122" s="23">
        <v>12</v>
      </c>
      <c r="B122" s="23" t="e">
        <f t="shared" ref="B122:O122" si="12">IF(ISNA(B13), NA(), 15 - RANK(B13, $B13:$O13))</f>
        <v>#N/A</v>
      </c>
      <c r="C122" s="23" t="e">
        <f t="shared" si="12"/>
        <v>#N/A</v>
      </c>
      <c r="D122" s="23" t="e">
        <f t="shared" si="12"/>
        <v>#N/A</v>
      </c>
      <c r="E122" s="23" t="e">
        <f t="shared" si="12"/>
        <v>#N/A</v>
      </c>
      <c r="F122" s="23" t="e">
        <f t="shared" si="12"/>
        <v>#N/A</v>
      </c>
      <c r="G122" s="23" t="e">
        <f t="shared" si="12"/>
        <v>#N/A</v>
      </c>
      <c r="H122" s="23" t="e">
        <f t="shared" si="12"/>
        <v>#N/A</v>
      </c>
      <c r="I122" s="23" t="e">
        <f t="shared" si="12"/>
        <v>#N/A</v>
      </c>
      <c r="J122" s="23" t="e">
        <f t="shared" si="12"/>
        <v>#N/A</v>
      </c>
      <c r="K122" s="23" t="e">
        <f t="shared" si="12"/>
        <v>#N/A</v>
      </c>
      <c r="L122" s="23" t="e">
        <f t="shared" si="12"/>
        <v>#N/A</v>
      </c>
      <c r="M122" s="23" t="e">
        <f t="shared" si="12"/>
        <v>#N/A</v>
      </c>
      <c r="N122" s="23" t="e">
        <f t="shared" si="12"/>
        <v>#N/A</v>
      </c>
      <c r="O122" s="23" t="e">
        <f t="shared" si="12"/>
        <v>#N/A</v>
      </c>
    </row>
    <row r="123" spans="1:15">
      <c r="A123" s="23">
        <v>13</v>
      </c>
      <c r="B123" s="23" t="e">
        <f t="shared" ref="B123:O123" si="13">IF(ISNA(B14), NA(), 15 - RANK(B14, $B14:$O14))</f>
        <v>#N/A</v>
      </c>
      <c r="C123" s="23" t="e">
        <f t="shared" si="13"/>
        <v>#N/A</v>
      </c>
      <c r="D123" s="23" t="e">
        <f t="shared" si="13"/>
        <v>#N/A</v>
      </c>
      <c r="E123" s="23" t="e">
        <f t="shared" si="13"/>
        <v>#N/A</v>
      </c>
      <c r="F123" s="23" t="e">
        <f t="shared" si="13"/>
        <v>#N/A</v>
      </c>
      <c r="G123" s="23" t="e">
        <f t="shared" si="13"/>
        <v>#N/A</v>
      </c>
      <c r="H123" s="23" t="e">
        <f t="shared" si="13"/>
        <v>#N/A</v>
      </c>
      <c r="I123" s="23" t="e">
        <f t="shared" si="13"/>
        <v>#N/A</v>
      </c>
      <c r="J123" s="23" t="e">
        <f t="shared" si="13"/>
        <v>#N/A</v>
      </c>
      <c r="K123" s="23" t="e">
        <f t="shared" si="13"/>
        <v>#N/A</v>
      </c>
      <c r="L123" s="23" t="e">
        <f t="shared" si="13"/>
        <v>#N/A</v>
      </c>
      <c r="M123" s="23" t="e">
        <f t="shared" si="13"/>
        <v>#N/A</v>
      </c>
      <c r="N123" s="23" t="e">
        <f t="shared" si="13"/>
        <v>#N/A</v>
      </c>
      <c r="O123" s="23" t="e">
        <f t="shared" si="13"/>
        <v>#N/A</v>
      </c>
    </row>
    <row r="124" spans="1:15">
      <c r="A124" s="23">
        <v>14</v>
      </c>
      <c r="B124" s="23" t="e">
        <f t="shared" ref="B124:O124" si="14">IF(ISNA(B15), NA(), 15 - RANK(B15, $B15:$O15))</f>
        <v>#N/A</v>
      </c>
      <c r="C124" s="23" t="e">
        <f t="shared" si="14"/>
        <v>#N/A</v>
      </c>
      <c r="D124" s="23" t="e">
        <f t="shared" si="14"/>
        <v>#N/A</v>
      </c>
      <c r="E124" s="23" t="e">
        <f t="shared" si="14"/>
        <v>#N/A</v>
      </c>
      <c r="F124" s="23" t="e">
        <f t="shared" si="14"/>
        <v>#N/A</v>
      </c>
      <c r="G124" s="23" t="e">
        <f t="shared" si="14"/>
        <v>#N/A</v>
      </c>
      <c r="H124" s="23" t="e">
        <f t="shared" si="14"/>
        <v>#N/A</v>
      </c>
      <c r="I124" s="23" t="e">
        <f t="shared" si="14"/>
        <v>#N/A</v>
      </c>
      <c r="J124" s="23" t="e">
        <f t="shared" si="14"/>
        <v>#N/A</v>
      </c>
      <c r="K124" s="23" t="e">
        <f t="shared" si="14"/>
        <v>#N/A</v>
      </c>
      <c r="L124" s="23" t="e">
        <f t="shared" si="14"/>
        <v>#N/A</v>
      </c>
      <c r="M124" s="23" t="e">
        <f t="shared" si="14"/>
        <v>#N/A</v>
      </c>
      <c r="N124" s="23" t="e">
        <f t="shared" si="14"/>
        <v>#N/A</v>
      </c>
      <c r="O124" s="23" t="e">
        <f t="shared" si="14"/>
        <v>#N/A</v>
      </c>
    </row>
    <row r="125" spans="1:15">
      <c r="A125" s="23">
        <v>15</v>
      </c>
      <c r="B125" s="23" t="e">
        <f t="shared" ref="B125:O125" si="15">IF(ISNA(B16), NA(), 15 - RANK(B16, $B16:$O16))</f>
        <v>#N/A</v>
      </c>
      <c r="C125" s="23" t="e">
        <f t="shared" si="15"/>
        <v>#N/A</v>
      </c>
      <c r="D125" s="23" t="e">
        <f t="shared" si="15"/>
        <v>#N/A</v>
      </c>
      <c r="E125" s="23" t="e">
        <f t="shared" si="15"/>
        <v>#N/A</v>
      </c>
      <c r="F125" s="23" t="e">
        <f t="shared" si="15"/>
        <v>#N/A</v>
      </c>
      <c r="G125" s="23" t="e">
        <f t="shared" si="15"/>
        <v>#N/A</v>
      </c>
      <c r="H125" s="23" t="e">
        <f t="shared" si="15"/>
        <v>#N/A</v>
      </c>
      <c r="I125" s="23" t="e">
        <f t="shared" si="15"/>
        <v>#N/A</v>
      </c>
      <c r="J125" s="23" t="e">
        <f t="shared" si="15"/>
        <v>#N/A</v>
      </c>
      <c r="K125" s="23" t="e">
        <f t="shared" si="15"/>
        <v>#N/A</v>
      </c>
      <c r="L125" s="23" t="e">
        <f t="shared" si="15"/>
        <v>#N/A</v>
      </c>
      <c r="M125" s="23" t="e">
        <f t="shared" si="15"/>
        <v>#N/A</v>
      </c>
      <c r="N125" s="23" t="e">
        <f t="shared" si="15"/>
        <v>#N/A</v>
      </c>
      <c r="O125" s="23" t="e">
        <f t="shared" si="15"/>
        <v>#N/A</v>
      </c>
    </row>
    <row r="126" spans="1:15">
      <c r="A126" s="23">
        <v>16</v>
      </c>
      <c r="B126" s="23" t="e">
        <f t="shared" ref="B126:O126" si="16">IF(ISNA(B17), NA(), 15 - RANK(B17, $B17:$O17))</f>
        <v>#N/A</v>
      </c>
      <c r="C126" s="23" t="e">
        <f t="shared" si="16"/>
        <v>#N/A</v>
      </c>
      <c r="D126" s="23" t="e">
        <f t="shared" si="16"/>
        <v>#N/A</v>
      </c>
      <c r="E126" s="23" t="e">
        <f t="shared" si="16"/>
        <v>#N/A</v>
      </c>
      <c r="F126" s="23" t="e">
        <f t="shared" si="16"/>
        <v>#N/A</v>
      </c>
      <c r="G126" s="23" t="e">
        <f t="shared" si="16"/>
        <v>#N/A</v>
      </c>
      <c r="H126" s="23" t="e">
        <f t="shared" si="16"/>
        <v>#N/A</v>
      </c>
      <c r="I126" s="23" t="e">
        <f t="shared" si="16"/>
        <v>#N/A</v>
      </c>
      <c r="J126" s="23" t="e">
        <f t="shared" si="16"/>
        <v>#N/A</v>
      </c>
      <c r="K126" s="23" t="e">
        <f t="shared" si="16"/>
        <v>#N/A</v>
      </c>
      <c r="L126" s="23" t="e">
        <f t="shared" si="16"/>
        <v>#N/A</v>
      </c>
      <c r="M126" s="23" t="e">
        <f t="shared" si="16"/>
        <v>#N/A</v>
      </c>
      <c r="N126" s="23" t="e">
        <f t="shared" si="16"/>
        <v>#N/A</v>
      </c>
      <c r="O126" s="23" t="e">
        <f t="shared" si="16"/>
        <v>#N/A</v>
      </c>
    </row>
    <row r="127" spans="1:15">
      <c r="A127" s="23">
        <v>17</v>
      </c>
      <c r="B127" s="23" t="e">
        <f t="shared" ref="B127:O127" si="17">IF(ISNA(B18), NA(), 15 - RANK(B18, $B18:$O18))</f>
        <v>#N/A</v>
      </c>
      <c r="C127" s="23" t="e">
        <f t="shared" si="17"/>
        <v>#N/A</v>
      </c>
      <c r="D127" s="23" t="e">
        <f t="shared" si="17"/>
        <v>#N/A</v>
      </c>
      <c r="E127" s="23" t="e">
        <f t="shared" si="17"/>
        <v>#N/A</v>
      </c>
      <c r="F127" s="23" t="e">
        <f t="shared" si="17"/>
        <v>#N/A</v>
      </c>
      <c r="G127" s="23" t="e">
        <f t="shared" si="17"/>
        <v>#N/A</v>
      </c>
      <c r="H127" s="23" t="e">
        <f t="shared" si="17"/>
        <v>#N/A</v>
      </c>
      <c r="I127" s="23" t="e">
        <f t="shared" si="17"/>
        <v>#N/A</v>
      </c>
      <c r="J127" s="23" t="e">
        <f t="shared" si="17"/>
        <v>#N/A</v>
      </c>
      <c r="K127" s="23" t="e">
        <f t="shared" si="17"/>
        <v>#N/A</v>
      </c>
      <c r="L127" s="23" t="e">
        <f t="shared" si="17"/>
        <v>#N/A</v>
      </c>
      <c r="M127" s="23" t="e">
        <f t="shared" si="17"/>
        <v>#N/A</v>
      </c>
      <c r="N127" s="23" t="e">
        <f t="shared" si="17"/>
        <v>#N/A</v>
      </c>
      <c r="O127" s="23" t="e">
        <f t="shared" si="17"/>
        <v>#N/A</v>
      </c>
    </row>
    <row r="128" spans="1:15">
      <c r="A128" s="23">
        <v>18</v>
      </c>
      <c r="B128" s="23" t="e">
        <f t="shared" ref="B128:O128" si="18">IF(ISNA(B19), NA(), 15 - RANK(B19, $B19:$O19))</f>
        <v>#N/A</v>
      </c>
      <c r="C128" s="23" t="e">
        <f t="shared" si="18"/>
        <v>#N/A</v>
      </c>
      <c r="D128" s="23" t="e">
        <f t="shared" si="18"/>
        <v>#N/A</v>
      </c>
      <c r="E128" s="23" t="e">
        <f t="shared" si="18"/>
        <v>#N/A</v>
      </c>
      <c r="F128" s="23" t="e">
        <f t="shared" si="18"/>
        <v>#N/A</v>
      </c>
      <c r="G128" s="23" t="e">
        <f t="shared" si="18"/>
        <v>#N/A</v>
      </c>
      <c r="H128" s="23" t="e">
        <f t="shared" si="18"/>
        <v>#N/A</v>
      </c>
      <c r="I128" s="23" t="e">
        <f t="shared" si="18"/>
        <v>#N/A</v>
      </c>
      <c r="J128" s="23" t="e">
        <f t="shared" si="18"/>
        <v>#N/A</v>
      </c>
      <c r="K128" s="23" t="e">
        <f t="shared" si="18"/>
        <v>#N/A</v>
      </c>
      <c r="L128" s="23" t="e">
        <f t="shared" si="18"/>
        <v>#N/A</v>
      </c>
      <c r="M128" s="23" t="e">
        <f t="shared" si="18"/>
        <v>#N/A</v>
      </c>
      <c r="N128" s="23" t="e">
        <f t="shared" si="18"/>
        <v>#N/A</v>
      </c>
      <c r="O128" s="23" t="e">
        <f t="shared" si="18"/>
        <v>#N/A</v>
      </c>
    </row>
    <row r="129" spans="1:15">
      <c r="A129" s="23">
        <v>19</v>
      </c>
      <c r="B129" s="23" t="e">
        <f t="shared" ref="B129:O129" si="19">IF(ISNA(B20), NA(), 15 - RANK(B20, $B20:$O20))</f>
        <v>#N/A</v>
      </c>
      <c r="C129" s="23" t="e">
        <f t="shared" si="19"/>
        <v>#N/A</v>
      </c>
      <c r="D129" s="23" t="e">
        <f t="shared" si="19"/>
        <v>#N/A</v>
      </c>
      <c r="E129" s="23" t="e">
        <f t="shared" si="19"/>
        <v>#N/A</v>
      </c>
      <c r="F129" s="23" t="e">
        <f t="shared" si="19"/>
        <v>#N/A</v>
      </c>
      <c r="G129" s="23" t="e">
        <f t="shared" si="19"/>
        <v>#N/A</v>
      </c>
      <c r="H129" s="23" t="e">
        <f t="shared" si="19"/>
        <v>#N/A</v>
      </c>
      <c r="I129" s="23" t="e">
        <f t="shared" si="19"/>
        <v>#N/A</v>
      </c>
      <c r="J129" s="23" t="e">
        <f t="shared" si="19"/>
        <v>#N/A</v>
      </c>
      <c r="K129" s="23" t="e">
        <f t="shared" si="19"/>
        <v>#N/A</v>
      </c>
      <c r="L129" s="23" t="e">
        <f t="shared" si="19"/>
        <v>#N/A</v>
      </c>
      <c r="M129" s="23" t="e">
        <f t="shared" si="19"/>
        <v>#N/A</v>
      </c>
      <c r="N129" s="23" t="e">
        <f t="shared" si="19"/>
        <v>#N/A</v>
      </c>
      <c r="O129" s="23" t="e">
        <f t="shared" si="19"/>
        <v>#N/A</v>
      </c>
    </row>
    <row r="130" spans="1:15">
      <c r="A130" s="23">
        <v>20</v>
      </c>
      <c r="B130" s="23" t="e">
        <f t="shared" ref="B130:O130" si="20">IF(ISNA(B21), NA(), 15 - RANK(B21, $B21:$O21))</f>
        <v>#N/A</v>
      </c>
      <c r="C130" s="23" t="e">
        <f t="shared" si="20"/>
        <v>#N/A</v>
      </c>
      <c r="D130" s="23" t="e">
        <f t="shared" si="20"/>
        <v>#N/A</v>
      </c>
      <c r="E130" s="23" t="e">
        <f t="shared" si="20"/>
        <v>#N/A</v>
      </c>
      <c r="F130" s="23" t="e">
        <f t="shared" si="20"/>
        <v>#N/A</v>
      </c>
      <c r="G130" s="23" t="e">
        <f t="shared" si="20"/>
        <v>#N/A</v>
      </c>
      <c r="H130" s="23" t="e">
        <f t="shared" si="20"/>
        <v>#N/A</v>
      </c>
      <c r="I130" s="23" t="e">
        <f t="shared" si="20"/>
        <v>#N/A</v>
      </c>
      <c r="J130" s="23" t="e">
        <f t="shared" si="20"/>
        <v>#N/A</v>
      </c>
      <c r="K130" s="23" t="e">
        <f t="shared" si="20"/>
        <v>#N/A</v>
      </c>
      <c r="L130" s="23" t="e">
        <f t="shared" si="20"/>
        <v>#N/A</v>
      </c>
      <c r="M130" s="23" t="e">
        <f t="shared" si="20"/>
        <v>#N/A</v>
      </c>
      <c r="N130" s="23" t="e">
        <f t="shared" si="20"/>
        <v>#N/A</v>
      </c>
      <c r="O130" s="23" t="e">
        <f t="shared" si="20"/>
        <v>#N/A</v>
      </c>
    </row>
    <row r="131" spans="1:15">
      <c r="A131" s="23">
        <v>21</v>
      </c>
      <c r="B131" s="23" t="e">
        <f t="shared" ref="B131:O131" si="21">IF(ISNA(B22), NA(), 15 - RANK(B22, $B22:$O22))</f>
        <v>#N/A</v>
      </c>
      <c r="C131" s="23" t="e">
        <f t="shared" si="21"/>
        <v>#N/A</v>
      </c>
      <c r="D131" s="23" t="e">
        <f t="shared" si="21"/>
        <v>#N/A</v>
      </c>
      <c r="E131" s="23" t="e">
        <f t="shared" si="21"/>
        <v>#N/A</v>
      </c>
      <c r="F131" s="23" t="e">
        <f t="shared" si="21"/>
        <v>#N/A</v>
      </c>
      <c r="G131" s="23" t="e">
        <f t="shared" si="21"/>
        <v>#N/A</v>
      </c>
      <c r="H131" s="23" t="e">
        <f t="shared" si="21"/>
        <v>#N/A</v>
      </c>
      <c r="I131" s="23" t="e">
        <f t="shared" si="21"/>
        <v>#N/A</v>
      </c>
      <c r="J131" s="23" t="e">
        <f t="shared" si="21"/>
        <v>#N/A</v>
      </c>
      <c r="K131" s="23" t="e">
        <f t="shared" si="21"/>
        <v>#N/A</v>
      </c>
      <c r="L131" s="23" t="e">
        <f t="shared" si="21"/>
        <v>#N/A</v>
      </c>
      <c r="M131" s="23" t="e">
        <f t="shared" si="21"/>
        <v>#N/A</v>
      </c>
      <c r="N131" s="23" t="e">
        <f t="shared" si="21"/>
        <v>#N/A</v>
      </c>
      <c r="O131" s="23" t="e">
        <f t="shared" si="21"/>
        <v>#N/A</v>
      </c>
    </row>
    <row r="132" spans="1:15">
      <c r="A132" s="23">
        <v>22</v>
      </c>
      <c r="B132" s="23" t="e">
        <f t="shared" ref="B132:O132" si="22">IF(ISNA(B23), NA(), 15 - RANK(B23, $B23:$O23))</f>
        <v>#N/A</v>
      </c>
      <c r="C132" s="23" t="e">
        <f t="shared" si="22"/>
        <v>#N/A</v>
      </c>
      <c r="D132" s="23" t="e">
        <f t="shared" si="22"/>
        <v>#N/A</v>
      </c>
      <c r="E132" s="23" t="e">
        <f t="shared" si="22"/>
        <v>#N/A</v>
      </c>
      <c r="F132" s="23" t="e">
        <f t="shared" si="22"/>
        <v>#N/A</v>
      </c>
      <c r="G132" s="23" t="e">
        <f t="shared" si="22"/>
        <v>#N/A</v>
      </c>
      <c r="H132" s="23" t="e">
        <f t="shared" si="22"/>
        <v>#N/A</v>
      </c>
      <c r="I132" s="23" t="e">
        <f t="shared" si="22"/>
        <v>#N/A</v>
      </c>
      <c r="J132" s="23" t="e">
        <f t="shared" si="22"/>
        <v>#N/A</v>
      </c>
      <c r="K132" s="23" t="e">
        <f t="shared" si="22"/>
        <v>#N/A</v>
      </c>
      <c r="L132" s="23" t="e">
        <f t="shared" si="22"/>
        <v>#N/A</v>
      </c>
      <c r="M132" s="23" t="e">
        <f t="shared" si="22"/>
        <v>#N/A</v>
      </c>
      <c r="N132" s="23" t="e">
        <f t="shared" si="22"/>
        <v>#N/A</v>
      </c>
      <c r="O132" s="23" t="e">
        <f t="shared" si="22"/>
        <v>#N/A</v>
      </c>
    </row>
    <row r="133" spans="1:15">
      <c r="A133" s="23">
        <v>23</v>
      </c>
      <c r="B133" s="23" t="e">
        <f t="shared" ref="B133:O133" si="23">IF(ISNA(B24), NA(), 15 - RANK(B24, $B24:$O24))</f>
        <v>#N/A</v>
      </c>
      <c r="C133" s="23" t="e">
        <f t="shared" si="23"/>
        <v>#N/A</v>
      </c>
      <c r="D133" s="23" t="e">
        <f t="shared" si="23"/>
        <v>#N/A</v>
      </c>
      <c r="E133" s="23" t="e">
        <f t="shared" si="23"/>
        <v>#N/A</v>
      </c>
      <c r="F133" s="23" t="e">
        <f t="shared" si="23"/>
        <v>#N/A</v>
      </c>
      <c r="G133" s="23" t="e">
        <f t="shared" si="23"/>
        <v>#N/A</v>
      </c>
      <c r="H133" s="23" t="e">
        <f t="shared" si="23"/>
        <v>#N/A</v>
      </c>
      <c r="I133" s="23" t="e">
        <f t="shared" si="23"/>
        <v>#N/A</v>
      </c>
      <c r="J133" s="23" t="e">
        <f t="shared" si="23"/>
        <v>#N/A</v>
      </c>
      <c r="K133" s="23" t="e">
        <f t="shared" si="23"/>
        <v>#N/A</v>
      </c>
      <c r="L133" s="23" t="e">
        <f t="shared" si="23"/>
        <v>#N/A</v>
      </c>
      <c r="M133" s="23" t="e">
        <f t="shared" si="23"/>
        <v>#N/A</v>
      </c>
      <c r="N133" s="23" t="e">
        <f t="shared" si="23"/>
        <v>#N/A</v>
      </c>
      <c r="O133" s="23" t="e">
        <f t="shared" si="23"/>
        <v>#N/A</v>
      </c>
    </row>
    <row r="134" spans="1:15">
      <c r="A134" s="23">
        <v>24</v>
      </c>
      <c r="B134" s="23" t="e">
        <f t="shared" ref="B134:O134" si="24">IF(ISNA(B25), NA(), 15 - RANK(B25, $B25:$O25))</f>
        <v>#N/A</v>
      </c>
      <c r="C134" s="23" t="e">
        <f t="shared" si="24"/>
        <v>#N/A</v>
      </c>
      <c r="D134" s="23" t="e">
        <f t="shared" si="24"/>
        <v>#N/A</v>
      </c>
      <c r="E134" s="23" t="e">
        <f t="shared" si="24"/>
        <v>#N/A</v>
      </c>
      <c r="F134" s="23" t="e">
        <f t="shared" si="24"/>
        <v>#N/A</v>
      </c>
      <c r="G134" s="23" t="e">
        <f t="shared" si="24"/>
        <v>#N/A</v>
      </c>
      <c r="H134" s="23" t="e">
        <f t="shared" si="24"/>
        <v>#N/A</v>
      </c>
      <c r="I134" s="23" t="e">
        <f t="shared" si="24"/>
        <v>#N/A</v>
      </c>
      <c r="J134" s="23" t="e">
        <f t="shared" si="24"/>
        <v>#N/A</v>
      </c>
      <c r="K134" s="23" t="e">
        <f t="shared" si="24"/>
        <v>#N/A</v>
      </c>
      <c r="L134" s="23" t="e">
        <f t="shared" si="24"/>
        <v>#N/A</v>
      </c>
      <c r="M134" s="23" t="e">
        <f t="shared" si="24"/>
        <v>#N/A</v>
      </c>
      <c r="N134" s="23" t="e">
        <f t="shared" si="24"/>
        <v>#N/A</v>
      </c>
      <c r="O134" s="23" t="e">
        <f t="shared" si="24"/>
        <v>#N/A</v>
      </c>
    </row>
    <row r="135" spans="1:15">
      <c r="A135" s="23">
        <v>25</v>
      </c>
      <c r="B135" s="23" t="e">
        <f t="shared" ref="B135:O135" si="25">IF(ISNA(B26), NA(), 15 - RANK(B26, $B26:$O26))</f>
        <v>#N/A</v>
      </c>
      <c r="C135" s="23" t="e">
        <f t="shared" si="25"/>
        <v>#N/A</v>
      </c>
      <c r="D135" s="23" t="e">
        <f t="shared" si="25"/>
        <v>#N/A</v>
      </c>
      <c r="E135" s="23" t="e">
        <f t="shared" si="25"/>
        <v>#N/A</v>
      </c>
      <c r="F135" s="23" t="e">
        <f t="shared" si="25"/>
        <v>#N/A</v>
      </c>
      <c r="G135" s="23" t="e">
        <f t="shared" si="25"/>
        <v>#N/A</v>
      </c>
      <c r="H135" s="23" t="e">
        <f t="shared" si="25"/>
        <v>#N/A</v>
      </c>
      <c r="I135" s="23" t="e">
        <f t="shared" si="25"/>
        <v>#N/A</v>
      </c>
      <c r="J135" s="23" t="e">
        <f t="shared" si="25"/>
        <v>#N/A</v>
      </c>
      <c r="K135" s="23" t="e">
        <f t="shared" si="25"/>
        <v>#N/A</v>
      </c>
      <c r="L135" s="23" t="e">
        <f t="shared" si="25"/>
        <v>#N/A</v>
      </c>
      <c r="M135" s="23" t="e">
        <f t="shared" si="25"/>
        <v>#N/A</v>
      </c>
      <c r="N135" s="23" t="e">
        <f t="shared" si="25"/>
        <v>#N/A</v>
      </c>
      <c r="O135" s="23" t="e">
        <f t="shared" si="25"/>
        <v>#N/A</v>
      </c>
    </row>
    <row r="136" spans="1:15">
      <c r="A136" s="23">
        <v>26</v>
      </c>
      <c r="B136" s="23" t="e">
        <f t="shared" ref="B136:O136" si="26">IF(ISNA(B27), NA(), 15 - RANK(B27, $B27:$O27))</f>
        <v>#N/A</v>
      </c>
      <c r="C136" s="23" t="e">
        <f t="shared" si="26"/>
        <v>#N/A</v>
      </c>
      <c r="D136" s="23" t="e">
        <f t="shared" si="26"/>
        <v>#N/A</v>
      </c>
      <c r="E136" s="23" t="e">
        <f t="shared" si="26"/>
        <v>#N/A</v>
      </c>
      <c r="F136" s="23" t="e">
        <f t="shared" si="26"/>
        <v>#N/A</v>
      </c>
      <c r="G136" s="23" t="e">
        <f t="shared" si="26"/>
        <v>#N/A</v>
      </c>
      <c r="H136" s="23" t="e">
        <f t="shared" si="26"/>
        <v>#N/A</v>
      </c>
      <c r="I136" s="23" t="e">
        <f t="shared" si="26"/>
        <v>#N/A</v>
      </c>
      <c r="J136" s="23" t="e">
        <f t="shared" si="26"/>
        <v>#N/A</v>
      </c>
      <c r="K136" s="23" t="e">
        <f t="shared" si="26"/>
        <v>#N/A</v>
      </c>
      <c r="L136" s="23" t="e">
        <f t="shared" si="26"/>
        <v>#N/A</v>
      </c>
      <c r="M136" s="23" t="e">
        <f t="shared" si="26"/>
        <v>#N/A</v>
      </c>
      <c r="N136" s="23" t="e">
        <f t="shared" si="26"/>
        <v>#N/A</v>
      </c>
      <c r="O136" s="23" t="e">
        <f t="shared" si="26"/>
        <v>#N/A</v>
      </c>
    </row>
    <row r="137" spans="1:15">
      <c r="A137" s="23">
        <v>27</v>
      </c>
      <c r="B137" s="23" t="e">
        <f t="shared" ref="B137:O137" si="27">IF(ISNA(B28), NA(), 15 - RANK(B28, $B28:$O28))</f>
        <v>#N/A</v>
      </c>
      <c r="C137" s="23" t="e">
        <f t="shared" si="27"/>
        <v>#N/A</v>
      </c>
      <c r="D137" s="23" t="e">
        <f t="shared" si="27"/>
        <v>#N/A</v>
      </c>
      <c r="E137" s="23" t="e">
        <f t="shared" si="27"/>
        <v>#N/A</v>
      </c>
      <c r="F137" s="23" t="e">
        <f t="shared" si="27"/>
        <v>#N/A</v>
      </c>
      <c r="G137" s="23" t="e">
        <f t="shared" si="27"/>
        <v>#N/A</v>
      </c>
      <c r="H137" s="23" t="e">
        <f t="shared" si="27"/>
        <v>#N/A</v>
      </c>
      <c r="I137" s="23" t="e">
        <f t="shared" si="27"/>
        <v>#N/A</v>
      </c>
      <c r="J137" s="23" t="e">
        <f t="shared" si="27"/>
        <v>#N/A</v>
      </c>
      <c r="K137" s="23" t="e">
        <f t="shared" si="27"/>
        <v>#N/A</v>
      </c>
      <c r="L137" s="23" t="e">
        <f t="shared" si="27"/>
        <v>#N/A</v>
      </c>
      <c r="M137" s="23" t="e">
        <f t="shared" si="27"/>
        <v>#N/A</v>
      </c>
      <c r="N137" s="23" t="e">
        <f t="shared" si="27"/>
        <v>#N/A</v>
      </c>
      <c r="O137" s="23" t="e">
        <f t="shared" si="27"/>
        <v>#N/A</v>
      </c>
    </row>
    <row r="138" spans="1:15">
      <c r="A138" s="23">
        <v>28</v>
      </c>
      <c r="B138" s="23" t="e">
        <f t="shared" ref="B138:O138" si="28">IF(ISNA(B29), NA(), 15 - RANK(B29, $B29:$O29))</f>
        <v>#N/A</v>
      </c>
      <c r="C138" s="23" t="e">
        <f t="shared" si="28"/>
        <v>#N/A</v>
      </c>
      <c r="D138" s="23" t="e">
        <f t="shared" si="28"/>
        <v>#N/A</v>
      </c>
      <c r="E138" s="23" t="e">
        <f t="shared" si="28"/>
        <v>#N/A</v>
      </c>
      <c r="F138" s="23" t="e">
        <f t="shared" si="28"/>
        <v>#N/A</v>
      </c>
      <c r="G138" s="23" t="e">
        <f t="shared" si="28"/>
        <v>#N/A</v>
      </c>
      <c r="H138" s="23" t="e">
        <f t="shared" si="28"/>
        <v>#N/A</v>
      </c>
      <c r="I138" s="23" t="e">
        <f t="shared" si="28"/>
        <v>#N/A</v>
      </c>
      <c r="J138" s="23" t="e">
        <f t="shared" si="28"/>
        <v>#N/A</v>
      </c>
      <c r="K138" s="23" t="e">
        <f t="shared" si="28"/>
        <v>#N/A</v>
      </c>
      <c r="L138" s="23" t="e">
        <f t="shared" si="28"/>
        <v>#N/A</v>
      </c>
      <c r="M138" s="23" t="e">
        <f t="shared" si="28"/>
        <v>#N/A</v>
      </c>
      <c r="N138" s="23" t="e">
        <f t="shared" si="28"/>
        <v>#N/A</v>
      </c>
      <c r="O138" s="23" t="e">
        <f t="shared" si="28"/>
        <v>#N/A</v>
      </c>
    </row>
    <row r="139" spans="1:15">
      <c r="A139" s="23">
        <v>29</v>
      </c>
      <c r="B139" s="23" t="e">
        <f t="shared" ref="B139:O139" si="29">IF(ISNA(B30), NA(), 15 - RANK(B30, $B30:$O30))</f>
        <v>#N/A</v>
      </c>
      <c r="C139" s="23" t="e">
        <f t="shared" si="29"/>
        <v>#N/A</v>
      </c>
      <c r="D139" s="23" t="e">
        <f t="shared" si="29"/>
        <v>#N/A</v>
      </c>
      <c r="E139" s="23" t="e">
        <f t="shared" si="29"/>
        <v>#N/A</v>
      </c>
      <c r="F139" s="23" t="e">
        <f t="shared" si="29"/>
        <v>#N/A</v>
      </c>
      <c r="G139" s="23" t="e">
        <f t="shared" si="29"/>
        <v>#N/A</v>
      </c>
      <c r="H139" s="23" t="e">
        <f t="shared" si="29"/>
        <v>#N/A</v>
      </c>
      <c r="I139" s="23" t="e">
        <f t="shared" si="29"/>
        <v>#N/A</v>
      </c>
      <c r="J139" s="23" t="e">
        <f t="shared" si="29"/>
        <v>#N/A</v>
      </c>
      <c r="K139" s="23" t="e">
        <f t="shared" si="29"/>
        <v>#N/A</v>
      </c>
      <c r="L139" s="23" t="e">
        <f t="shared" si="29"/>
        <v>#N/A</v>
      </c>
      <c r="M139" s="23" t="e">
        <f t="shared" si="29"/>
        <v>#N/A</v>
      </c>
      <c r="N139" s="23" t="e">
        <f t="shared" si="29"/>
        <v>#N/A</v>
      </c>
      <c r="O139" s="23" t="e">
        <f t="shared" si="29"/>
        <v>#N/A</v>
      </c>
    </row>
    <row r="140" spans="1:15">
      <c r="A140" s="23">
        <v>30</v>
      </c>
      <c r="B140" s="23" t="e">
        <f t="shared" ref="B140:O140" si="30">IF(ISNA(B31), NA(), 15 - RANK(B31, $B31:$O31))</f>
        <v>#N/A</v>
      </c>
      <c r="C140" s="23" t="e">
        <f t="shared" si="30"/>
        <v>#N/A</v>
      </c>
      <c r="D140" s="23" t="e">
        <f t="shared" si="30"/>
        <v>#N/A</v>
      </c>
      <c r="E140" s="23" t="e">
        <f t="shared" si="30"/>
        <v>#N/A</v>
      </c>
      <c r="F140" s="23" t="e">
        <f t="shared" si="30"/>
        <v>#N/A</v>
      </c>
      <c r="G140" s="23" t="e">
        <f t="shared" si="30"/>
        <v>#N/A</v>
      </c>
      <c r="H140" s="23" t="e">
        <f t="shared" si="30"/>
        <v>#N/A</v>
      </c>
      <c r="I140" s="23" t="e">
        <f t="shared" si="30"/>
        <v>#N/A</v>
      </c>
      <c r="J140" s="23" t="e">
        <f t="shared" si="30"/>
        <v>#N/A</v>
      </c>
      <c r="K140" s="23" t="e">
        <f t="shared" si="30"/>
        <v>#N/A</v>
      </c>
      <c r="L140" s="23" t="e">
        <f t="shared" si="30"/>
        <v>#N/A</v>
      </c>
      <c r="M140" s="23" t="e">
        <f t="shared" si="30"/>
        <v>#N/A</v>
      </c>
      <c r="N140" s="23" t="e">
        <f t="shared" si="30"/>
        <v>#N/A</v>
      </c>
      <c r="O140" s="23" t="e">
        <f t="shared" si="30"/>
        <v>#N/A</v>
      </c>
    </row>
    <row r="141" spans="1:15">
      <c r="A141" s="23">
        <v>31</v>
      </c>
      <c r="B141" s="23" t="e">
        <f t="shared" ref="B141:O141" si="31">IF(ISNA(B32), NA(), 15 - RANK(B32, $B32:$O32))</f>
        <v>#N/A</v>
      </c>
      <c r="C141" s="23" t="e">
        <f t="shared" si="31"/>
        <v>#N/A</v>
      </c>
      <c r="D141" s="23" t="e">
        <f t="shared" si="31"/>
        <v>#N/A</v>
      </c>
      <c r="E141" s="23" t="e">
        <f t="shared" si="31"/>
        <v>#N/A</v>
      </c>
      <c r="F141" s="23" t="e">
        <f t="shared" si="31"/>
        <v>#N/A</v>
      </c>
      <c r="G141" s="23" t="e">
        <f t="shared" si="31"/>
        <v>#N/A</v>
      </c>
      <c r="H141" s="23" t="e">
        <f t="shared" si="31"/>
        <v>#N/A</v>
      </c>
      <c r="I141" s="23" t="e">
        <f t="shared" si="31"/>
        <v>#N/A</v>
      </c>
      <c r="J141" s="23" t="e">
        <f t="shared" si="31"/>
        <v>#N/A</v>
      </c>
      <c r="K141" s="23" t="e">
        <f t="shared" si="31"/>
        <v>#N/A</v>
      </c>
      <c r="L141" s="23" t="e">
        <f t="shared" si="31"/>
        <v>#N/A</v>
      </c>
      <c r="M141" s="23" t="e">
        <f t="shared" si="31"/>
        <v>#N/A</v>
      </c>
      <c r="N141" s="23" t="e">
        <f t="shared" si="31"/>
        <v>#N/A</v>
      </c>
      <c r="O141" s="23" t="e">
        <f t="shared" si="31"/>
        <v>#N/A</v>
      </c>
    </row>
    <row r="142" spans="1:15">
      <c r="A142" s="23">
        <v>32</v>
      </c>
      <c r="B142" s="23" t="e">
        <f t="shared" ref="B142:O142" si="32">IF(ISNA(B33), NA(), 15 - RANK(B33, $B33:$O33))</f>
        <v>#N/A</v>
      </c>
      <c r="C142" s="23" t="e">
        <f t="shared" si="32"/>
        <v>#N/A</v>
      </c>
      <c r="D142" s="23" t="e">
        <f t="shared" si="32"/>
        <v>#N/A</v>
      </c>
      <c r="E142" s="23" t="e">
        <f t="shared" si="32"/>
        <v>#N/A</v>
      </c>
      <c r="F142" s="23" t="e">
        <f t="shared" si="32"/>
        <v>#N/A</v>
      </c>
      <c r="G142" s="23" t="e">
        <f t="shared" si="32"/>
        <v>#N/A</v>
      </c>
      <c r="H142" s="23" t="e">
        <f t="shared" si="32"/>
        <v>#N/A</v>
      </c>
      <c r="I142" s="23" t="e">
        <f t="shared" si="32"/>
        <v>#N/A</v>
      </c>
      <c r="J142" s="23" t="e">
        <f t="shared" si="32"/>
        <v>#N/A</v>
      </c>
      <c r="K142" s="23" t="e">
        <f t="shared" si="32"/>
        <v>#N/A</v>
      </c>
      <c r="L142" s="23" t="e">
        <f t="shared" si="32"/>
        <v>#N/A</v>
      </c>
      <c r="M142" s="23" t="e">
        <f t="shared" si="32"/>
        <v>#N/A</v>
      </c>
      <c r="N142" s="23" t="e">
        <f t="shared" si="32"/>
        <v>#N/A</v>
      </c>
      <c r="O142" s="23" t="e">
        <f t="shared" si="32"/>
        <v>#N/A</v>
      </c>
    </row>
    <row r="143" spans="1:15">
      <c r="A143" s="23">
        <v>33</v>
      </c>
      <c r="B143" s="23" t="e">
        <f t="shared" ref="B143:O143" si="33">IF(ISNA(B34), NA(), 15 - RANK(B34, $B34:$O34))</f>
        <v>#N/A</v>
      </c>
      <c r="C143" s="23" t="e">
        <f t="shared" si="33"/>
        <v>#N/A</v>
      </c>
      <c r="D143" s="23" t="e">
        <f t="shared" si="33"/>
        <v>#N/A</v>
      </c>
      <c r="E143" s="23" t="e">
        <f t="shared" si="33"/>
        <v>#N/A</v>
      </c>
      <c r="F143" s="23" t="e">
        <f t="shared" si="33"/>
        <v>#N/A</v>
      </c>
      <c r="G143" s="23" t="e">
        <f t="shared" si="33"/>
        <v>#N/A</v>
      </c>
      <c r="H143" s="23" t="e">
        <f t="shared" si="33"/>
        <v>#N/A</v>
      </c>
      <c r="I143" s="23" t="e">
        <f t="shared" si="33"/>
        <v>#N/A</v>
      </c>
      <c r="J143" s="23" t="e">
        <f t="shared" si="33"/>
        <v>#N/A</v>
      </c>
      <c r="K143" s="23" t="e">
        <f t="shared" si="33"/>
        <v>#N/A</v>
      </c>
      <c r="L143" s="23" t="e">
        <f t="shared" si="33"/>
        <v>#N/A</v>
      </c>
      <c r="M143" s="23" t="e">
        <f t="shared" si="33"/>
        <v>#N/A</v>
      </c>
      <c r="N143" s="23" t="e">
        <f t="shared" si="33"/>
        <v>#N/A</v>
      </c>
      <c r="O143" s="23" t="e">
        <f t="shared" si="33"/>
        <v>#N/A</v>
      </c>
    </row>
    <row r="144" spans="1:15">
      <c r="A144" s="23">
        <v>34</v>
      </c>
      <c r="B144" s="23" t="e">
        <f t="shared" ref="B144:O144" si="34">IF(ISNA(B35), NA(), 15 - RANK(B35, $B35:$O35))</f>
        <v>#N/A</v>
      </c>
      <c r="C144" s="23" t="e">
        <f t="shared" si="34"/>
        <v>#N/A</v>
      </c>
      <c r="D144" s="23" t="e">
        <f t="shared" si="34"/>
        <v>#N/A</v>
      </c>
      <c r="E144" s="23" t="e">
        <f t="shared" si="34"/>
        <v>#N/A</v>
      </c>
      <c r="F144" s="23" t="e">
        <f t="shared" si="34"/>
        <v>#N/A</v>
      </c>
      <c r="G144" s="23" t="e">
        <f t="shared" si="34"/>
        <v>#N/A</v>
      </c>
      <c r="H144" s="23" t="e">
        <f t="shared" si="34"/>
        <v>#N/A</v>
      </c>
      <c r="I144" s="23" t="e">
        <f t="shared" si="34"/>
        <v>#N/A</v>
      </c>
      <c r="J144" s="23" t="e">
        <f t="shared" si="34"/>
        <v>#N/A</v>
      </c>
      <c r="K144" s="23" t="e">
        <f t="shared" si="34"/>
        <v>#N/A</v>
      </c>
      <c r="L144" s="23" t="e">
        <f t="shared" si="34"/>
        <v>#N/A</v>
      </c>
      <c r="M144" s="23" t="e">
        <f t="shared" si="34"/>
        <v>#N/A</v>
      </c>
      <c r="N144" s="23" t="e">
        <f t="shared" si="34"/>
        <v>#N/A</v>
      </c>
      <c r="O144" s="23" t="e">
        <f t="shared" si="34"/>
        <v>#N/A</v>
      </c>
    </row>
    <row r="145" spans="1:15">
      <c r="A145" s="23">
        <v>35</v>
      </c>
      <c r="B145" s="23" t="e">
        <f t="shared" ref="B145:O145" si="35">IF(ISNA(B36), NA(), 15 - RANK(B36, $B36:$O36))</f>
        <v>#N/A</v>
      </c>
      <c r="C145" s="23" t="e">
        <f t="shared" si="35"/>
        <v>#N/A</v>
      </c>
      <c r="D145" s="23" t="e">
        <f t="shared" si="35"/>
        <v>#N/A</v>
      </c>
      <c r="E145" s="23" t="e">
        <f t="shared" si="35"/>
        <v>#N/A</v>
      </c>
      <c r="F145" s="23" t="e">
        <f t="shared" si="35"/>
        <v>#N/A</v>
      </c>
      <c r="G145" s="23" t="e">
        <f t="shared" si="35"/>
        <v>#N/A</v>
      </c>
      <c r="H145" s="23" t="e">
        <f t="shared" si="35"/>
        <v>#N/A</v>
      </c>
      <c r="I145" s="23" t="e">
        <f t="shared" si="35"/>
        <v>#N/A</v>
      </c>
      <c r="J145" s="23" t="e">
        <f t="shared" si="35"/>
        <v>#N/A</v>
      </c>
      <c r="K145" s="23" t="e">
        <f t="shared" si="35"/>
        <v>#N/A</v>
      </c>
      <c r="L145" s="23" t="e">
        <f t="shared" si="35"/>
        <v>#N/A</v>
      </c>
      <c r="M145" s="23" t="e">
        <f t="shared" si="35"/>
        <v>#N/A</v>
      </c>
      <c r="N145" s="23" t="e">
        <f t="shared" si="35"/>
        <v>#N/A</v>
      </c>
      <c r="O145" s="23" t="e">
        <f t="shared" si="35"/>
        <v>#N/A</v>
      </c>
    </row>
    <row r="146" spans="1:15">
      <c r="A146" s="23">
        <v>36</v>
      </c>
      <c r="B146" s="23" t="e">
        <f t="shared" ref="B146:O146" si="36">IF(ISNA(B37), NA(), 15 - RANK(B37, $B37:$O37))</f>
        <v>#N/A</v>
      </c>
      <c r="C146" s="23" t="e">
        <f t="shared" si="36"/>
        <v>#N/A</v>
      </c>
      <c r="D146" s="23" t="e">
        <f t="shared" si="36"/>
        <v>#N/A</v>
      </c>
      <c r="E146" s="23" t="e">
        <f t="shared" si="36"/>
        <v>#N/A</v>
      </c>
      <c r="F146" s="23" t="e">
        <f t="shared" si="36"/>
        <v>#N/A</v>
      </c>
      <c r="G146" s="23" t="e">
        <f t="shared" si="36"/>
        <v>#N/A</v>
      </c>
      <c r="H146" s="23" t="e">
        <f t="shared" si="36"/>
        <v>#N/A</v>
      </c>
      <c r="I146" s="23" t="e">
        <f t="shared" si="36"/>
        <v>#N/A</v>
      </c>
      <c r="J146" s="23" t="e">
        <f t="shared" si="36"/>
        <v>#N/A</v>
      </c>
      <c r="K146" s="23" t="e">
        <f t="shared" si="36"/>
        <v>#N/A</v>
      </c>
      <c r="L146" s="23" t="e">
        <f t="shared" si="36"/>
        <v>#N/A</v>
      </c>
      <c r="M146" s="23" t="e">
        <f t="shared" si="36"/>
        <v>#N/A</v>
      </c>
      <c r="N146" s="23" t="e">
        <f t="shared" si="36"/>
        <v>#N/A</v>
      </c>
      <c r="O146" s="23" t="e">
        <f t="shared" si="36"/>
        <v>#N/A</v>
      </c>
    </row>
    <row r="147" spans="1:15">
      <c r="A147" s="23">
        <v>37</v>
      </c>
      <c r="B147" s="23" t="e">
        <f t="shared" ref="B147:O147" si="37">IF(ISNA(B38), NA(), 15 - RANK(B38, $B38:$O38))</f>
        <v>#N/A</v>
      </c>
      <c r="C147" s="23" t="e">
        <f t="shared" si="37"/>
        <v>#N/A</v>
      </c>
      <c r="D147" s="23" t="e">
        <f t="shared" si="37"/>
        <v>#N/A</v>
      </c>
      <c r="E147" s="23" t="e">
        <f t="shared" si="37"/>
        <v>#N/A</v>
      </c>
      <c r="F147" s="23" t="e">
        <f t="shared" si="37"/>
        <v>#N/A</v>
      </c>
      <c r="G147" s="23" t="e">
        <f t="shared" si="37"/>
        <v>#N/A</v>
      </c>
      <c r="H147" s="23" t="e">
        <f t="shared" si="37"/>
        <v>#N/A</v>
      </c>
      <c r="I147" s="23" t="e">
        <f t="shared" si="37"/>
        <v>#N/A</v>
      </c>
      <c r="J147" s="23" t="e">
        <f t="shared" si="37"/>
        <v>#N/A</v>
      </c>
      <c r="K147" s="23" t="e">
        <f t="shared" si="37"/>
        <v>#N/A</v>
      </c>
      <c r="L147" s="23" t="e">
        <f t="shared" si="37"/>
        <v>#N/A</v>
      </c>
      <c r="M147" s="23" t="e">
        <f t="shared" si="37"/>
        <v>#N/A</v>
      </c>
      <c r="N147" s="23" t="e">
        <f t="shared" si="37"/>
        <v>#N/A</v>
      </c>
      <c r="O147" s="23" t="e">
        <f t="shared" si="37"/>
        <v>#N/A</v>
      </c>
    </row>
    <row r="148" spans="1:15">
      <c r="A148" s="23">
        <v>38</v>
      </c>
      <c r="B148" s="23" t="e">
        <f t="shared" ref="B148:O148" si="38">IF(ISNA(B39), NA(), 15 - RANK(B39, $B39:$O39))</f>
        <v>#N/A</v>
      </c>
      <c r="C148" s="23" t="e">
        <f t="shared" si="38"/>
        <v>#N/A</v>
      </c>
      <c r="D148" s="23" t="e">
        <f t="shared" si="38"/>
        <v>#N/A</v>
      </c>
      <c r="E148" s="23" t="e">
        <f t="shared" si="38"/>
        <v>#N/A</v>
      </c>
      <c r="F148" s="23" t="e">
        <f t="shared" si="38"/>
        <v>#N/A</v>
      </c>
      <c r="G148" s="23" t="e">
        <f t="shared" si="38"/>
        <v>#N/A</v>
      </c>
      <c r="H148" s="23" t="e">
        <f t="shared" si="38"/>
        <v>#N/A</v>
      </c>
      <c r="I148" s="23" t="e">
        <f t="shared" si="38"/>
        <v>#N/A</v>
      </c>
      <c r="J148" s="23" t="e">
        <f t="shared" si="38"/>
        <v>#N/A</v>
      </c>
      <c r="K148" s="23" t="e">
        <f t="shared" si="38"/>
        <v>#N/A</v>
      </c>
      <c r="L148" s="23" t="e">
        <f t="shared" si="38"/>
        <v>#N/A</v>
      </c>
      <c r="M148" s="23" t="e">
        <f t="shared" si="38"/>
        <v>#N/A</v>
      </c>
      <c r="N148" s="23" t="e">
        <f t="shared" si="38"/>
        <v>#N/A</v>
      </c>
      <c r="O148" s="23" t="e">
        <f t="shared" si="38"/>
        <v>#N/A</v>
      </c>
    </row>
    <row r="149" spans="1:15">
      <c r="A149" s="23">
        <v>39</v>
      </c>
      <c r="B149" s="23" t="e">
        <f t="shared" ref="B149:O149" si="39">IF(ISNA(B40), NA(), 15 - RANK(B40, $B40:$O40))</f>
        <v>#N/A</v>
      </c>
      <c r="C149" s="23" t="e">
        <f t="shared" si="39"/>
        <v>#N/A</v>
      </c>
      <c r="D149" s="23" t="e">
        <f t="shared" si="39"/>
        <v>#N/A</v>
      </c>
      <c r="E149" s="23" t="e">
        <f t="shared" si="39"/>
        <v>#N/A</v>
      </c>
      <c r="F149" s="23" t="e">
        <f t="shared" si="39"/>
        <v>#N/A</v>
      </c>
      <c r="G149" s="23" t="e">
        <f t="shared" si="39"/>
        <v>#N/A</v>
      </c>
      <c r="H149" s="23" t="e">
        <f t="shared" si="39"/>
        <v>#N/A</v>
      </c>
      <c r="I149" s="23" t="e">
        <f t="shared" si="39"/>
        <v>#N/A</v>
      </c>
      <c r="J149" s="23" t="e">
        <f t="shared" si="39"/>
        <v>#N/A</v>
      </c>
      <c r="K149" s="23" t="e">
        <f t="shared" si="39"/>
        <v>#N/A</v>
      </c>
      <c r="L149" s="23" t="e">
        <f t="shared" si="39"/>
        <v>#N/A</v>
      </c>
      <c r="M149" s="23" t="e">
        <f t="shared" si="39"/>
        <v>#N/A</v>
      </c>
      <c r="N149" s="23" t="e">
        <f t="shared" si="39"/>
        <v>#N/A</v>
      </c>
      <c r="O149" s="23" t="e">
        <f t="shared" si="39"/>
        <v>#N/A</v>
      </c>
    </row>
    <row r="150" spans="1:15">
      <c r="A150" s="23">
        <v>40</v>
      </c>
      <c r="B150" s="23" t="e">
        <f t="shared" ref="B150:O150" si="40">IF(ISNA(B41), NA(), 15 - RANK(B41, $B41:$O41))</f>
        <v>#N/A</v>
      </c>
      <c r="C150" s="23" t="e">
        <f t="shared" si="40"/>
        <v>#N/A</v>
      </c>
      <c r="D150" s="23" t="e">
        <f t="shared" si="40"/>
        <v>#N/A</v>
      </c>
      <c r="E150" s="23" t="e">
        <f t="shared" si="40"/>
        <v>#N/A</v>
      </c>
      <c r="F150" s="23" t="e">
        <f t="shared" si="40"/>
        <v>#N/A</v>
      </c>
      <c r="G150" s="23" t="e">
        <f t="shared" si="40"/>
        <v>#N/A</v>
      </c>
      <c r="H150" s="23" t="e">
        <f t="shared" si="40"/>
        <v>#N/A</v>
      </c>
      <c r="I150" s="23" t="e">
        <f t="shared" si="40"/>
        <v>#N/A</v>
      </c>
      <c r="J150" s="23" t="e">
        <f t="shared" si="40"/>
        <v>#N/A</v>
      </c>
      <c r="K150" s="23" t="e">
        <f t="shared" si="40"/>
        <v>#N/A</v>
      </c>
      <c r="L150" s="23" t="e">
        <f t="shared" si="40"/>
        <v>#N/A</v>
      </c>
      <c r="M150" s="23" t="e">
        <f t="shared" si="40"/>
        <v>#N/A</v>
      </c>
      <c r="N150" s="23" t="e">
        <f t="shared" si="40"/>
        <v>#N/A</v>
      </c>
      <c r="O150" s="23" t="e">
        <f t="shared" si="40"/>
        <v>#N/A</v>
      </c>
    </row>
    <row r="151" spans="1:15">
      <c r="A151" s="23">
        <v>41</v>
      </c>
      <c r="B151" s="23" t="e">
        <f t="shared" ref="B151:O151" si="41">IF(ISNA(B42), NA(), 15 - RANK(B42, $B42:$O42))</f>
        <v>#N/A</v>
      </c>
      <c r="C151" s="23" t="e">
        <f t="shared" si="41"/>
        <v>#N/A</v>
      </c>
      <c r="D151" s="23" t="e">
        <f t="shared" si="41"/>
        <v>#N/A</v>
      </c>
      <c r="E151" s="23" t="e">
        <f t="shared" si="41"/>
        <v>#N/A</v>
      </c>
      <c r="F151" s="23" t="e">
        <f t="shared" si="41"/>
        <v>#N/A</v>
      </c>
      <c r="G151" s="23" t="e">
        <f t="shared" si="41"/>
        <v>#N/A</v>
      </c>
      <c r="H151" s="23" t="e">
        <f t="shared" si="41"/>
        <v>#N/A</v>
      </c>
      <c r="I151" s="23" t="e">
        <f t="shared" si="41"/>
        <v>#N/A</v>
      </c>
      <c r="J151" s="23" t="e">
        <f t="shared" si="41"/>
        <v>#N/A</v>
      </c>
      <c r="K151" s="23" t="e">
        <f t="shared" si="41"/>
        <v>#N/A</v>
      </c>
      <c r="L151" s="23" t="e">
        <f t="shared" si="41"/>
        <v>#N/A</v>
      </c>
      <c r="M151" s="23" t="e">
        <f t="shared" si="41"/>
        <v>#N/A</v>
      </c>
      <c r="N151" s="23" t="e">
        <f t="shared" si="41"/>
        <v>#N/A</v>
      </c>
      <c r="O151" s="23" t="e">
        <f t="shared" si="41"/>
        <v>#N/A</v>
      </c>
    </row>
    <row r="152" spans="1:15">
      <c r="A152" s="23">
        <v>42</v>
      </c>
      <c r="B152" s="23" t="e">
        <f t="shared" ref="B152:O152" si="42">IF(ISNA(B43), NA(), 15 - RANK(B43, $B43:$O43))</f>
        <v>#N/A</v>
      </c>
      <c r="C152" s="23" t="e">
        <f t="shared" si="42"/>
        <v>#N/A</v>
      </c>
      <c r="D152" s="23" t="e">
        <f t="shared" si="42"/>
        <v>#N/A</v>
      </c>
      <c r="E152" s="23" t="e">
        <f t="shared" si="42"/>
        <v>#N/A</v>
      </c>
      <c r="F152" s="23" t="e">
        <f t="shared" si="42"/>
        <v>#N/A</v>
      </c>
      <c r="G152" s="23" t="e">
        <f t="shared" si="42"/>
        <v>#N/A</v>
      </c>
      <c r="H152" s="23" t="e">
        <f t="shared" si="42"/>
        <v>#N/A</v>
      </c>
      <c r="I152" s="23" t="e">
        <f t="shared" si="42"/>
        <v>#N/A</v>
      </c>
      <c r="J152" s="23" t="e">
        <f t="shared" si="42"/>
        <v>#N/A</v>
      </c>
      <c r="K152" s="23" t="e">
        <f t="shared" si="42"/>
        <v>#N/A</v>
      </c>
      <c r="L152" s="23" t="e">
        <f t="shared" si="42"/>
        <v>#N/A</v>
      </c>
      <c r="M152" s="23" t="e">
        <f t="shared" si="42"/>
        <v>#N/A</v>
      </c>
      <c r="N152" s="23" t="e">
        <f t="shared" si="42"/>
        <v>#N/A</v>
      </c>
      <c r="O152" s="23" t="e">
        <f t="shared" si="42"/>
        <v>#N/A</v>
      </c>
    </row>
    <row r="153" spans="1:15">
      <c r="A153" s="23">
        <v>43</v>
      </c>
      <c r="B153" s="23" t="e">
        <f t="shared" ref="B153:O153" si="43">IF(ISNA(B44), NA(), 15 - RANK(B44, $B44:$O44))</f>
        <v>#N/A</v>
      </c>
      <c r="C153" s="23" t="e">
        <f t="shared" si="43"/>
        <v>#N/A</v>
      </c>
      <c r="D153" s="23" t="e">
        <f t="shared" si="43"/>
        <v>#N/A</v>
      </c>
      <c r="E153" s="23" t="e">
        <f t="shared" si="43"/>
        <v>#N/A</v>
      </c>
      <c r="F153" s="23" t="e">
        <f t="shared" si="43"/>
        <v>#N/A</v>
      </c>
      <c r="G153" s="23" t="e">
        <f t="shared" si="43"/>
        <v>#N/A</v>
      </c>
      <c r="H153" s="23" t="e">
        <f t="shared" si="43"/>
        <v>#N/A</v>
      </c>
      <c r="I153" s="23" t="e">
        <f t="shared" si="43"/>
        <v>#N/A</v>
      </c>
      <c r="J153" s="23" t="e">
        <f t="shared" si="43"/>
        <v>#N/A</v>
      </c>
      <c r="K153" s="23" t="e">
        <f t="shared" si="43"/>
        <v>#N/A</v>
      </c>
      <c r="L153" s="23" t="e">
        <f t="shared" si="43"/>
        <v>#N/A</v>
      </c>
      <c r="M153" s="23" t="e">
        <f t="shared" si="43"/>
        <v>#N/A</v>
      </c>
      <c r="N153" s="23" t="e">
        <f t="shared" si="43"/>
        <v>#N/A</v>
      </c>
      <c r="O153" s="23" t="e">
        <f t="shared" si="43"/>
        <v>#N/A</v>
      </c>
    </row>
    <row r="154" spans="1:15">
      <c r="A154" s="23">
        <v>44</v>
      </c>
      <c r="B154" s="23" t="e">
        <f t="shared" ref="B154:O154" si="44">IF(ISNA(B45), NA(), 15 - RANK(B45, $B45:$O45))</f>
        <v>#N/A</v>
      </c>
      <c r="C154" s="23" t="e">
        <f t="shared" si="44"/>
        <v>#N/A</v>
      </c>
      <c r="D154" s="23" t="e">
        <f t="shared" si="44"/>
        <v>#N/A</v>
      </c>
      <c r="E154" s="23" t="e">
        <f t="shared" si="44"/>
        <v>#N/A</v>
      </c>
      <c r="F154" s="23" t="e">
        <f t="shared" si="44"/>
        <v>#N/A</v>
      </c>
      <c r="G154" s="23" t="e">
        <f t="shared" si="44"/>
        <v>#N/A</v>
      </c>
      <c r="H154" s="23" t="e">
        <f t="shared" si="44"/>
        <v>#N/A</v>
      </c>
      <c r="I154" s="23" t="e">
        <f t="shared" si="44"/>
        <v>#N/A</v>
      </c>
      <c r="J154" s="23" t="e">
        <f t="shared" si="44"/>
        <v>#N/A</v>
      </c>
      <c r="K154" s="23" t="e">
        <f t="shared" si="44"/>
        <v>#N/A</v>
      </c>
      <c r="L154" s="23" t="e">
        <f t="shared" si="44"/>
        <v>#N/A</v>
      </c>
      <c r="M154" s="23" t="e">
        <f t="shared" si="44"/>
        <v>#N/A</v>
      </c>
      <c r="N154" s="23" t="e">
        <f t="shared" si="44"/>
        <v>#N/A</v>
      </c>
      <c r="O154" s="23" t="e">
        <f t="shared" si="44"/>
        <v>#N/A</v>
      </c>
    </row>
    <row r="155" spans="1:15">
      <c r="A155" s="23">
        <v>45</v>
      </c>
      <c r="B155" s="23" t="e">
        <f t="shared" ref="B155:O155" si="45">IF(ISNA(B46), NA(), 15 - RANK(B46, $B46:$O46))</f>
        <v>#N/A</v>
      </c>
      <c r="C155" s="23" t="e">
        <f t="shared" si="45"/>
        <v>#N/A</v>
      </c>
      <c r="D155" s="23" t="e">
        <f t="shared" si="45"/>
        <v>#N/A</v>
      </c>
      <c r="E155" s="23" t="e">
        <f t="shared" si="45"/>
        <v>#N/A</v>
      </c>
      <c r="F155" s="23" t="e">
        <f t="shared" si="45"/>
        <v>#N/A</v>
      </c>
      <c r="G155" s="23" t="e">
        <f t="shared" si="45"/>
        <v>#N/A</v>
      </c>
      <c r="H155" s="23" t="e">
        <f t="shared" si="45"/>
        <v>#N/A</v>
      </c>
      <c r="I155" s="23" t="e">
        <f t="shared" si="45"/>
        <v>#N/A</v>
      </c>
      <c r="J155" s="23" t="e">
        <f t="shared" si="45"/>
        <v>#N/A</v>
      </c>
      <c r="K155" s="23" t="e">
        <f t="shared" si="45"/>
        <v>#N/A</v>
      </c>
      <c r="L155" s="23" t="e">
        <f t="shared" si="45"/>
        <v>#N/A</v>
      </c>
      <c r="M155" s="23" t="e">
        <f t="shared" si="45"/>
        <v>#N/A</v>
      </c>
      <c r="N155" s="23" t="e">
        <f t="shared" si="45"/>
        <v>#N/A</v>
      </c>
      <c r="O155" s="23" t="e">
        <f t="shared" si="45"/>
        <v>#N/A</v>
      </c>
    </row>
    <row r="156" spans="1:15">
      <c r="A156" s="23">
        <v>46</v>
      </c>
      <c r="B156" s="23" t="e">
        <f t="shared" ref="B156:O156" si="46">IF(ISNA(B47), NA(), 15 - RANK(B47, $B47:$O47))</f>
        <v>#N/A</v>
      </c>
      <c r="C156" s="23" t="e">
        <f t="shared" si="46"/>
        <v>#N/A</v>
      </c>
      <c r="D156" s="23" t="e">
        <f t="shared" si="46"/>
        <v>#N/A</v>
      </c>
      <c r="E156" s="23" t="e">
        <f t="shared" si="46"/>
        <v>#N/A</v>
      </c>
      <c r="F156" s="23" t="e">
        <f t="shared" si="46"/>
        <v>#N/A</v>
      </c>
      <c r="G156" s="23" t="e">
        <f t="shared" si="46"/>
        <v>#N/A</v>
      </c>
      <c r="H156" s="23" t="e">
        <f t="shared" si="46"/>
        <v>#N/A</v>
      </c>
      <c r="I156" s="23" t="e">
        <f t="shared" si="46"/>
        <v>#N/A</v>
      </c>
      <c r="J156" s="23" t="e">
        <f t="shared" si="46"/>
        <v>#N/A</v>
      </c>
      <c r="K156" s="23" t="e">
        <f t="shared" si="46"/>
        <v>#N/A</v>
      </c>
      <c r="L156" s="23" t="e">
        <f t="shared" si="46"/>
        <v>#N/A</v>
      </c>
      <c r="M156" s="23" t="e">
        <f t="shared" si="46"/>
        <v>#N/A</v>
      </c>
      <c r="N156" s="23" t="e">
        <f t="shared" si="46"/>
        <v>#N/A</v>
      </c>
      <c r="O156" s="23" t="e">
        <f t="shared" si="46"/>
        <v>#N/A</v>
      </c>
    </row>
    <row r="157" spans="1:15">
      <c r="A157" s="23">
        <v>47</v>
      </c>
      <c r="B157" s="23" t="e">
        <f t="shared" ref="B157:O157" si="47">IF(ISNA(B48), NA(), 15 - RANK(B48, $B48:$O48))</f>
        <v>#N/A</v>
      </c>
      <c r="C157" s="23" t="e">
        <f t="shared" si="47"/>
        <v>#N/A</v>
      </c>
      <c r="D157" s="23" t="e">
        <f t="shared" si="47"/>
        <v>#N/A</v>
      </c>
      <c r="E157" s="23" t="e">
        <f t="shared" si="47"/>
        <v>#N/A</v>
      </c>
      <c r="F157" s="23" t="e">
        <f t="shared" si="47"/>
        <v>#N/A</v>
      </c>
      <c r="G157" s="23" t="e">
        <f t="shared" si="47"/>
        <v>#N/A</v>
      </c>
      <c r="H157" s="23" t="e">
        <f t="shared" si="47"/>
        <v>#N/A</v>
      </c>
      <c r="I157" s="23" t="e">
        <f t="shared" si="47"/>
        <v>#N/A</v>
      </c>
      <c r="J157" s="23" t="e">
        <f t="shared" si="47"/>
        <v>#N/A</v>
      </c>
      <c r="K157" s="23" t="e">
        <f t="shared" si="47"/>
        <v>#N/A</v>
      </c>
      <c r="L157" s="23" t="e">
        <f t="shared" si="47"/>
        <v>#N/A</v>
      </c>
      <c r="M157" s="23" t="e">
        <f t="shared" si="47"/>
        <v>#N/A</v>
      </c>
      <c r="N157" s="23" t="e">
        <f t="shared" si="47"/>
        <v>#N/A</v>
      </c>
      <c r="O157" s="23" t="e">
        <f t="shared" si="47"/>
        <v>#N/A</v>
      </c>
    </row>
    <row r="158" spans="1:15">
      <c r="A158" s="23">
        <v>48</v>
      </c>
      <c r="B158" s="23" t="e">
        <f t="shared" ref="B158:O158" si="48">IF(ISNA(B49), NA(), 15 - RANK(B49, $B49:$O49))</f>
        <v>#N/A</v>
      </c>
      <c r="C158" s="23" t="e">
        <f t="shared" si="48"/>
        <v>#N/A</v>
      </c>
      <c r="D158" s="23" t="e">
        <f t="shared" si="48"/>
        <v>#N/A</v>
      </c>
      <c r="E158" s="23" t="e">
        <f t="shared" si="48"/>
        <v>#N/A</v>
      </c>
      <c r="F158" s="23" t="e">
        <f t="shared" si="48"/>
        <v>#N/A</v>
      </c>
      <c r="G158" s="23" t="e">
        <f t="shared" si="48"/>
        <v>#N/A</v>
      </c>
      <c r="H158" s="23" t="e">
        <f t="shared" si="48"/>
        <v>#N/A</v>
      </c>
      <c r="I158" s="23" t="e">
        <f t="shared" si="48"/>
        <v>#N/A</v>
      </c>
      <c r="J158" s="23" t="e">
        <f t="shared" si="48"/>
        <v>#N/A</v>
      </c>
      <c r="K158" s="23" t="e">
        <f t="shared" si="48"/>
        <v>#N/A</v>
      </c>
      <c r="L158" s="23" t="e">
        <f t="shared" si="48"/>
        <v>#N/A</v>
      </c>
      <c r="M158" s="23" t="e">
        <f t="shared" si="48"/>
        <v>#N/A</v>
      </c>
      <c r="N158" s="23" t="e">
        <f t="shared" si="48"/>
        <v>#N/A</v>
      </c>
      <c r="O158" s="23" t="e">
        <f t="shared" si="48"/>
        <v>#N/A</v>
      </c>
    </row>
    <row r="159" spans="1:15">
      <c r="A159" s="23">
        <v>49</v>
      </c>
      <c r="B159" s="23" t="e">
        <f t="shared" ref="B159:O159" si="49">IF(ISNA(B50), NA(), 15 - RANK(B50, $B50:$O50))</f>
        <v>#N/A</v>
      </c>
      <c r="C159" s="23" t="e">
        <f t="shared" si="49"/>
        <v>#N/A</v>
      </c>
      <c r="D159" s="23" t="e">
        <f t="shared" si="49"/>
        <v>#N/A</v>
      </c>
      <c r="E159" s="23" t="e">
        <f t="shared" si="49"/>
        <v>#N/A</v>
      </c>
      <c r="F159" s="23" t="e">
        <f t="shared" si="49"/>
        <v>#N/A</v>
      </c>
      <c r="G159" s="23" t="e">
        <f t="shared" si="49"/>
        <v>#N/A</v>
      </c>
      <c r="H159" s="23" t="e">
        <f t="shared" si="49"/>
        <v>#N/A</v>
      </c>
      <c r="I159" s="23" t="e">
        <f t="shared" si="49"/>
        <v>#N/A</v>
      </c>
      <c r="J159" s="23" t="e">
        <f t="shared" si="49"/>
        <v>#N/A</v>
      </c>
      <c r="K159" s="23" t="e">
        <f t="shared" si="49"/>
        <v>#N/A</v>
      </c>
      <c r="L159" s="23" t="e">
        <f t="shared" si="49"/>
        <v>#N/A</v>
      </c>
      <c r="M159" s="23" t="e">
        <f t="shared" si="49"/>
        <v>#N/A</v>
      </c>
      <c r="N159" s="23" t="e">
        <f t="shared" si="49"/>
        <v>#N/A</v>
      </c>
      <c r="O159" s="23" t="e">
        <f t="shared" si="49"/>
        <v>#N/A</v>
      </c>
    </row>
    <row r="160" spans="1:15">
      <c r="A160" s="23">
        <v>50</v>
      </c>
      <c r="B160" s="23" t="e">
        <f t="shared" ref="B160:O160" si="50">IF(ISNA(B51), NA(), 15 - RANK(B51, $B51:$O51))</f>
        <v>#N/A</v>
      </c>
      <c r="C160" s="23" t="e">
        <f t="shared" si="50"/>
        <v>#N/A</v>
      </c>
      <c r="D160" s="23" t="e">
        <f t="shared" si="50"/>
        <v>#N/A</v>
      </c>
      <c r="E160" s="23" t="e">
        <f t="shared" si="50"/>
        <v>#N/A</v>
      </c>
      <c r="F160" s="23" t="e">
        <f t="shared" si="50"/>
        <v>#N/A</v>
      </c>
      <c r="G160" s="23" t="e">
        <f t="shared" si="50"/>
        <v>#N/A</v>
      </c>
      <c r="H160" s="23" t="e">
        <f t="shared" si="50"/>
        <v>#N/A</v>
      </c>
      <c r="I160" s="23" t="e">
        <f t="shared" si="50"/>
        <v>#N/A</v>
      </c>
      <c r="J160" s="23" t="e">
        <f t="shared" si="50"/>
        <v>#N/A</v>
      </c>
      <c r="K160" s="23" t="e">
        <f t="shared" si="50"/>
        <v>#N/A</v>
      </c>
      <c r="L160" s="23" t="e">
        <f t="shared" si="50"/>
        <v>#N/A</v>
      </c>
      <c r="M160" s="23" t="e">
        <f t="shared" si="50"/>
        <v>#N/A</v>
      </c>
      <c r="N160" s="23" t="e">
        <f t="shared" si="50"/>
        <v>#N/A</v>
      </c>
      <c r="O160" s="23" t="e">
        <f t="shared" si="50"/>
        <v>#N/A</v>
      </c>
    </row>
    <row r="161" spans="1:15">
      <c r="A161" s="23">
        <v>51</v>
      </c>
      <c r="B161" s="23" t="e">
        <f t="shared" ref="B161:O161" si="51">IF(ISNA(B52), NA(), 15 - RANK(B52, $B52:$O52))</f>
        <v>#N/A</v>
      </c>
      <c r="C161" s="23" t="e">
        <f t="shared" si="51"/>
        <v>#N/A</v>
      </c>
      <c r="D161" s="23" t="e">
        <f t="shared" si="51"/>
        <v>#N/A</v>
      </c>
      <c r="E161" s="23" t="e">
        <f t="shared" si="51"/>
        <v>#N/A</v>
      </c>
      <c r="F161" s="23" t="e">
        <f t="shared" si="51"/>
        <v>#N/A</v>
      </c>
      <c r="G161" s="23" t="e">
        <f t="shared" si="51"/>
        <v>#N/A</v>
      </c>
      <c r="H161" s="23" t="e">
        <f t="shared" si="51"/>
        <v>#N/A</v>
      </c>
      <c r="I161" s="23" t="e">
        <f t="shared" si="51"/>
        <v>#N/A</v>
      </c>
      <c r="J161" s="23" t="e">
        <f t="shared" si="51"/>
        <v>#N/A</v>
      </c>
      <c r="K161" s="23" t="e">
        <f t="shared" si="51"/>
        <v>#N/A</v>
      </c>
      <c r="L161" s="23" t="e">
        <f t="shared" si="51"/>
        <v>#N/A</v>
      </c>
      <c r="M161" s="23" t="e">
        <f t="shared" si="51"/>
        <v>#N/A</v>
      </c>
      <c r="N161" s="23" t="e">
        <f t="shared" si="51"/>
        <v>#N/A</v>
      </c>
      <c r="O161" s="23" t="e">
        <f t="shared" si="51"/>
        <v>#N/A</v>
      </c>
    </row>
    <row r="162" spans="1:15">
      <c r="A162" s="23">
        <v>52</v>
      </c>
      <c r="B162" s="23" t="e">
        <f t="shared" ref="B162:O162" si="52">IF(ISNA(B53), NA(), 15 - RANK(B53, $B53:$O53))</f>
        <v>#N/A</v>
      </c>
      <c r="C162" s="23" t="e">
        <f t="shared" si="52"/>
        <v>#N/A</v>
      </c>
      <c r="D162" s="23" t="e">
        <f t="shared" si="52"/>
        <v>#N/A</v>
      </c>
      <c r="E162" s="23" t="e">
        <f t="shared" si="52"/>
        <v>#N/A</v>
      </c>
      <c r="F162" s="23" t="e">
        <f t="shared" si="52"/>
        <v>#N/A</v>
      </c>
      <c r="G162" s="23" t="e">
        <f t="shared" si="52"/>
        <v>#N/A</v>
      </c>
      <c r="H162" s="23" t="e">
        <f t="shared" si="52"/>
        <v>#N/A</v>
      </c>
      <c r="I162" s="23" t="e">
        <f t="shared" si="52"/>
        <v>#N/A</v>
      </c>
      <c r="J162" s="23" t="e">
        <f t="shared" si="52"/>
        <v>#N/A</v>
      </c>
      <c r="K162" s="23" t="e">
        <f t="shared" si="52"/>
        <v>#N/A</v>
      </c>
      <c r="L162" s="23" t="e">
        <f t="shared" si="52"/>
        <v>#N/A</v>
      </c>
      <c r="M162" s="23" t="e">
        <f t="shared" si="52"/>
        <v>#N/A</v>
      </c>
      <c r="N162" s="23" t="e">
        <f t="shared" si="52"/>
        <v>#N/A</v>
      </c>
      <c r="O162" s="23" t="e">
        <f t="shared" si="52"/>
        <v>#N/A</v>
      </c>
    </row>
    <row r="163" spans="1:15">
      <c r="A163" s="23">
        <v>53</v>
      </c>
      <c r="B163" s="23" t="e">
        <f t="shared" ref="B163:O163" si="53">IF(ISNA(B54), NA(), 15 - RANK(B54, $B54:$O54))</f>
        <v>#N/A</v>
      </c>
      <c r="C163" s="23" t="e">
        <f t="shared" si="53"/>
        <v>#N/A</v>
      </c>
      <c r="D163" s="23" t="e">
        <f t="shared" si="53"/>
        <v>#N/A</v>
      </c>
      <c r="E163" s="23" t="e">
        <f t="shared" si="53"/>
        <v>#N/A</v>
      </c>
      <c r="F163" s="23" t="e">
        <f t="shared" si="53"/>
        <v>#N/A</v>
      </c>
      <c r="G163" s="23" t="e">
        <f t="shared" si="53"/>
        <v>#N/A</v>
      </c>
      <c r="H163" s="23" t="e">
        <f t="shared" si="53"/>
        <v>#N/A</v>
      </c>
      <c r="I163" s="23" t="e">
        <f t="shared" si="53"/>
        <v>#N/A</v>
      </c>
      <c r="J163" s="23" t="e">
        <f t="shared" si="53"/>
        <v>#N/A</v>
      </c>
      <c r="K163" s="23" t="e">
        <f t="shared" si="53"/>
        <v>#N/A</v>
      </c>
      <c r="L163" s="23" t="e">
        <f t="shared" si="53"/>
        <v>#N/A</v>
      </c>
      <c r="M163" s="23" t="e">
        <f t="shared" si="53"/>
        <v>#N/A</v>
      </c>
      <c r="N163" s="23" t="e">
        <f t="shared" si="53"/>
        <v>#N/A</v>
      </c>
      <c r="O163" s="23" t="e">
        <f t="shared" si="53"/>
        <v>#N/A</v>
      </c>
    </row>
    <row r="164" spans="1:15">
      <c r="A164" s="23">
        <v>54</v>
      </c>
      <c r="B164" s="23" t="e">
        <f t="shared" ref="B164:O164" si="54">IF(ISNA(B55), NA(), 15 - RANK(B55, $B55:$O55))</f>
        <v>#N/A</v>
      </c>
      <c r="C164" s="23" t="e">
        <f t="shared" si="54"/>
        <v>#N/A</v>
      </c>
      <c r="D164" s="23" t="e">
        <f t="shared" si="54"/>
        <v>#N/A</v>
      </c>
      <c r="E164" s="23" t="e">
        <f t="shared" si="54"/>
        <v>#N/A</v>
      </c>
      <c r="F164" s="23" t="e">
        <f t="shared" si="54"/>
        <v>#N/A</v>
      </c>
      <c r="G164" s="23" t="e">
        <f t="shared" si="54"/>
        <v>#N/A</v>
      </c>
      <c r="H164" s="23" t="e">
        <f t="shared" si="54"/>
        <v>#N/A</v>
      </c>
      <c r="I164" s="23" t="e">
        <f t="shared" si="54"/>
        <v>#N/A</v>
      </c>
      <c r="J164" s="23" t="e">
        <f t="shared" si="54"/>
        <v>#N/A</v>
      </c>
      <c r="K164" s="23" t="e">
        <f t="shared" si="54"/>
        <v>#N/A</v>
      </c>
      <c r="L164" s="23" t="e">
        <f t="shared" si="54"/>
        <v>#N/A</v>
      </c>
      <c r="M164" s="23" t="e">
        <f t="shared" si="54"/>
        <v>#N/A</v>
      </c>
      <c r="N164" s="23" t="e">
        <f t="shared" si="54"/>
        <v>#N/A</v>
      </c>
      <c r="O164" s="23" t="e">
        <f t="shared" si="54"/>
        <v>#N/A</v>
      </c>
    </row>
    <row r="165" spans="1:15">
      <c r="A165" s="23">
        <v>55</v>
      </c>
      <c r="B165" s="23" t="e">
        <f t="shared" ref="B165:O165" si="55">IF(ISNA(B56), NA(), 15 - RANK(B56, $B56:$O56))</f>
        <v>#N/A</v>
      </c>
      <c r="C165" s="23" t="e">
        <f t="shared" si="55"/>
        <v>#N/A</v>
      </c>
      <c r="D165" s="23" t="e">
        <f t="shared" si="55"/>
        <v>#N/A</v>
      </c>
      <c r="E165" s="23" t="e">
        <f t="shared" si="55"/>
        <v>#N/A</v>
      </c>
      <c r="F165" s="23" t="e">
        <f t="shared" si="55"/>
        <v>#N/A</v>
      </c>
      <c r="G165" s="23" t="e">
        <f t="shared" si="55"/>
        <v>#N/A</v>
      </c>
      <c r="H165" s="23" t="e">
        <f t="shared" si="55"/>
        <v>#N/A</v>
      </c>
      <c r="I165" s="23" t="e">
        <f t="shared" si="55"/>
        <v>#N/A</v>
      </c>
      <c r="J165" s="23" t="e">
        <f t="shared" si="55"/>
        <v>#N/A</v>
      </c>
      <c r="K165" s="23" t="e">
        <f t="shared" si="55"/>
        <v>#N/A</v>
      </c>
      <c r="L165" s="23" t="e">
        <f t="shared" si="55"/>
        <v>#N/A</v>
      </c>
      <c r="M165" s="23" t="e">
        <f t="shared" si="55"/>
        <v>#N/A</v>
      </c>
      <c r="N165" s="23" t="e">
        <f t="shared" si="55"/>
        <v>#N/A</v>
      </c>
      <c r="O165" s="23" t="e">
        <f t="shared" si="55"/>
        <v>#N/A</v>
      </c>
    </row>
    <row r="166" spans="1:15">
      <c r="A166" s="23">
        <v>56</v>
      </c>
      <c r="B166" s="23" t="e">
        <f t="shared" ref="B166:O166" si="56">IF(ISNA(B57), NA(), 15 - RANK(B57, $B57:$O57))</f>
        <v>#N/A</v>
      </c>
      <c r="C166" s="23" t="e">
        <f t="shared" si="56"/>
        <v>#N/A</v>
      </c>
      <c r="D166" s="23" t="e">
        <f t="shared" si="56"/>
        <v>#N/A</v>
      </c>
      <c r="E166" s="23" t="e">
        <f t="shared" si="56"/>
        <v>#N/A</v>
      </c>
      <c r="F166" s="23" t="e">
        <f t="shared" si="56"/>
        <v>#N/A</v>
      </c>
      <c r="G166" s="23" t="e">
        <f t="shared" si="56"/>
        <v>#N/A</v>
      </c>
      <c r="H166" s="23" t="e">
        <f t="shared" si="56"/>
        <v>#N/A</v>
      </c>
      <c r="I166" s="23" t="e">
        <f t="shared" si="56"/>
        <v>#N/A</v>
      </c>
      <c r="J166" s="23" t="e">
        <f t="shared" si="56"/>
        <v>#N/A</v>
      </c>
      <c r="K166" s="23" t="e">
        <f t="shared" si="56"/>
        <v>#N/A</v>
      </c>
      <c r="L166" s="23" t="e">
        <f t="shared" si="56"/>
        <v>#N/A</v>
      </c>
      <c r="M166" s="23" t="e">
        <f t="shared" si="56"/>
        <v>#N/A</v>
      </c>
      <c r="N166" s="23" t="e">
        <f t="shared" si="56"/>
        <v>#N/A</v>
      </c>
      <c r="O166" s="23" t="e">
        <f t="shared" si="56"/>
        <v>#N/A</v>
      </c>
    </row>
    <row r="167" spans="1:15">
      <c r="A167" s="23">
        <v>57</v>
      </c>
      <c r="B167" s="23" t="e">
        <f t="shared" ref="B167:O167" si="57">IF(ISNA(B58), NA(), 15 - RANK(B58, $B58:$O58))</f>
        <v>#N/A</v>
      </c>
      <c r="C167" s="23" t="e">
        <f t="shared" si="57"/>
        <v>#N/A</v>
      </c>
      <c r="D167" s="23" t="e">
        <f t="shared" si="57"/>
        <v>#N/A</v>
      </c>
      <c r="E167" s="23" t="e">
        <f t="shared" si="57"/>
        <v>#N/A</v>
      </c>
      <c r="F167" s="23" t="e">
        <f t="shared" si="57"/>
        <v>#N/A</v>
      </c>
      <c r="G167" s="23" t="e">
        <f t="shared" si="57"/>
        <v>#N/A</v>
      </c>
      <c r="H167" s="23" t="e">
        <f t="shared" si="57"/>
        <v>#N/A</v>
      </c>
      <c r="I167" s="23" t="e">
        <f t="shared" si="57"/>
        <v>#N/A</v>
      </c>
      <c r="J167" s="23" t="e">
        <f t="shared" si="57"/>
        <v>#N/A</v>
      </c>
      <c r="K167" s="23" t="e">
        <f t="shared" si="57"/>
        <v>#N/A</v>
      </c>
      <c r="L167" s="23" t="e">
        <f t="shared" si="57"/>
        <v>#N/A</v>
      </c>
      <c r="M167" s="23" t="e">
        <f t="shared" si="57"/>
        <v>#N/A</v>
      </c>
      <c r="N167" s="23" t="e">
        <f t="shared" si="57"/>
        <v>#N/A</v>
      </c>
      <c r="O167" s="23" t="e">
        <f t="shared" si="57"/>
        <v>#N/A</v>
      </c>
    </row>
    <row r="168" spans="1:15">
      <c r="A168" s="23">
        <v>58</v>
      </c>
      <c r="B168" s="23" t="e">
        <f t="shared" ref="B168:O168" si="58">IF(ISNA(B59), NA(), 15 - RANK(B59, $B59:$O59))</f>
        <v>#N/A</v>
      </c>
      <c r="C168" s="23" t="e">
        <f t="shared" si="58"/>
        <v>#N/A</v>
      </c>
      <c r="D168" s="23" t="e">
        <f t="shared" si="58"/>
        <v>#N/A</v>
      </c>
      <c r="E168" s="23" t="e">
        <f t="shared" si="58"/>
        <v>#N/A</v>
      </c>
      <c r="F168" s="23" t="e">
        <f t="shared" si="58"/>
        <v>#N/A</v>
      </c>
      <c r="G168" s="23" t="e">
        <f t="shared" si="58"/>
        <v>#N/A</v>
      </c>
      <c r="H168" s="23" t="e">
        <f t="shared" si="58"/>
        <v>#N/A</v>
      </c>
      <c r="I168" s="23" t="e">
        <f t="shared" si="58"/>
        <v>#N/A</v>
      </c>
      <c r="J168" s="23" t="e">
        <f t="shared" si="58"/>
        <v>#N/A</v>
      </c>
      <c r="K168" s="23" t="e">
        <f t="shared" si="58"/>
        <v>#N/A</v>
      </c>
      <c r="L168" s="23" t="e">
        <f t="shared" si="58"/>
        <v>#N/A</v>
      </c>
      <c r="M168" s="23" t="e">
        <f t="shared" si="58"/>
        <v>#N/A</v>
      </c>
      <c r="N168" s="23" t="e">
        <f t="shared" si="58"/>
        <v>#N/A</v>
      </c>
      <c r="O168" s="23" t="e">
        <f t="shared" si="58"/>
        <v>#N/A</v>
      </c>
    </row>
    <row r="169" spans="1:15">
      <c r="A169" s="23">
        <v>59</v>
      </c>
      <c r="B169" s="23" t="e">
        <f t="shared" ref="B169:O169" si="59">IF(ISNA(B60), NA(), 15 - RANK(B60, $B60:$O60))</f>
        <v>#N/A</v>
      </c>
      <c r="C169" s="23" t="e">
        <f t="shared" si="59"/>
        <v>#N/A</v>
      </c>
      <c r="D169" s="23" t="e">
        <f t="shared" si="59"/>
        <v>#N/A</v>
      </c>
      <c r="E169" s="23" t="e">
        <f t="shared" si="59"/>
        <v>#N/A</v>
      </c>
      <c r="F169" s="23" t="e">
        <f t="shared" si="59"/>
        <v>#N/A</v>
      </c>
      <c r="G169" s="23" t="e">
        <f t="shared" si="59"/>
        <v>#N/A</v>
      </c>
      <c r="H169" s="23" t="e">
        <f t="shared" si="59"/>
        <v>#N/A</v>
      </c>
      <c r="I169" s="23" t="e">
        <f t="shared" si="59"/>
        <v>#N/A</v>
      </c>
      <c r="J169" s="23" t="e">
        <f t="shared" si="59"/>
        <v>#N/A</v>
      </c>
      <c r="K169" s="23" t="e">
        <f t="shared" si="59"/>
        <v>#N/A</v>
      </c>
      <c r="L169" s="23" t="e">
        <f t="shared" si="59"/>
        <v>#N/A</v>
      </c>
      <c r="M169" s="23" t="e">
        <f t="shared" si="59"/>
        <v>#N/A</v>
      </c>
      <c r="N169" s="23" t="e">
        <f t="shared" si="59"/>
        <v>#N/A</v>
      </c>
      <c r="O169" s="23" t="e">
        <f t="shared" si="59"/>
        <v>#N/A</v>
      </c>
    </row>
    <row r="170" spans="1:15">
      <c r="A170" s="23">
        <v>60</v>
      </c>
      <c r="B170" s="23" t="e">
        <f t="shared" ref="B170:O170" si="60">IF(ISNA(B61), NA(), 15 - RANK(B61, $B61:$O61))</f>
        <v>#N/A</v>
      </c>
      <c r="C170" s="23" t="e">
        <f t="shared" si="60"/>
        <v>#N/A</v>
      </c>
      <c r="D170" s="23" t="e">
        <f t="shared" si="60"/>
        <v>#N/A</v>
      </c>
      <c r="E170" s="23" t="e">
        <f t="shared" si="60"/>
        <v>#N/A</v>
      </c>
      <c r="F170" s="23" t="e">
        <f t="shared" si="60"/>
        <v>#N/A</v>
      </c>
      <c r="G170" s="23" t="e">
        <f t="shared" si="60"/>
        <v>#N/A</v>
      </c>
      <c r="H170" s="23" t="e">
        <f t="shared" si="60"/>
        <v>#N/A</v>
      </c>
      <c r="I170" s="23" t="e">
        <f t="shared" si="60"/>
        <v>#N/A</v>
      </c>
      <c r="J170" s="23" t="e">
        <f t="shared" si="60"/>
        <v>#N/A</v>
      </c>
      <c r="K170" s="23" t="e">
        <f t="shared" si="60"/>
        <v>#N/A</v>
      </c>
      <c r="L170" s="23" t="e">
        <f t="shared" si="60"/>
        <v>#N/A</v>
      </c>
      <c r="M170" s="23" t="e">
        <f t="shared" si="60"/>
        <v>#N/A</v>
      </c>
      <c r="N170" s="23" t="e">
        <f t="shared" si="60"/>
        <v>#N/A</v>
      </c>
      <c r="O170" s="23" t="e">
        <f t="shared" si="60"/>
        <v>#N/A</v>
      </c>
    </row>
    <row r="171" spans="1:15">
      <c r="A171" s="23">
        <v>61</v>
      </c>
      <c r="B171" s="23" t="e">
        <f t="shared" ref="B171:O171" si="61">IF(ISNA(B62), NA(), 15 - RANK(B62, $B62:$O62))</f>
        <v>#N/A</v>
      </c>
      <c r="C171" s="23" t="e">
        <f t="shared" si="61"/>
        <v>#N/A</v>
      </c>
      <c r="D171" s="23" t="e">
        <f t="shared" si="61"/>
        <v>#N/A</v>
      </c>
      <c r="E171" s="23" t="e">
        <f t="shared" si="61"/>
        <v>#N/A</v>
      </c>
      <c r="F171" s="23" t="e">
        <f t="shared" si="61"/>
        <v>#N/A</v>
      </c>
      <c r="G171" s="23" t="e">
        <f t="shared" si="61"/>
        <v>#N/A</v>
      </c>
      <c r="H171" s="23" t="e">
        <f t="shared" si="61"/>
        <v>#N/A</v>
      </c>
      <c r="I171" s="23" t="e">
        <f t="shared" si="61"/>
        <v>#N/A</v>
      </c>
      <c r="J171" s="23" t="e">
        <f t="shared" si="61"/>
        <v>#N/A</v>
      </c>
      <c r="K171" s="23" t="e">
        <f t="shared" si="61"/>
        <v>#N/A</v>
      </c>
      <c r="L171" s="23" t="e">
        <f t="shared" si="61"/>
        <v>#N/A</v>
      </c>
      <c r="M171" s="23" t="e">
        <f t="shared" si="61"/>
        <v>#N/A</v>
      </c>
      <c r="N171" s="23" t="e">
        <f t="shared" si="61"/>
        <v>#N/A</v>
      </c>
      <c r="O171" s="23" t="e">
        <f t="shared" si="61"/>
        <v>#N/A</v>
      </c>
    </row>
    <row r="172" spans="1:15">
      <c r="A172" s="23">
        <v>62</v>
      </c>
      <c r="B172" s="23" t="e">
        <f t="shared" ref="B172:O172" si="62">IF(ISNA(B63), NA(), 15 - RANK(B63, $B63:$O63))</f>
        <v>#N/A</v>
      </c>
      <c r="C172" s="23" t="e">
        <f t="shared" si="62"/>
        <v>#N/A</v>
      </c>
      <c r="D172" s="23" t="e">
        <f t="shared" si="62"/>
        <v>#N/A</v>
      </c>
      <c r="E172" s="23" t="e">
        <f t="shared" si="62"/>
        <v>#N/A</v>
      </c>
      <c r="F172" s="23" t="e">
        <f t="shared" si="62"/>
        <v>#N/A</v>
      </c>
      <c r="G172" s="23" t="e">
        <f t="shared" si="62"/>
        <v>#N/A</v>
      </c>
      <c r="H172" s="23" t="e">
        <f t="shared" si="62"/>
        <v>#N/A</v>
      </c>
      <c r="I172" s="23" t="e">
        <f t="shared" si="62"/>
        <v>#N/A</v>
      </c>
      <c r="J172" s="23" t="e">
        <f t="shared" si="62"/>
        <v>#N/A</v>
      </c>
      <c r="K172" s="23" t="e">
        <f t="shared" si="62"/>
        <v>#N/A</v>
      </c>
      <c r="L172" s="23" t="e">
        <f t="shared" si="62"/>
        <v>#N/A</v>
      </c>
      <c r="M172" s="23" t="e">
        <f t="shared" si="62"/>
        <v>#N/A</v>
      </c>
      <c r="N172" s="23" t="e">
        <f t="shared" si="62"/>
        <v>#N/A</v>
      </c>
      <c r="O172" s="23" t="e">
        <f t="shared" si="62"/>
        <v>#N/A</v>
      </c>
    </row>
    <row r="173" spans="1:15">
      <c r="A173" s="23">
        <v>63</v>
      </c>
      <c r="B173" s="23" t="e">
        <f t="shared" ref="B173:O173" si="63">IF(ISNA(B64), NA(), 15 - RANK(B64, $B64:$O64))</f>
        <v>#N/A</v>
      </c>
      <c r="C173" s="23" t="e">
        <f t="shared" si="63"/>
        <v>#N/A</v>
      </c>
      <c r="D173" s="23" t="e">
        <f t="shared" si="63"/>
        <v>#N/A</v>
      </c>
      <c r="E173" s="23" t="e">
        <f t="shared" si="63"/>
        <v>#N/A</v>
      </c>
      <c r="F173" s="23" t="e">
        <f t="shared" si="63"/>
        <v>#N/A</v>
      </c>
      <c r="G173" s="23" t="e">
        <f t="shared" si="63"/>
        <v>#N/A</v>
      </c>
      <c r="H173" s="23" t="e">
        <f t="shared" si="63"/>
        <v>#N/A</v>
      </c>
      <c r="I173" s="23" t="e">
        <f t="shared" si="63"/>
        <v>#N/A</v>
      </c>
      <c r="J173" s="23" t="e">
        <f t="shared" si="63"/>
        <v>#N/A</v>
      </c>
      <c r="K173" s="23" t="e">
        <f t="shared" si="63"/>
        <v>#N/A</v>
      </c>
      <c r="L173" s="23" t="e">
        <f t="shared" si="63"/>
        <v>#N/A</v>
      </c>
      <c r="M173" s="23" t="e">
        <f t="shared" si="63"/>
        <v>#N/A</v>
      </c>
      <c r="N173" s="23" t="e">
        <f t="shared" si="63"/>
        <v>#N/A</v>
      </c>
      <c r="O173" s="23" t="e">
        <f t="shared" si="63"/>
        <v>#N/A</v>
      </c>
    </row>
    <row r="174" spans="1:15">
      <c r="A174" s="23">
        <v>64</v>
      </c>
      <c r="B174" s="23" t="e">
        <f t="shared" ref="B174:O174" si="64">IF(ISNA(B65), NA(), 15 - RANK(B65, $B65:$O65))</f>
        <v>#N/A</v>
      </c>
      <c r="C174" s="23" t="e">
        <f t="shared" si="64"/>
        <v>#N/A</v>
      </c>
      <c r="D174" s="23" t="e">
        <f t="shared" si="64"/>
        <v>#N/A</v>
      </c>
      <c r="E174" s="23" t="e">
        <f t="shared" si="64"/>
        <v>#N/A</v>
      </c>
      <c r="F174" s="23" t="e">
        <f t="shared" si="64"/>
        <v>#N/A</v>
      </c>
      <c r="G174" s="23" t="e">
        <f t="shared" si="64"/>
        <v>#N/A</v>
      </c>
      <c r="H174" s="23" t="e">
        <f t="shared" si="64"/>
        <v>#N/A</v>
      </c>
      <c r="I174" s="23" t="e">
        <f t="shared" si="64"/>
        <v>#N/A</v>
      </c>
      <c r="J174" s="23" t="e">
        <f t="shared" si="64"/>
        <v>#N/A</v>
      </c>
      <c r="K174" s="23" t="e">
        <f t="shared" si="64"/>
        <v>#N/A</v>
      </c>
      <c r="L174" s="23" t="e">
        <f t="shared" si="64"/>
        <v>#N/A</v>
      </c>
      <c r="M174" s="23" t="e">
        <f t="shared" si="64"/>
        <v>#N/A</v>
      </c>
      <c r="N174" s="23" t="e">
        <f t="shared" si="64"/>
        <v>#N/A</v>
      </c>
      <c r="O174" s="23" t="e">
        <f t="shared" si="64"/>
        <v>#N/A</v>
      </c>
    </row>
    <row r="175" spans="1:15">
      <c r="A175" s="23">
        <v>65</v>
      </c>
      <c r="B175" s="23" t="e">
        <f t="shared" ref="B175:O175" si="65">IF(ISNA(B66), NA(), 15 - RANK(B66, $B66:$O66))</f>
        <v>#N/A</v>
      </c>
      <c r="C175" s="23" t="e">
        <f t="shared" si="65"/>
        <v>#N/A</v>
      </c>
      <c r="D175" s="23" t="e">
        <f t="shared" si="65"/>
        <v>#N/A</v>
      </c>
      <c r="E175" s="23" t="e">
        <f t="shared" si="65"/>
        <v>#N/A</v>
      </c>
      <c r="F175" s="23" t="e">
        <f t="shared" si="65"/>
        <v>#N/A</v>
      </c>
      <c r="G175" s="23" t="e">
        <f t="shared" si="65"/>
        <v>#N/A</v>
      </c>
      <c r="H175" s="23" t="e">
        <f t="shared" si="65"/>
        <v>#N/A</v>
      </c>
      <c r="I175" s="23" t="e">
        <f t="shared" si="65"/>
        <v>#N/A</v>
      </c>
      <c r="J175" s="23" t="e">
        <f t="shared" si="65"/>
        <v>#N/A</v>
      </c>
      <c r="K175" s="23" t="e">
        <f t="shared" si="65"/>
        <v>#N/A</v>
      </c>
      <c r="L175" s="23" t="e">
        <f t="shared" si="65"/>
        <v>#N/A</v>
      </c>
      <c r="M175" s="23" t="e">
        <f t="shared" si="65"/>
        <v>#N/A</v>
      </c>
      <c r="N175" s="23" t="e">
        <f t="shared" si="65"/>
        <v>#N/A</v>
      </c>
      <c r="O175" s="23" t="e">
        <f t="shared" si="65"/>
        <v>#N/A</v>
      </c>
    </row>
    <row r="176" spans="1:15">
      <c r="A176" s="23">
        <v>66</v>
      </c>
      <c r="B176" s="23" t="e">
        <f t="shared" ref="B176:O176" si="66">IF(ISNA(B67), NA(), 15 - RANK(B67, $B67:$O67))</f>
        <v>#N/A</v>
      </c>
      <c r="C176" s="23" t="e">
        <f t="shared" si="66"/>
        <v>#N/A</v>
      </c>
      <c r="D176" s="23" t="e">
        <f t="shared" si="66"/>
        <v>#N/A</v>
      </c>
      <c r="E176" s="23" t="e">
        <f t="shared" si="66"/>
        <v>#N/A</v>
      </c>
      <c r="F176" s="23" t="e">
        <f t="shared" si="66"/>
        <v>#N/A</v>
      </c>
      <c r="G176" s="23" t="e">
        <f t="shared" si="66"/>
        <v>#N/A</v>
      </c>
      <c r="H176" s="23" t="e">
        <f t="shared" si="66"/>
        <v>#N/A</v>
      </c>
      <c r="I176" s="23" t="e">
        <f t="shared" si="66"/>
        <v>#N/A</v>
      </c>
      <c r="J176" s="23" t="e">
        <f t="shared" si="66"/>
        <v>#N/A</v>
      </c>
      <c r="K176" s="23" t="e">
        <f t="shared" si="66"/>
        <v>#N/A</v>
      </c>
      <c r="L176" s="23" t="e">
        <f t="shared" si="66"/>
        <v>#N/A</v>
      </c>
      <c r="M176" s="23" t="e">
        <f t="shared" si="66"/>
        <v>#N/A</v>
      </c>
      <c r="N176" s="23" t="e">
        <f t="shared" si="66"/>
        <v>#N/A</v>
      </c>
      <c r="O176" s="23" t="e">
        <f t="shared" si="66"/>
        <v>#N/A</v>
      </c>
    </row>
    <row r="177" spans="1:15">
      <c r="A177" s="23">
        <v>67</v>
      </c>
      <c r="B177" s="23" t="e">
        <f t="shared" ref="B177:O177" si="67">IF(ISNA(B68), NA(), 15 - RANK(B68, $B68:$O68))</f>
        <v>#N/A</v>
      </c>
      <c r="C177" s="23" t="e">
        <f t="shared" si="67"/>
        <v>#N/A</v>
      </c>
      <c r="D177" s="23" t="e">
        <f t="shared" si="67"/>
        <v>#N/A</v>
      </c>
      <c r="E177" s="23" t="e">
        <f t="shared" si="67"/>
        <v>#N/A</v>
      </c>
      <c r="F177" s="23" t="e">
        <f t="shared" si="67"/>
        <v>#N/A</v>
      </c>
      <c r="G177" s="23" t="e">
        <f t="shared" si="67"/>
        <v>#N/A</v>
      </c>
      <c r="H177" s="23" t="e">
        <f t="shared" si="67"/>
        <v>#N/A</v>
      </c>
      <c r="I177" s="23" t="e">
        <f t="shared" si="67"/>
        <v>#N/A</v>
      </c>
      <c r="J177" s="23" t="e">
        <f t="shared" si="67"/>
        <v>#N/A</v>
      </c>
      <c r="K177" s="23" t="e">
        <f t="shared" si="67"/>
        <v>#N/A</v>
      </c>
      <c r="L177" s="23" t="e">
        <f t="shared" si="67"/>
        <v>#N/A</v>
      </c>
      <c r="M177" s="23" t="e">
        <f t="shared" si="67"/>
        <v>#N/A</v>
      </c>
      <c r="N177" s="23" t="e">
        <f t="shared" si="67"/>
        <v>#N/A</v>
      </c>
      <c r="O177" s="23" t="e">
        <f t="shared" si="67"/>
        <v>#N/A</v>
      </c>
    </row>
    <row r="178" spans="1:15">
      <c r="A178" s="23">
        <v>68</v>
      </c>
      <c r="B178" s="23" t="e">
        <f t="shared" ref="B178:O178" si="68">IF(ISNA(B69), NA(), 15 - RANK(B69, $B69:$O69))</f>
        <v>#N/A</v>
      </c>
      <c r="C178" s="23" t="e">
        <f t="shared" si="68"/>
        <v>#N/A</v>
      </c>
      <c r="D178" s="23" t="e">
        <f t="shared" si="68"/>
        <v>#N/A</v>
      </c>
      <c r="E178" s="23" t="e">
        <f t="shared" si="68"/>
        <v>#N/A</v>
      </c>
      <c r="F178" s="23" t="e">
        <f t="shared" si="68"/>
        <v>#N/A</v>
      </c>
      <c r="G178" s="23" t="e">
        <f t="shared" si="68"/>
        <v>#N/A</v>
      </c>
      <c r="H178" s="23" t="e">
        <f t="shared" si="68"/>
        <v>#N/A</v>
      </c>
      <c r="I178" s="23" t="e">
        <f t="shared" si="68"/>
        <v>#N/A</v>
      </c>
      <c r="J178" s="23" t="e">
        <f t="shared" si="68"/>
        <v>#N/A</v>
      </c>
      <c r="K178" s="23" t="e">
        <f t="shared" si="68"/>
        <v>#N/A</v>
      </c>
      <c r="L178" s="23" t="e">
        <f t="shared" si="68"/>
        <v>#N/A</v>
      </c>
      <c r="M178" s="23" t="e">
        <f t="shared" si="68"/>
        <v>#N/A</v>
      </c>
      <c r="N178" s="23" t="e">
        <f t="shared" si="68"/>
        <v>#N/A</v>
      </c>
      <c r="O178" s="23" t="e">
        <f t="shared" si="68"/>
        <v>#N/A</v>
      </c>
    </row>
    <row r="179" spans="1:15">
      <c r="A179" s="23">
        <v>69</v>
      </c>
      <c r="B179" s="23" t="e">
        <f t="shared" ref="B179:O179" si="69">IF(ISNA(B70), NA(), 15 - RANK(B70, $B70:$O70))</f>
        <v>#N/A</v>
      </c>
      <c r="C179" s="23" t="e">
        <f t="shared" si="69"/>
        <v>#N/A</v>
      </c>
      <c r="D179" s="23" t="e">
        <f t="shared" si="69"/>
        <v>#N/A</v>
      </c>
      <c r="E179" s="23" t="e">
        <f t="shared" si="69"/>
        <v>#N/A</v>
      </c>
      <c r="F179" s="23" t="e">
        <f t="shared" si="69"/>
        <v>#N/A</v>
      </c>
      <c r="G179" s="23" t="e">
        <f t="shared" si="69"/>
        <v>#N/A</v>
      </c>
      <c r="H179" s="23" t="e">
        <f t="shared" si="69"/>
        <v>#N/A</v>
      </c>
      <c r="I179" s="23" t="e">
        <f t="shared" si="69"/>
        <v>#N/A</v>
      </c>
      <c r="J179" s="23" t="e">
        <f t="shared" si="69"/>
        <v>#N/A</v>
      </c>
      <c r="K179" s="23" t="e">
        <f t="shared" si="69"/>
        <v>#N/A</v>
      </c>
      <c r="L179" s="23" t="e">
        <f t="shared" si="69"/>
        <v>#N/A</v>
      </c>
      <c r="M179" s="23" t="e">
        <f t="shared" si="69"/>
        <v>#N/A</v>
      </c>
      <c r="N179" s="23" t="e">
        <f t="shared" si="69"/>
        <v>#N/A</v>
      </c>
      <c r="O179" s="23" t="e">
        <f t="shared" si="69"/>
        <v>#N/A</v>
      </c>
    </row>
    <row r="180" spans="1:15">
      <c r="A180" s="23">
        <v>70</v>
      </c>
      <c r="B180" s="23" t="e">
        <f t="shared" ref="B180:O180" si="70">IF(ISNA(B71), NA(), 15 - RANK(B71, $B71:$O71))</f>
        <v>#N/A</v>
      </c>
      <c r="C180" s="23" t="e">
        <f t="shared" si="70"/>
        <v>#N/A</v>
      </c>
      <c r="D180" s="23" t="e">
        <f t="shared" si="70"/>
        <v>#N/A</v>
      </c>
      <c r="E180" s="23" t="e">
        <f t="shared" si="70"/>
        <v>#N/A</v>
      </c>
      <c r="F180" s="23" t="e">
        <f t="shared" si="70"/>
        <v>#N/A</v>
      </c>
      <c r="G180" s="23" t="e">
        <f t="shared" si="70"/>
        <v>#N/A</v>
      </c>
      <c r="H180" s="23" t="e">
        <f t="shared" si="70"/>
        <v>#N/A</v>
      </c>
      <c r="I180" s="23" t="e">
        <f t="shared" si="70"/>
        <v>#N/A</v>
      </c>
      <c r="J180" s="23" t="e">
        <f t="shared" si="70"/>
        <v>#N/A</v>
      </c>
      <c r="K180" s="23" t="e">
        <f t="shared" si="70"/>
        <v>#N/A</v>
      </c>
      <c r="L180" s="23" t="e">
        <f t="shared" si="70"/>
        <v>#N/A</v>
      </c>
      <c r="M180" s="23" t="e">
        <f t="shared" si="70"/>
        <v>#N/A</v>
      </c>
      <c r="N180" s="23" t="e">
        <f t="shared" si="70"/>
        <v>#N/A</v>
      </c>
      <c r="O180" s="23" t="e">
        <f t="shared" si="70"/>
        <v>#N/A</v>
      </c>
    </row>
    <row r="181" spans="1:15">
      <c r="A181" s="23">
        <v>71</v>
      </c>
      <c r="B181" s="23" t="e">
        <f t="shared" ref="B181:O181" si="71">IF(ISNA(B72), NA(), 15 - RANK(B72, $B72:$O72))</f>
        <v>#N/A</v>
      </c>
      <c r="C181" s="23" t="e">
        <f t="shared" si="71"/>
        <v>#N/A</v>
      </c>
      <c r="D181" s="23" t="e">
        <f t="shared" si="71"/>
        <v>#N/A</v>
      </c>
      <c r="E181" s="23" t="e">
        <f t="shared" si="71"/>
        <v>#N/A</v>
      </c>
      <c r="F181" s="23" t="e">
        <f t="shared" si="71"/>
        <v>#N/A</v>
      </c>
      <c r="G181" s="23" t="e">
        <f t="shared" si="71"/>
        <v>#N/A</v>
      </c>
      <c r="H181" s="23" t="e">
        <f t="shared" si="71"/>
        <v>#N/A</v>
      </c>
      <c r="I181" s="23" t="e">
        <f t="shared" si="71"/>
        <v>#N/A</v>
      </c>
      <c r="J181" s="23" t="e">
        <f t="shared" si="71"/>
        <v>#N/A</v>
      </c>
      <c r="K181" s="23" t="e">
        <f t="shared" si="71"/>
        <v>#N/A</v>
      </c>
      <c r="L181" s="23" t="e">
        <f t="shared" si="71"/>
        <v>#N/A</v>
      </c>
      <c r="M181" s="23" t="e">
        <f t="shared" si="71"/>
        <v>#N/A</v>
      </c>
      <c r="N181" s="23" t="e">
        <f t="shared" si="71"/>
        <v>#N/A</v>
      </c>
      <c r="O181" s="23" t="e">
        <f t="shared" si="71"/>
        <v>#N/A</v>
      </c>
    </row>
    <row r="182" spans="1:15">
      <c r="A182" s="23">
        <v>72</v>
      </c>
      <c r="B182" s="23" t="e">
        <f t="shared" ref="B182:O182" si="72">IF(ISNA(B73), NA(), 15 - RANK(B73, $B73:$O73))</f>
        <v>#N/A</v>
      </c>
      <c r="C182" s="23" t="e">
        <f t="shared" si="72"/>
        <v>#N/A</v>
      </c>
      <c r="D182" s="23" t="e">
        <f t="shared" si="72"/>
        <v>#N/A</v>
      </c>
      <c r="E182" s="23" t="e">
        <f t="shared" si="72"/>
        <v>#N/A</v>
      </c>
      <c r="F182" s="23" t="e">
        <f t="shared" si="72"/>
        <v>#N/A</v>
      </c>
      <c r="G182" s="23" t="e">
        <f t="shared" si="72"/>
        <v>#N/A</v>
      </c>
      <c r="H182" s="23" t="e">
        <f t="shared" si="72"/>
        <v>#N/A</v>
      </c>
      <c r="I182" s="23" t="e">
        <f t="shared" si="72"/>
        <v>#N/A</v>
      </c>
      <c r="J182" s="23" t="e">
        <f t="shared" si="72"/>
        <v>#N/A</v>
      </c>
      <c r="K182" s="23" t="e">
        <f t="shared" si="72"/>
        <v>#N/A</v>
      </c>
      <c r="L182" s="23" t="e">
        <f t="shared" si="72"/>
        <v>#N/A</v>
      </c>
      <c r="M182" s="23" t="e">
        <f t="shared" si="72"/>
        <v>#N/A</v>
      </c>
      <c r="N182" s="23" t="e">
        <f t="shared" si="72"/>
        <v>#N/A</v>
      </c>
      <c r="O182" s="23" t="e">
        <f t="shared" si="72"/>
        <v>#N/A</v>
      </c>
    </row>
    <row r="183" spans="1:15">
      <c r="A183" s="23">
        <v>73</v>
      </c>
      <c r="B183" s="23" t="e">
        <f t="shared" ref="B183:O183" si="73">IF(ISNA(B74), NA(), 15 - RANK(B74, $B74:$O74))</f>
        <v>#N/A</v>
      </c>
      <c r="C183" s="23" t="e">
        <f t="shared" si="73"/>
        <v>#N/A</v>
      </c>
      <c r="D183" s="23" t="e">
        <f t="shared" si="73"/>
        <v>#N/A</v>
      </c>
      <c r="E183" s="23" t="e">
        <f t="shared" si="73"/>
        <v>#N/A</v>
      </c>
      <c r="F183" s="23" t="e">
        <f t="shared" si="73"/>
        <v>#N/A</v>
      </c>
      <c r="G183" s="23" t="e">
        <f t="shared" si="73"/>
        <v>#N/A</v>
      </c>
      <c r="H183" s="23" t="e">
        <f t="shared" si="73"/>
        <v>#N/A</v>
      </c>
      <c r="I183" s="23" t="e">
        <f t="shared" si="73"/>
        <v>#N/A</v>
      </c>
      <c r="J183" s="23" t="e">
        <f t="shared" si="73"/>
        <v>#N/A</v>
      </c>
      <c r="K183" s="23" t="e">
        <f t="shared" si="73"/>
        <v>#N/A</v>
      </c>
      <c r="L183" s="23" t="e">
        <f t="shared" si="73"/>
        <v>#N/A</v>
      </c>
      <c r="M183" s="23" t="e">
        <f t="shared" si="73"/>
        <v>#N/A</v>
      </c>
      <c r="N183" s="23" t="e">
        <f t="shared" si="73"/>
        <v>#N/A</v>
      </c>
      <c r="O183" s="23" t="e">
        <f t="shared" si="73"/>
        <v>#N/A</v>
      </c>
    </row>
    <row r="184" spans="1:15">
      <c r="A184" s="23">
        <v>74</v>
      </c>
      <c r="B184" s="23" t="e">
        <f t="shared" ref="B184:O184" si="74">IF(ISNA(B75), NA(), 15 - RANK(B75, $B75:$O75))</f>
        <v>#N/A</v>
      </c>
      <c r="C184" s="23" t="e">
        <f t="shared" si="74"/>
        <v>#N/A</v>
      </c>
      <c r="D184" s="23" t="e">
        <f t="shared" si="74"/>
        <v>#N/A</v>
      </c>
      <c r="E184" s="23" t="e">
        <f t="shared" si="74"/>
        <v>#N/A</v>
      </c>
      <c r="F184" s="23" t="e">
        <f t="shared" si="74"/>
        <v>#N/A</v>
      </c>
      <c r="G184" s="23" t="e">
        <f t="shared" si="74"/>
        <v>#N/A</v>
      </c>
      <c r="H184" s="23" t="e">
        <f t="shared" si="74"/>
        <v>#N/A</v>
      </c>
      <c r="I184" s="23" t="e">
        <f t="shared" si="74"/>
        <v>#N/A</v>
      </c>
      <c r="J184" s="23" t="e">
        <f t="shared" si="74"/>
        <v>#N/A</v>
      </c>
      <c r="K184" s="23" t="e">
        <f t="shared" si="74"/>
        <v>#N/A</v>
      </c>
      <c r="L184" s="23" t="e">
        <f t="shared" si="74"/>
        <v>#N/A</v>
      </c>
      <c r="M184" s="23" t="e">
        <f t="shared" si="74"/>
        <v>#N/A</v>
      </c>
      <c r="N184" s="23" t="e">
        <f t="shared" si="74"/>
        <v>#N/A</v>
      </c>
      <c r="O184" s="23" t="e">
        <f t="shared" si="74"/>
        <v>#N/A</v>
      </c>
    </row>
    <row r="185" spans="1:15">
      <c r="A185" s="23">
        <v>75</v>
      </c>
      <c r="B185" s="23" t="e">
        <f t="shared" ref="B185:O185" si="75">IF(ISNA(B76), NA(), 15 - RANK(B76, $B76:$O76))</f>
        <v>#N/A</v>
      </c>
      <c r="C185" s="23" t="e">
        <f t="shared" si="75"/>
        <v>#N/A</v>
      </c>
      <c r="D185" s="23" t="e">
        <f t="shared" si="75"/>
        <v>#N/A</v>
      </c>
      <c r="E185" s="23" t="e">
        <f t="shared" si="75"/>
        <v>#N/A</v>
      </c>
      <c r="F185" s="23" t="e">
        <f t="shared" si="75"/>
        <v>#N/A</v>
      </c>
      <c r="G185" s="23" t="e">
        <f t="shared" si="75"/>
        <v>#N/A</v>
      </c>
      <c r="H185" s="23" t="e">
        <f t="shared" si="75"/>
        <v>#N/A</v>
      </c>
      <c r="I185" s="23" t="e">
        <f t="shared" si="75"/>
        <v>#N/A</v>
      </c>
      <c r="J185" s="23" t="e">
        <f t="shared" si="75"/>
        <v>#N/A</v>
      </c>
      <c r="K185" s="23" t="e">
        <f t="shared" si="75"/>
        <v>#N/A</v>
      </c>
      <c r="L185" s="23" t="e">
        <f t="shared" si="75"/>
        <v>#N/A</v>
      </c>
      <c r="M185" s="23" t="e">
        <f t="shared" si="75"/>
        <v>#N/A</v>
      </c>
      <c r="N185" s="23" t="e">
        <f t="shared" si="75"/>
        <v>#N/A</v>
      </c>
      <c r="O185" s="23" t="e">
        <f t="shared" si="75"/>
        <v>#N/A</v>
      </c>
    </row>
    <row r="186" spans="1:15">
      <c r="A186" s="23">
        <v>76</v>
      </c>
      <c r="B186" s="23" t="e">
        <f t="shared" ref="B186:O186" si="76">IF(ISNA(B77), NA(), 15 - RANK(B77, $B77:$O77))</f>
        <v>#N/A</v>
      </c>
      <c r="C186" s="23" t="e">
        <f t="shared" si="76"/>
        <v>#N/A</v>
      </c>
      <c r="D186" s="23" t="e">
        <f t="shared" si="76"/>
        <v>#N/A</v>
      </c>
      <c r="E186" s="23" t="e">
        <f t="shared" si="76"/>
        <v>#N/A</v>
      </c>
      <c r="F186" s="23" t="e">
        <f t="shared" si="76"/>
        <v>#N/A</v>
      </c>
      <c r="G186" s="23" t="e">
        <f t="shared" si="76"/>
        <v>#N/A</v>
      </c>
      <c r="H186" s="23" t="e">
        <f t="shared" si="76"/>
        <v>#N/A</v>
      </c>
      <c r="I186" s="23" t="e">
        <f t="shared" si="76"/>
        <v>#N/A</v>
      </c>
      <c r="J186" s="23" t="e">
        <f t="shared" si="76"/>
        <v>#N/A</v>
      </c>
      <c r="K186" s="23" t="e">
        <f t="shared" si="76"/>
        <v>#N/A</v>
      </c>
      <c r="L186" s="23" t="e">
        <f t="shared" si="76"/>
        <v>#N/A</v>
      </c>
      <c r="M186" s="23" t="e">
        <f t="shared" si="76"/>
        <v>#N/A</v>
      </c>
      <c r="N186" s="23" t="e">
        <f t="shared" si="76"/>
        <v>#N/A</v>
      </c>
      <c r="O186" s="23" t="e">
        <f t="shared" si="76"/>
        <v>#N/A</v>
      </c>
    </row>
    <row r="187" spans="1:15">
      <c r="A187" s="23">
        <v>77</v>
      </c>
      <c r="B187" s="23" t="e">
        <f t="shared" ref="B187:O187" si="77">IF(ISNA(B78), NA(), 15 - RANK(B78, $B78:$O78))</f>
        <v>#N/A</v>
      </c>
      <c r="C187" s="23" t="e">
        <f t="shared" si="77"/>
        <v>#N/A</v>
      </c>
      <c r="D187" s="23" t="e">
        <f t="shared" si="77"/>
        <v>#N/A</v>
      </c>
      <c r="E187" s="23" t="e">
        <f t="shared" si="77"/>
        <v>#N/A</v>
      </c>
      <c r="F187" s="23" t="e">
        <f t="shared" si="77"/>
        <v>#N/A</v>
      </c>
      <c r="G187" s="23" t="e">
        <f t="shared" si="77"/>
        <v>#N/A</v>
      </c>
      <c r="H187" s="23" t="e">
        <f t="shared" si="77"/>
        <v>#N/A</v>
      </c>
      <c r="I187" s="23" t="e">
        <f t="shared" si="77"/>
        <v>#N/A</v>
      </c>
      <c r="J187" s="23" t="e">
        <f t="shared" si="77"/>
        <v>#N/A</v>
      </c>
      <c r="K187" s="23" t="e">
        <f t="shared" si="77"/>
        <v>#N/A</v>
      </c>
      <c r="L187" s="23" t="e">
        <f t="shared" si="77"/>
        <v>#N/A</v>
      </c>
      <c r="M187" s="23" t="e">
        <f t="shared" si="77"/>
        <v>#N/A</v>
      </c>
      <c r="N187" s="23" t="e">
        <f t="shared" si="77"/>
        <v>#N/A</v>
      </c>
      <c r="O187" s="23" t="e">
        <f t="shared" si="77"/>
        <v>#N/A</v>
      </c>
    </row>
    <row r="188" spans="1:15">
      <c r="A188" s="23">
        <v>78</v>
      </c>
      <c r="B188" s="23" t="e">
        <f t="shared" ref="B188:O188" si="78">IF(ISNA(B79), NA(), 15 - RANK(B79, $B79:$O79))</f>
        <v>#N/A</v>
      </c>
      <c r="C188" s="23" t="e">
        <f t="shared" si="78"/>
        <v>#N/A</v>
      </c>
      <c r="D188" s="23" t="e">
        <f t="shared" si="78"/>
        <v>#N/A</v>
      </c>
      <c r="E188" s="23" t="e">
        <f t="shared" si="78"/>
        <v>#N/A</v>
      </c>
      <c r="F188" s="23" t="e">
        <f t="shared" si="78"/>
        <v>#N/A</v>
      </c>
      <c r="G188" s="23" t="e">
        <f t="shared" si="78"/>
        <v>#N/A</v>
      </c>
      <c r="H188" s="23" t="e">
        <f t="shared" si="78"/>
        <v>#N/A</v>
      </c>
      <c r="I188" s="23" t="e">
        <f t="shared" si="78"/>
        <v>#N/A</v>
      </c>
      <c r="J188" s="23" t="e">
        <f t="shared" si="78"/>
        <v>#N/A</v>
      </c>
      <c r="K188" s="23" t="e">
        <f t="shared" si="78"/>
        <v>#N/A</v>
      </c>
      <c r="L188" s="23" t="e">
        <f t="shared" si="78"/>
        <v>#N/A</v>
      </c>
      <c r="M188" s="23" t="e">
        <f t="shared" si="78"/>
        <v>#N/A</v>
      </c>
      <c r="N188" s="23" t="e">
        <f t="shared" si="78"/>
        <v>#N/A</v>
      </c>
      <c r="O188" s="23" t="e">
        <f t="shared" si="78"/>
        <v>#N/A</v>
      </c>
    </row>
    <row r="189" spans="1:15">
      <c r="A189" s="23">
        <v>79</v>
      </c>
      <c r="B189" s="23" t="e">
        <f t="shared" ref="B189:O189" si="79">IF(ISNA(B80), NA(), 15 - RANK(B80, $B80:$O80))</f>
        <v>#N/A</v>
      </c>
      <c r="C189" s="23" t="e">
        <f t="shared" si="79"/>
        <v>#N/A</v>
      </c>
      <c r="D189" s="23" t="e">
        <f t="shared" si="79"/>
        <v>#N/A</v>
      </c>
      <c r="E189" s="23" t="e">
        <f t="shared" si="79"/>
        <v>#N/A</v>
      </c>
      <c r="F189" s="23" t="e">
        <f t="shared" si="79"/>
        <v>#N/A</v>
      </c>
      <c r="G189" s="23" t="e">
        <f t="shared" si="79"/>
        <v>#N/A</v>
      </c>
      <c r="H189" s="23" t="e">
        <f t="shared" si="79"/>
        <v>#N/A</v>
      </c>
      <c r="I189" s="23" t="e">
        <f t="shared" si="79"/>
        <v>#N/A</v>
      </c>
      <c r="J189" s="23" t="e">
        <f t="shared" si="79"/>
        <v>#N/A</v>
      </c>
      <c r="K189" s="23" t="e">
        <f t="shared" si="79"/>
        <v>#N/A</v>
      </c>
      <c r="L189" s="23" t="e">
        <f t="shared" si="79"/>
        <v>#N/A</v>
      </c>
      <c r="M189" s="23" t="e">
        <f t="shared" si="79"/>
        <v>#N/A</v>
      </c>
      <c r="N189" s="23" t="e">
        <f t="shared" si="79"/>
        <v>#N/A</v>
      </c>
      <c r="O189" s="23" t="e">
        <f t="shared" si="79"/>
        <v>#N/A</v>
      </c>
    </row>
    <row r="190" spans="1:15">
      <c r="A190" s="23">
        <v>80</v>
      </c>
      <c r="B190" s="23" t="e">
        <f t="shared" ref="B190:O190" si="80">IF(ISNA(B81), NA(), 15 - RANK(B81, $B81:$O81))</f>
        <v>#N/A</v>
      </c>
      <c r="C190" s="23" t="e">
        <f t="shared" si="80"/>
        <v>#N/A</v>
      </c>
      <c r="D190" s="23" t="e">
        <f t="shared" si="80"/>
        <v>#N/A</v>
      </c>
      <c r="E190" s="23" t="e">
        <f t="shared" si="80"/>
        <v>#N/A</v>
      </c>
      <c r="F190" s="23" t="e">
        <f t="shared" si="80"/>
        <v>#N/A</v>
      </c>
      <c r="G190" s="23" t="e">
        <f t="shared" si="80"/>
        <v>#N/A</v>
      </c>
      <c r="H190" s="23" t="e">
        <f t="shared" si="80"/>
        <v>#N/A</v>
      </c>
      <c r="I190" s="23" t="e">
        <f t="shared" si="80"/>
        <v>#N/A</v>
      </c>
      <c r="J190" s="23" t="e">
        <f t="shared" si="80"/>
        <v>#N/A</v>
      </c>
      <c r="K190" s="23" t="e">
        <f t="shared" si="80"/>
        <v>#N/A</v>
      </c>
      <c r="L190" s="23" t="e">
        <f t="shared" si="80"/>
        <v>#N/A</v>
      </c>
      <c r="M190" s="23" t="e">
        <f t="shared" si="80"/>
        <v>#N/A</v>
      </c>
      <c r="N190" s="23" t="e">
        <f t="shared" si="80"/>
        <v>#N/A</v>
      </c>
      <c r="O190" s="23" t="e">
        <f t="shared" si="80"/>
        <v>#N/A</v>
      </c>
    </row>
    <row r="191" spans="1:15">
      <c r="A191" s="23">
        <v>81</v>
      </c>
      <c r="B191" s="23" t="e">
        <f t="shared" ref="B191:O191" si="81">IF(ISNA(B82), NA(), 15 - RANK(B82, $B82:$O82))</f>
        <v>#N/A</v>
      </c>
      <c r="C191" s="23" t="e">
        <f t="shared" si="81"/>
        <v>#N/A</v>
      </c>
      <c r="D191" s="23" t="e">
        <f t="shared" si="81"/>
        <v>#N/A</v>
      </c>
      <c r="E191" s="23" t="e">
        <f t="shared" si="81"/>
        <v>#N/A</v>
      </c>
      <c r="F191" s="23" t="e">
        <f t="shared" si="81"/>
        <v>#N/A</v>
      </c>
      <c r="G191" s="23" t="e">
        <f t="shared" si="81"/>
        <v>#N/A</v>
      </c>
      <c r="H191" s="23" t="e">
        <f t="shared" si="81"/>
        <v>#N/A</v>
      </c>
      <c r="I191" s="23" t="e">
        <f t="shared" si="81"/>
        <v>#N/A</v>
      </c>
      <c r="J191" s="23" t="e">
        <f t="shared" si="81"/>
        <v>#N/A</v>
      </c>
      <c r="K191" s="23" t="e">
        <f t="shared" si="81"/>
        <v>#N/A</v>
      </c>
      <c r="L191" s="23" t="e">
        <f t="shared" si="81"/>
        <v>#N/A</v>
      </c>
      <c r="M191" s="23" t="e">
        <f t="shared" si="81"/>
        <v>#N/A</v>
      </c>
      <c r="N191" s="23" t="e">
        <f t="shared" si="81"/>
        <v>#N/A</v>
      </c>
      <c r="O191" s="23" t="e">
        <f t="shared" si="81"/>
        <v>#N/A</v>
      </c>
    </row>
    <row r="192" spans="1:15">
      <c r="A192" s="23">
        <v>82</v>
      </c>
      <c r="B192" s="23" t="e">
        <f t="shared" ref="B192:O192" si="82">IF(ISNA(B83), NA(), 15 - RANK(B83, $B83:$O83))</f>
        <v>#N/A</v>
      </c>
      <c r="C192" s="23" t="e">
        <f t="shared" si="82"/>
        <v>#N/A</v>
      </c>
      <c r="D192" s="23" t="e">
        <f t="shared" si="82"/>
        <v>#N/A</v>
      </c>
      <c r="E192" s="23" t="e">
        <f t="shared" si="82"/>
        <v>#N/A</v>
      </c>
      <c r="F192" s="23" t="e">
        <f t="shared" si="82"/>
        <v>#N/A</v>
      </c>
      <c r="G192" s="23" t="e">
        <f t="shared" si="82"/>
        <v>#N/A</v>
      </c>
      <c r="H192" s="23" t="e">
        <f t="shared" si="82"/>
        <v>#N/A</v>
      </c>
      <c r="I192" s="23" t="e">
        <f t="shared" si="82"/>
        <v>#N/A</v>
      </c>
      <c r="J192" s="23" t="e">
        <f t="shared" si="82"/>
        <v>#N/A</v>
      </c>
      <c r="K192" s="23" t="e">
        <f t="shared" si="82"/>
        <v>#N/A</v>
      </c>
      <c r="L192" s="23" t="e">
        <f t="shared" si="82"/>
        <v>#N/A</v>
      </c>
      <c r="M192" s="23" t="e">
        <f t="shared" si="82"/>
        <v>#N/A</v>
      </c>
      <c r="N192" s="23" t="e">
        <f t="shared" si="82"/>
        <v>#N/A</v>
      </c>
      <c r="O192" s="23" t="e">
        <f t="shared" si="82"/>
        <v>#N/A</v>
      </c>
    </row>
    <row r="193" spans="1:15">
      <c r="A193" s="23">
        <v>83</v>
      </c>
      <c r="B193" s="23" t="e">
        <f t="shared" ref="B193:O193" si="83">IF(ISNA(B84), NA(), 15 - RANK(B84, $B84:$O84))</f>
        <v>#N/A</v>
      </c>
      <c r="C193" s="23" t="e">
        <f t="shared" si="83"/>
        <v>#N/A</v>
      </c>
      <c r="D193" s="23" t="e">
        <f t="shared" si="83"/>
        <v>#N/A</v>
      </c>
      <c r="E193" s="23" t="e">
        <f t="shared" si="83"/>
        <v>#N/A</v>
      </c>
      <c r="F193" s="23" t="e">
        <f t="shared" si="83"/>
        <v>#N/A</v>
      </c>
      <c r="G193" s="23" t="e">
        <f t="shared" si="83"/>
        <v>#N/A</v>
      </c>
      <c r="H193" s="23" t="e">
        <f t="shared" si="83"/>
        <v>#N/A</v>
      </c>
      <c r="I193" s="23" t="e">
        <f t="shared" si="83"/>
        <v>#N/A</v>
      </c>
      <c r="J193" s="23" t="e">
        <f t="shared" si="83"/>
        <v>#N/A</v>
      </c>
      <c r="K193" s="23" t="e">
        <f t="shared" si="83"/>
        <v>#N/A</v>
      </c>
      <c r="L193" s="23" t="e">
        <f t="shared" si="83"/>
        <v>#N/A</v>
      </c>
      <c r="M193" s="23" t="e">
        <f t="shared" si="83"/>
        <v>#N/A</v>
      </c>
      <c r="N193" s="23" t="e">
        <f t="shared" si="83"/>
        <v>#N/A</v>
      </c>
      <c r="O193" s="23" t="e">
        <f t="shared" si="83"/>
        <v>#N/A</v>
      </c>
    </row>
    <row r="194" spans="1:15">
      <c r="A194" s="23">
        <v>84</v>
      </c>
      <c r="B194" s="23" t="e">
        <f t="shared" ref="B194:O194" si="84">IF(ISNA(B85), NA(), 15 - RANK(B85, $B85:$O85))</f>
        <v>#N/A</v>
      </c>
      <c r="C194" s="23" t="e">
        <f t="shared" si="84"/>
        <v>#N/A</v>
      </c>
      <c r="D194" s="23" t="e">
        <f t="shared" si="84"/>
        <v>#N/A</v>
      </c>
      <c r="E194" s="23" t="e">
        <f t="shared" si="84"/>
        <v>#N/A</v>
      </c>
      <c r="F194" s="23" t="e">
        <f t="shared" si="84"/>
        <v>#N/A</v>
      </c>
      <c r="G194" s="23" t="e">
        <f t="shared" si="84"/>
        <v>#N/A</v>
      </c>
      <c r="H194" s="23" t="e">
        <f t="shared" si="84"/>
        <v>#N/A</v>
      </c>
      <c r="I194" s="23" t="e">
        <f t="shared" si="84"/>
        <v>#N/A</v>
      </c>
      <c r="J194" s="23" t="e">
        <f t="shared" si="84"/>
        <v>#N/A</v>
      </c>
      <c r="K194" s="23" t="e">
        <f t="shared" si="84"/>
        <v>#N/A</v>
      </c>
      <c r="L194" s="23" t="e">
        <f t="shared" si="84"/>
        <v>#N/A</v>
      </c>
      <c r="M194" s="23" t="e">
        <f t="shared" si="84"/>
        <v>#N/A</v>
      </c>
      <c r="N194" s="23" t="e">
        <f t="shared" si="84"/>
        <v>#N/A</v>
      </c>
      <c r="O194" s="23" t="e">
        <f t="shared" si="84"/>
        <v>#N/A</v>
      </c>
    </row>
    <row r="195" spans="1:15">
      <c r="A195" s="23">
        <v>85</v>
      </c>
      <c r="B195" s="23" t="e">
        <f t="shared" ref="B195:O195" si="85">IF(ISNA(B86), NA(), 15 - RANK(B86, $B86:$O86))</f>
        <v>#N/A</v>
      </c>
      <c r="C195" s="23" t="e">
        <f t="shared" si="85"/>
        <v>#N/A</v>
      </c>
      <c r="D195" s="23" t="e">
        <f t="shared" si="85"/>
        <v>#N/A</v>
      </c>
      <c r="E195" s="23" t="e">
        <f t="shared" si="85"/>
        <v>#N/A</v>
      </c>
      <c r="F195" s="23" t="e">
        <f t="shared" si="85"/>
        <v>#N/A</v>
      </c>
      <c r="G195" s="23" t="e">
        <f t="shared" si="85"/>
        <v>#N/A</v>
      </c>
      <c r="H195" s="23" t="e">
        <f t="shared" si="85"/>
        <v>#N/A</v>
      </c>
      <c r="I195" s="23" t="e">
        <f t="shared" si="85"/>
        <v>#N/A</v>
      </c>
      <c r="J195" s="23" t="e">
        <f t="shared" si="85"/>
        <v>#N/A</v>
      </c>
      <c r="K195" s="23" t="e">
        <f t="shared" si="85"/>
        <v>#N/A</v>
      </c>
      <c r="L195" s="23" t="e">
        <f t="shared" si="85"/>
        <v>#N/A</v>
      </c>
      <c r="M195" s="23" t="e">
        <f t="shared" si="85"/>
        <v>#N/A</v>
      </c>
      <c r="N195" s="23" t="e">
        <f t="shared" si="85"/>
        <v>#N/A</v>
      </c>
      <c r="O195" s="23" t="e">
        <f t="shared" si="85"/>
        <v>#N/A</v>
      </c>
    </row>
    <row r="196" spans="1:15">
      <c r="A196" s="23">
        <v>86</v>
      </c>
      <c r="B196" s="23" t="e">
        <f t="shared" ref="B196:O196" si="86">IF(ISNA(B87), NA(), 15 - RANK(B87, $B87:$O87))</f>
        <v>#N/A</v>
      </c>
      <c r="C196" s="23" t="e">
        <f t="shared" si="86"/>
        <v>#N/A</v>
      </c>
      <c r="D196" s="23" t="e">
        <f t="shared" si="86"/>
        <v>#N/A</v>
      </c>
      <c r="E196" s="23" t="e">
        <f t="shared" si="86"/>
        <v>#N/A</v>
      </c>
      <c r="F196" s="23" t="e">
        <f t="shared" si="86"/>
        <v>#N/A</v>
      </c>
      <c r="G196" s="23" t="e">
        <f t="shared" si="86"/>
        <v>#N/A</v>
      </c>
      <c r="H196" s="23" t="e">
        <f t="shared" si="86"/>
        <v>#N/A</v>
      </c>
      <c r="I196" s="23" t="e">
        <f t="shared" si="86"/>
        <v>#N/A</v>
      </c>
      <c r="J196" s="23" t="e">
        <f t="shared" si="86"/>
        <v>#N/A</v>
      </c>
      <c r="K196" s="23" t="e">
        <f t="shared" si="86"/>
        <v>#N/A</v>
      </c>
      <c r="L196" s="23" t="e">
        <f t="shared" si="86"/>
        <v>#N/A</v>
      </c>
      <c r="M196" s="23" t="e">
        <f t="shared" si="86"/>
        <v>#N/A</v>
      </c>
      <c r="N196" s="23" t="e">
        <f t="shared" si="86"/>
        <v>#N/A</v>
      </c>
      <c r="O196" s="23" t="e">
        <f t="shared" si="86"/>
        <v>#N/A</v>
      </c>
    </row>
    <row r="197" spans="1:15">
      <c r="A197" s="23">
        <v>87</v>
      </c>
      <c r="B197" s="23" t="e">
        <f t="shared" ref="B197:O197" si="87">IF(ISNA(B88), NA(), 15 - RANK(B88, $B88:$O88))</f>
        <v>#N/A</v>
      </c>
      <c r="C197" s="23" t="e">
        <f t="shared" si="87"/>
        <v>#N/A</v>
      </c>
      <c r="D197" s="23" t="e">
        <f t="shared" si="87"/>
        <v>#N/A</v>
      </c>
      <c r="E197" s="23" t="e">
        <f t="shared" si="87"/>
        <v>#N/A</v>
      </c>
      <c r="F197" s="23" t="e">
        <f t="shared" si="87"/>
        <v>#N/A</v>
      </c>
      <c r="G197" s="23" t="e">
        <f t="shared" si="87"/>
        <v>#N/A</v>
      </c>
      <c r="H197" s="23" t="e">
        <f t="shared" si="87"/>
        <v>#N/A</v>
      </c>
      <c r="I197" s="23" t="e">
        <f t="shared" si="87"/>
        <v>#N/A</v>
      </c>
      <c r="J197" s="23" t="e">
        <f t="shared" si="87"/>
        <v>#N/A</v>
      </c>
      <c r="K197" s="23" t="e">
        <f t="shared" si="87"/>
        <v>#N/A</v>
      </c>
      <c r="L197" s="23" t="e">
        <f t="shared" si="87"/>
        <v>#N/A</v>
      </c>
      <c r="M197" s="23" t="e">
        <f t="shared" si="87"/>
        <v>#N/A</v>
      </c>
      <c r="N197" s="23" t="e">
        <f t="shared" si="87"/>
        <v>#N/A</v>
      </c>
      <c r="O197" s="23" t="e">
        <f t="shared" si="87"/>
        <v>#N/A</v>
      </c>
    </row>
    <row r="198" spans="1:15">
      <c r="A198" s="23">
        <v>88</v>
      </c>
      <c r="B198" s="23" t="e">
        <f t="shared" ref="B198:O198" si="88">IF(ISNA(B89), NA(), 15 - RANK(B89, $B89:$O89))</f>
        <v>#N/A</v>
      </c>
      <c r="C198" s="23" t="e">
        <f t="shared" si="88"/>
        <v>#N/A</v>
      </c>
      <c r="D198" s="23" t="e">
        <f t="shared" si="88"/>
        <v>#N/A</v>
      </c>
      <c r="E198" s="23" t="e">
        <f t="shared" si="88"/>
        <v>#N/A</v>
      </c>
      <c r="F198" s="23" t="e">
        <f t="shared" si="88"/>
        <v>#N/A</v>
      </c>
      <c r="G198" s="23" t="e">
        <f t="shared" si="88"/>
        <v>#N/A</v>
      </c>
      <c r="H198" s="23" t="e">
        <f t="shared" si="88"/>
        <v>#N/A</v>
      </c>
      <c r="I198" s="23" t="e">
        <f t="shared" si="88"/>
        <v>#N/A</v>
      </c>
      <c r="J198" s="23" t="e">
        <f t="shared" si="88"/>
        <v>#N/A</v>
      </c>
      <c r="K198" s="23" t="e">
        <f t="shared" si="88"/>
        <v>#N/A</v>
      </c>
      <c r="L198" s="23" t="e">
        <f t="shared" si="88"/>
        <v>#N/A</v>
      </c>
      <c r="M198" s="23" t="e">
        <f t="shared" si="88"/>
        <v>#N/A</v>
      </c>
      <c r="N198" s="23" t="e">
        <f t="shared" si="88"/>
        <v>#N/A</v>
      </c>
      <c r="O198" s="23" t="e">
        <f t="shared" si="88"/>
        <v>#N/A</v>
      </c>
    </row>
    <row r="199" spans="1:15">
      <c r="A199" s="23">
        <v>89</v>
      </c>
      <c r="B199" s="23" t="e">
        <f t="shared" ref="B199:O199" si="89">IF(ISNA(B90), NA(), 15 - RANK(B90, $B90:$O90))</f>
        <v>#N/A</v>
      </c>
      <c r="C199" s="23" t="e">
        <f t="shared" si="89"/>
        <v>#N/A</v>
      </c>
      <c r="D199" s="23" t="e">
        <f t="shared" si="89"/>
        <v>#N/A</v>
      </c>
      <c r="E199" s="23" t="e">
        <f t="shared" si="89"/>
        <v>#N/A</v>
      </c>
      <c r="F199" s="23" t="e">
        <f t="shared" si="89"/>
        <v>#N/A</v>
      </c>
      <c r="G199" s="23" t="e">
        <f t="shared" si="89"/>
        <v>#N/A</v>
      </c>
      <c r="H199" s="23" t="e">
        <f t="shared" si="89"/>
        <v>#N/A</v>
      </c>
      <c r="I199" s="23" t="e">
        <f t="shared" si="89"/>
        <v>#N/A</v>
      </c>
      <c r="J199" s="23" t="e">
        <f t="shared" si="89"/>
        <v>#N/A</v>
      </c>
      <c r="K199" s="23" t="e">
        <f t="shared" si="89"/>
        <v>#N/A</v>
      </c>
      <c r="L199" s="23" t="e">
        <f t="shared" si="89"/>
        <v>#N/A</v>
      </c>
      <c r="M199" s="23" t="e">
        <f t="shared" si="89"/>
        <v>#N/A</v>
      </c>
      <c r="N199" s="23" t="e">
        <f t="shared" si="89"/>
        <v>#N/A</v>
      </c>
      <c r="O199" s="23" t="e">
        <f t="shared" si="89"/>
        <v>#N/A</v>
      </c>
    </row>
    <row r="200" spans="1:15">
      <c r="A200" s="23">
        <v>90</v>
      </c>
      <c r="B200" s="23" t="e">
        <f t="shared" ref="B200:O200" si="90">IF(ISNA(B91), NA(), 15 - RANK(B91, $B91:$O91))</f>
        <v>#N/A</v>
      </c>
      <c r="C200" s="23" t="e">
        <f t="shared" si="90"/>
        <v>#N/A</v>
      </c>
      <c r="D200" s="23" t="e">
        <f t="shared" si="90"/>
        <v>#N/A</v>
      </c>
      <c r="E200" s="23" t="e">
        <f t="shared" si="90"/>
        <v>#N/A</v>
      </c>
      <c r="F200" s="23" t="e">
        <f t="shared" si="90"/>
        <v>#N/A</v>
      </c>
      <c r="G200" s="23" t="e">
        <f t="shared" si="90"/>
        <v>#N/A</v>
      </c>
      <c r="H200" s="23" t="e">
        <f t="shared" si="90"/>
        <v>#N/A</v>
      </c>
      <c r="I200" s="23" t="e">
        <f t="shared" si="90"/>
        <v>#N/A</v>
      </c>
      <c r="J200" s="23" t="e">
        <f t="shared" si="90"/>
        <v>#N/A</v>
      </c>
      <c r="K200" s="23" t="e">
        <f t="shared" si="90"/>
        <v>#N/A</v>
      </c>
      <c r="L200" s="23" t="e">
        <f t="shared" si="90"/>
        <v>#N/A</v>
      </c>
      <c r="M200" s="23" t="e">
        <f t="shared" si="90"/>
        <v>#N/A</v>
      </c>
      <c r="N200" s="23" t="e">
        <f t="shared" si="90"/>
        <v>#N/A</v>
      </c>
      <c r="O200" s="23" t="e">
        <f t="shared" si="90"/>
        <v>#N/A</v>
      </c>
    </row>
    <row r="201" spans="1:15">
      <c r="A201" s="23">
        <v>91</v>
      </c>
      <c r="B201" s="23" t="e">
        <f t="shared" ref="B201:O201" si="91">IF(ISNA(B92), NA(), 15 - RANK(B92, $B92:$O92))</f>
        <v>#N/A</v>
      </c>
      <c r="C201" s="23" t="e">
        <f t="shared" si="91"/>
        <v>#N/A</v>
      </c>
      <c r="D201" s="23" t="e">
        <f t="shared" si="91"/>
        <v>#N/A</v>
      </c>
      <c r="E201" s="23" t="e">
        <f t="shared" si="91"/>
        <v>#N/A</v>
      </c>
      <c r="F201" s="23" t="e">
        <f t="shared" si="91"/>
        <v>#N/A</v>
      </c>
      <c r="G201" s="23" t="e">
        <f t="shared" si="91"/>
        <v>#N/A</v>
      </c>
      <c r="H201" s="23" t="e">
        <f t="shared" si="91"/>
        <v>#N/A</v>
      </c>
      <c r="I201" s="23" t="e">
        <f t="shared" si="91"/>
        <v>#N/A</v>
      </c>
      <c r="J201" s="23" t="e">
        <f t="shared" si="91"/>
        <v>#N/A</v>
      </c>
      <c r="K201" s="23" t="e">
        <f t="shared" si="91"/>
        <v>#N/A</v>
      </c>
      <c r="L201" s="23" t="e">
        <f t="shared" si="91"/>
        <v>#N/A</v>
      </c>
      <c r="M201" s="23" t="e">
        <f t="shared" si="91"/>
        <v>#N/A</v>
      </c>
      <c r="N201" s="23" t="e">
        <f t="shared" si="91"/>
        <v>#N/A</v>
      </c>
      <c r="O201" s="23" t="e">
        <f t="shared" si="91"/>
        <v>#N/A</v>
      </c>
    </row>
    <row r="202" spans="1:15">
      <c r="A202" s="23">
        <v>92</v>
      </c>
      <c r="B202" s="23" t="e">
        <f t="shared" ref="B202:O202" si="92">IF(ISNA(B93), NA(), 15 - RANK(B93, $B93:$O93))</f>
        <v>#N/A</v>
      </c>
      <c r="C202" s="23" t="e">
        <f t="shared" si="92"/>
        <v>#N/A</v>
      </c>
      <c r="D202" s="23" t="e">
        <f t="shared" si="92"/>
        <v>#N/A</v>
      </c>
      <c r="E202" s="23" t="e">
        <f t="shared" si="92"/>
        <v>#N/A</v>
      </c>
      <c r="F202" s="23" t="e">
        <f t="shared" si="92"/>
        <v>#N/A</v>
      </c>
      <c r="G202" s="23" t="e">
        <f t="shared" si="92"/>
        <v>#N/A</v>
      </c>
      <c r="H202" s="23" t="e">
        <f t="shared" si="92"/>
        <v>#N/A</v>
      </c>
      <c r="I202" s="23" t="e">
        <f t="shared" si="92"/>
        <v>#N/A</v>
      </c>
      <c r="J202" s="23" t="e">
        <f t="shared" si="92"/>
        <v>#N/A</v>
      </c>
      <c r="K202" s="23" t="e">
        <f t="shared" si="92"/>
        <v>#N/A</v>
      </c>
      <c r="L202" s="23" t="e">
        <f t="shared" si="92"/>
        <v>#N/A</v>
      </c>
      <c r="M202" s="23" t="e">
        <f t="shared" si="92"/>
        <v>#N/A</v>
      </c>
      <c r="N202" s="23" t="e">
        <f t="shared" si="92"/>
        <v>#N/A</v>
      </c>
      <c r="O202" s="23" t="e">
        <f t="shared" si="92"/>
        <v>#N/A</v>
      </c>
    </row>
    <row r="203" spans="1:15">
      <c r="A203" s="23">
        <v>93</v>
      </c>
      <c r="B203" s="23" t="e">
        <f t="shared" ref="B203:O203" si="93">IF(ISNA(B94), NA(), 15 - RANK(B94, $B94:$O94))</f>
        <v>#N/A</v>
      </c>
      <c r="C203" s="23" t="e">
        <f t="shared" si="93"/>
        <v>#N/A</v>
      </c>
      <c r="D203" s="23" t="e">
        <f t="shared" si="93"/>
        <v>#N/A</v>
      </c>
      <c r="E203" s="23" t="e">
        <f t="shared" si="93"/>
        <v>#N/A</v>
      </c>
      <c r="F203" s="23" t="e">
        <f t="shared" si="93"/>
        <v>#N/A</v>
      </c>
      <c r="G203" s="23" t="e">
        <f t="shared" si="93"/>
        <v>#N/A</v>
      </c>
      <c r="H203" s="23" t="e">
        <f t="shared" si="93"/>
        <v>#N/A</v>
      </c>
      <c r="I203" s="23" t="e">
        <f t="shared" si="93"/>
        <v>#N/A</v>
      </c>
      <c r="J203" s="23" t="e">
        <f t="shared" si="93"/>
        <v>#N/A</v>
      </c>
      <c r="K203" s="23" t="e">
        <f t="shared" si="93"/>
        <v>#N/A</v>
      </c>
      <c r="L203" s="23" t="e">
        <f t="shared" si="93"/>
        <v>#N/A</v>
      </c>
      <c r="M203" s="23" t="e">
        <f t="shared" si="93"/>
        <v>#N/A</v>
      </c>
      <c r="N203" s="23" t="e">
        <f t="shared" si="93"/>
        <v>#N/A</v>
      </c>
      <c r="O203" s="23" t="e">
        <f t="shared" si="93"/>
        <v>#N/A</v>
      </c>
    </row>
    <row r="204" spans="1:15">
      <c r="A204" s="23">
        <v>94</v>
      </c>
      <c r="B204" s="23" t="e">
        <f t="shared" ref="B204:O204" si="94">IF(ISNA(B95), NA(), 15 - RANK(B95, $B95:$O95))</f>
        <v>#N/A</v>
      </c>
      <c r="C204" s="23" t="e">
        <f t="shared" si="94"/>
        <v>#N/A</v>
      </c>
      <c r="D204" s="23" t="e">
        <f t="shared" si="94"/>
        <v>#N/A</v>
      </c>
      <c r="E204" s="23" t="e">
        <f t="shared" si="94"/>
        <v>#N/A</v>
      </c>
      <c r="F204" s="23" t="e">
        <f t="shared" si="94"/>
        <v>#N/A</v>
      </c>
      <c r="G204" s="23" t="e">
        <f t="shared" si="94"/>
        <v>#N/A</v>
      </c>
      <c r="H204" s="23" t="e">
        <f t="shared" si="94"/>
        <v>#N/A</v>
      </c>
      <c r="I204" s="23" t="e">
        <f t="shared" si="94"/>
        <v>#N/A</v>
      </c>
      <c r="J204" s="23" t="e">
        <f t="shared" si="94"/>
        <v>#N/A</v>
      </c>
      <c r="K204" s="23" t="e">
        <f t="shared" si="94"/>
        <v>#N/A</v>
      </c>
      <c r="L204" s="23" t="e">
        <f t="shared" si="94"/>
        <v>#N/A</v>
      </c>
      <c r="M204" s="23" t="e">
        <f t="shared" si="94"/>
        <v>#N/A</v>
      </c>
      <c r="N204" s="23" t="e">
        <f t="shared" si="94"/>
        <v>#N/A</v>
      </c>
      <c r="O204" s="23" t="e">
        <f t="shared" si="94"/>
        <v>#N/A</v>
      </c>
    </row>
    <row r="205" spans="1:15">
      <c r="A205" s="23">
        <v>95</v>
      </c>
      <c r="B205" s="23" t="e">
        <f t="shared" ref="B205:O205" si="95">IF(ISNA(B96), NA(), 15 - RANK(B96, $B96:$O96))</f>
        <v>#N/A</v>
      </c>
      <c r="C205" s="23" t="e">
        <f t="shared" si="95"/>
        <v>#N/A</v>
      </c>
      <c r="D205" s="23" t="e">
        <f t="shared" si="95"/>
        <v>#N/A</v>
      </c>
      <c r="E205" s="23" t="e">
        <f t="shared" si="95"/>
        <v>#N/A</v>
      </c>
      <c r="F205" s="23" t="e">
        <f t="shared" si="95"/>
        <v>#N/A</v>
      </c>
      <c r="G205" s="23" t="e">
        <f t="shared" si="95"/>
        <v>#N/A</v>
      </c>
      <c r="H205" s="23" t="e">
        <f t="shared" si="95"/>
        <v>#N/A</v>
      </c>
      <c r="I205" s="23" t="e">
        <f t="shared" si="95"/>
        <v>#N/A</v>
      </c>
      <c r="J205" s="23" t="e">
        <f t="shared" si="95"/>
        <v>#N/A</v>
      </c>
      <c r="K205" s="23" t="e">
        <f t="shared" si="95"/>
        <v>#N/A</v>
      </c>
      <c r="L205" s="23" t="e">
        <f t="shared" si="95"/>
        <v>#N/A</v>
      </c>
      <c r="M205" s="23" t="e">
        <f t="shared" si="95"/>
        <v>#N/A</v>
      </c>
      <c r="N205" s="23" t="e">
        <f t="shared" si="95"/>
        <v>#N/A</v>
      </c>
      <c r="O205" s="23" t="e">
        <f t="shared" si="95"/>
        <v>#N/A</v>
      </c>
    </row>
    <row r="206" spans="1:15">
      <c r="A206" s="23">
        <v>96</v>
      </c>
      <c r="B206" s="23" t="e">
        <f t="shared" ref="B206:O206" si="96">IF(ISNA(B97), NA(), 15 - RANK(B97, $B97:$O97))</f>
        <v>#N/A</v>
      </c>
      <c r="C206" s="23" t="e">
        <f t="shared" si="96"/>
        <v>#N/A</v>
      </c>
      <c r="D206" s="23" t="e">
        <f t="shared" si="96"/>
        <v>#N/A</v>
      </c>
      <c r="E206" s="23" t="e">
        <f t="shared" si="96"/>
        <v>#N/A</v>
      </c>
      <c r="F206" s="23" t="e">
        <f t="shared" si="96"/>
        <v>#N/A</v>
      </c>
      <c r="G206" s="23" t="e">
        <f t="shared" si="96"/>
        <v>#N/A</v>
      </c>
      <c r="H206" s="23" t="e">
        <f t="shared" si="96"/>
        <v>#N/A</v>
      </c>
      <c r="I206" s="23" t="e">
        <f t="shared" si="96"/>
        <v>#N/A</v>
      </c>
      <c r="J206" s="23" t="e">
        <f t="shared" si="96"/>
        <v>#N/A</v>
      </c>
      <c r="K206" s="23" t="e">
        <f t="shared" si="96"/>
        <v>#N/A</v>
      </c>
      <c r="L206" s="23" t="e">
        <f t="shared" si="96"/>
        <v>#N/A</v>
      </c>
      <c r="M206" s="23" t="e">
        <f t="shared" si="96"/>
        <v>#N/A</v>
      </c>
      <c r="N206" s="23" t="e">
        <f t="shared" si="96"/>
        <v>#N/A</v>
      </c>
      <c r="O206" s="23" t="e">
        <f t="shared" si="96"/>
        <v>#N/A</v>
      </c>
    </row>
    <row r="207" spans="1:15">
      <c r="A207" s="23">
        <v>97</v>
      </c>
      <c r="B207" s="23" t="e">
        <f t="shared" ref="B207:O207" si="97">IF(ISNA(B98), NA(), 15 - RANK(B98, $B98:$O98))</f>
        <v>#N/A</v>
      </c>
      <c r="C207" s="23" t="e">
        <f t="shared" si="97"/>
        <v>#N/A</v>
      </c>
      <c r="D207" s="23" t="e">
        <f t="shared" si="97"/>
        <v>#N/A</v>
      </c>
      <c r="E207" s="23" t="e">
        <f t="shared" si="97"/>
        <v>#N/A</v>
      </c>
      <c r="F207" s="23" t="e">
        <f t="shared" si="97"/>
        <v>#N/A</v>
      </c>
      <c r="G207" s="23" t="e">
        <f t="shared" si="97"/>
        <v>#N/A</v>
      </c>
      <c r="H207" s="23" t="e">
        <f t="shared" si="97"/>
        <v>#N/A</v>
      </c>
      <c r="I207" s="23" t="e">
        <f t="shared" si="97"/>
        <v>#N/A</v>
      </c>
      <c r="J207" s="23" t="e">
        <f t="shared" si="97"/>
        <v>#N/A</v>
      </c>
      <c r="K207" s="23" t="e">
        <f t="shared" si="97"/>
        <v>#N/A</v>
      </c>
      <c r="L207" s="23" t="e">
        <f t="shared" si="97"/>
        <v>#N/A</v>
      </c>
      <c r="M207" s="23" t="e">
        <f t="shared" si="97"/>
        <v>#N/A</v>
      </c>
      <c r="N207" s="23" t="e">
        <f t="shared" si="97"/>
        <v>#N/A</v>
      </c>
      <c r="O207" s="23" t="e">
        <f t="shared" si="97"/>
        <v>#N/A</v>
      </c>
    </row>
    <row r="208" spans="1:15">
      <c r="A208" s="23">
        <v>98</v>
      </c>
      <c r="B208" s="23" t="e">
        <f t="shared" ref="B208:O208" si="98">IF(ISNA(B99), NA(), 15 - RANK(B99, $B99:$O99))</f>
        <v>#N/A</v>
      </c>
      <c r="C208" s="23" t="e">
        <f t="shared" si="98"/>
        <v>#N/A</v>
      </c>
      <c r="D208" s="23" t="e">
        <f t="shared" si="98"/>
        <v>#N/A</v>
      </c>
      <c r="E208" s="23" t="e">
        <f t="shared" si="98"/>
        <v>#N/A</v>
      </c>
      <c r="F208" s="23" t="e">
        <f t="shared" si="98"/>
        <v>#N/A</v>
      </c>
      <c r="G208" s="23" t="e">
        <f t="shared" si="98"/>
        <v>#N/A</v>
      </c>
      <c r="H208" s="23" t="e">
        <f t="shared" si="98"/>
        <v>#N/A</v>
      </c>
      <c r="I208" s="23" t="e">
        <f t="shared" si="98"/>
        <v>#N/A</v>
      </c>
      <c r="J208" s="23" t="e">
        <f t="shared" si="98"/>
        <v>#N/A</v>
      </c>
      <c r="K208" s="23" t="e">
        <f t="shared" si="98"/>
        <v>#N/A</v>
      </c>
      <c r="L208" s="23" t="e">
        <f t="shared" si="98"/>
        <v>#N/A</v>
      </c>
      <c r="M208" s="23" t="e">
        <f t="shared" si="98"/>
        <v>#N/A</v>
      </c>
      <c r="N208" s="23" t="e">
        <f t="shared" si="98"/>
        <v>#N/A</v>
      </c>
      <c r="O208" s="23" t="e">
        <f t="shared" si="98"/>
        <v>#N/A</v>
      </c>
    </row>
    <row r="209" spans="1:15">
      <c r="A209" s="23">
        <v>99</v>
      </c>
      <c r="B209" s="23" t="e">
        <f t="shared" ref="B209:O209" si="99">IF(ISNA(B100), NA(), 15 - RANK(B100, $B100:$O100))</f>
        <v>#N/A</v>
      </c>
      <c r="C209" s="23" t="e">
        <f t="shared" si="99"/>
        <v>#N/A</v>
      </c>
      <c r="D209" s="23" t="e">
        <f t="shared" si="99"/>
        <v>#N/A</v>
      </c>
      <c r="E209" s="23" t="e">
        <f t="shared" si="99"/>
        <v>#N/A</v>
      </c>
      <c r="F209" s="23" t="e">
        <f t="shared" si="99"/>
        <v>#N/A</v>
      </c>
      <c r="G209" s="23" t="e">
        <f t="shared" si="99"/>
        <v>#N/A</v>
      </c>
      <c r="H209" s="23" t="e">
        <f t="shared" si="99"/>
        <v>#N/A</v>
      </c>
      <c r="I209" s="23" t="e">
        <f t="shared" si="99"/>
        <v>#N/A</v>
      </c>
      <c r="J209" s="23" t="e">
        <f t="shared" si="99"/>
        <v>#N/A</v>
      </c>
      <c r="K209" s="23" t="e">
        <f t="shared" si="99"/>
        <v>#N/A</v>
      </c>
      <c r="L209" s="23" t="e">
        <f t="shared" si="99"/>
        <v>#N/A</v>
      </c>
      <c r="M209" s="23" t="e">
        <f t="shared" si="99"/>
        <v>#N/A</v>
      </c>
      <c r="N209" s="23" t="e">
        <f t="shared" si="99"/>
        <v>#N/A</v>
      </c>
      <c r="O209" s="23" t="e">
        <f t="shared" si="99"/>
        <v>#N/A</v>
      </c>
    </row>
    <row r="210" spans="1:15">
      <c r="A210" s="23">
        <v>100</v>
      </c>
      <c r="B210" s="23" t="e">
        <f t="shared" ref="B210:O210" si="100">IF(ISNA(B101), NA(), 15 - RANK(B101, $B101:$O101))</f>
        <v>#N/A</v>
      </c>
      <c r="C210" s="23" t="e">
        <f t="shared" si="100"/>
        <v>#N/A</v>
      </c>
      <c r="D210" s="23" t="e">
        <f t="shared" si="100"/>
        <v>#N/A</v>
      </c>
      <c r="E210" s="23" t="e">
        <f t="shared" si="100"/>
        <v>#N/A</v>
      </c>
      <c r="F210" s="23" t="e">
        <f t="shared" si="100"/>
        <v>#N/A</v>
      </c>
      <c r="G210" s="23" t="e">
        <f t="shared" si="100"/>
        <v>#N/A</v>
      </c>
      <c r="H210" s="23" t="e">
        <f t="shared" si="100"/>
        <v>#N/A</v>
      </c>
      <c r="I210" s="23" t="e">
        <f t="shared" si="100"/>
        <v>#N/A</v>
      </c>
      <c r="J210" s="23" t="e">
        <f t="shared" si="100"/>
        <v>#N/A</v>
      </c>
      <c r="K210" s="23" t="e">
        <f t="shared" si="100"/>
        <v>#N/A</v>
      </c>
      <c r="L210" s="23" t="e">
        <f t="shared" si="100"/>
        <v>#N/A</v>
      </c>
      <c r="M210" s="23" t="e">
        <f t="shared" si="100"/>
        <v>#N/A</v>
      </c>
      <c r="N210" s="23" t="e">
        <f t="shared" si="100"/>
        <v>#N/A</v>
      </c>
      <c r="O210" s="23" t="e">
        <f t="shared" si="100"/>
        <v>#N/A</v>
      </c>
    </row>
    <row r="211" spans="1:15">
      <c r="A211" s="23">
        <v>101</v>
      </c>
      <c r="B211" s="23" t="e">
        <f t="shared" ref="B211:O211" si="101">IF(ISNA(B102), NA(), 15 - RANK(B102, $B102:$O102))</f>
        <v>#N/A</v>
      </c>
      <c r="C211" s="23" t="e">
        <f t="shared" si="101"/>
        <v>#N/A</v>
      </c>
      <c r="D211" s="23" t="e">
        <f t="shared" si="101"/>
        <v>#N/A</v>
      </c>
      <c r="E211" s="23" t="e">
        <f t="shared" si="101"/>
        <v>#N/A</v>
      </c>
      <c r="F211" s="23" t="e">
        <f t="shared" si="101"/>
        <v>#N/A</v>
      </c>
      <c r="G211" s="23" t="e">
        <f t="shared" si="101"/>
        <v>#N/A</v>
      </c>
      <c r="H211" s="23" t="e">
        <f t="shared" si="101"/>
        <v>#N/A</v>
      </c>
      <c r="I211" s="23" t="e">
        <f t="shared" si="101"/>
        <v>#N/A</v>
      </c>
      <c r="J211" s="23" t="e">
        <f t="shared" si="101"/>
        <v>#N/A</v>
      </c>
      <c r="K211" s="23" t="e">
        <f t="shared" si="101"/>
        <v>#N/A</v>
      </c>
      <c r="L211" s="23" t="e">
        <f t="shared" si="101"/>
        <v>#N/A</v>
      </c>
      <c r="M211" s="23" t="e">
        <f t="shared" si="101"/>
        <v>#N/A</v>
      </c>
      <c r="N211" s="23" t="e">
        <f t="shared" si="101"/>
        <v>#N/A</v>
      </c>
      <c r="O211" s="23" t="e">
        <f t="shared" si="101"/>
        <v>#N/A</v>
      </c>
    </row>
    <row r="212" spans="1:15">
      <c r="A212" s="23">
        <v>102</v>
      </c>
      <c r="B212" s="23" t="e">
        <f t="shared" ref="B212:O212" si="102">IF(ISNA(B103), NA(), 15 - RANK(B103, $B103:$O103))</f>
        <v>#N/A</v>
      </c>
      <c r="C212" s="23" t="e">
        <f t="shared" si="102"/>
        <v>#N/A</v>
      </c>
      <c r="D212" s="23" t="e">
        <f t="shared" si="102"/>
        <v>#N/A</v>
      </c>
      <c r="E212" s="23" t="e">
        <f t="shared" si="102"/>
        <v>#N/A</v>
      </c>
      <c r="F212" s="23" t="e">
        <f t="shared" si="102"/>
        <v>#N/A</v>
      </c>
      <c r="G212" s="23" t="e">
        <f t="shared" si="102"/>
        <v>#N/A</v>
      </c>
      <c r="H212" s="23" t="e">
        <f t="shared" si="102"/>
        <v>#N/A</v>
      </c>
      <c r="I212" s="23" t="e">
        <f t="shared" si="102"/>
        <v>#N/A</v>
      </c>
      <c r="J212" s="23" t="e">
        <f t="shared" si="102"/>
        <v>#N/A</v>
      </c>
      <c r="K212" s="23" t="e">
        <f t="shared" si="102"/>
        <v>#N/A</v>
      </c>
      <c r="L212" s="23" t="e">
        <f t="shared" si="102"/>
        <v>#N/A</v>
      </c>
      <c r="M212" s="23" t="e">
        <f t="shared" si="102"/>
        <v>#N/A</v>
      </c>
      <c r="N212" s="23" t="e">
        <f t="shared" si="102"/>
        <v>#N/A</v>
      </c>
      <c r="O212" s="23" t="e">
        <f t="shared" si="102"/>
        <v>#N/A</v>
      </c>
    </row>
    <row r="213" spans="1:15">
      <c r="A213" s="23">
        <v>103</v>
      </c>
      <c r="B213" s="23" t="e">
        <f t="shared" ref="B213:O213" si="103">IF(ISNA(B104), NA(), 15 - RANK(B104, $B104:$O104))</f>
        <v>#N/A</v>
      </c>
      <c r="C213" s="23" t="e">
        <f t="shared" si="103"/>
        <v>#N/A</v>
      </c>
      <c r="D213" s="23" t="e">
        <f t="shared" si="103"/>
        <v>#N/A</v>
      </c>
      <c r="E213" s="23" t="e">
        <f t="shared" si="103"/>
        <v>#N/A</v>
      </c>
      <c r="F213" s="23" t="e">
        <f t="shared" si="103"/>
        <v>#N/A</v>
      </c>
      <c r="G213" s="23" t="e">
        <f t="shared" si="103"/>
        <v>#N/A</v>
      </c>
      <c r="H213" s="23" t="e">
        <f t="shared" si="103"/>
        <v>#N/A</v>
      </c>
      <c r="I213" s="23" t="e">
        <f t="shared" si="103"/>
        <v>#N/A</v>
      </c>
      <c r="J213" s="23" t="e">
        <f t="shared" si="103"/>
        <v>#N/A</v>
      </c>
      <c r="K213" s="23" t="e">
        <f t="shared" si="103"/>
        <v>#N/A</v>
      </c>
      <c r="L213" s="23" t="e">
        <f t="shared" si="103"/>
        <v>#N/A</v>
      </c>
      <c r="M213" s="23" t="e">
        <f t="shared" si="103"/>
        <v>#N/A</v>
      </c>
      <c r="N213" s="23" t="e">
        <f t="shared" si="103"/>
        <v>#N/A</v>
      </c>
      <c r="O213" s="23" t="e">
        <f t="shared" si="103"/>
        <v>#N/A</v>
      </c>
    </row>
    <row r="214" spans="1:15">
      <c r="A214" s="23">
        <v>104</v>
      </c>
      <c r="B214" s="23" t="e">
        <f t="shared" ref="B214:O214" si="104">IF(ISNA(B105), NA(), 15 - RANK(B105, $B105:$O105))</f>
        <v>#N/A</v>
      </c>
      <c r="C214" s="23" t="e">
        <f t="shared" si="104"/>
        <v>#N/A</v>
      </c>
      <c r="D214" s="23" t="e">
        <f t="shared" si="104"/>
        <v>#N/A</v>
      </c>
      <c r="E214" s="23" t="e">
        <f t="shared" si="104"/>
        <v>#N/A</v>
      </c>
      <c r="F214" s="23" t="e">
        <f t="shared" si="104"/>
        <v>#N/A</v>
      </c>
      <c r="G214" s="23" t="e">
        <f t="shared" si="104"/>
        <v>#N/A</v>
      </c>
      <c r="H214" s="23" t="e">
        <f t="shared" si="104"/>
        <v>#N/A</v>
      </c>
      <c r="I214" s="23" t="e">
        <f t="shared" si="104"/>
        <v>#N/A</v>
      </c>
      <c r="J214" s="23" t="e">
        <f t="shared" si="104"/>
        <v>#N/A</v>
      </c>
      <c r="K214" s="23" t="e">
        <f t="shared" si="104"/>
        <v>#N/A</v>
      </c>
      <c r="L214" s="23" t="e">
        <f t="shared" si="104"/>
        <v>#N/A</v>
      </c>
      <c r="M214" s="23" t="e">
        <f t="shared" si="104"/>
        <v>#N/A</v>
      </c>
      <c r="N214" s="23" t="e">
        <f t="shared" si="104"/>
        <v>#N/A</v>
      </c>
      <c r="O214" s="23" t="e">
        <f t="shared" si="104"/>
        <v>#N/A</v>
      </c>
    </row>
    <row r="215" spans="1: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 spans="1:1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 spans="1:1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 spans="1:1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 spans="1:1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 spans="1:1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</row>
    <row r="221" spans="1:1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</row>
    <row r="222" spans="1:1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 spans="1:1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 spans="1:1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 spans="1:1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 spans="1:1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 spans="1:1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 spans="1:1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 spans="1:1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 spans="1:1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 spans="1:1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 spans="1:1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 spans="1:1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 spans="1:1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</row>
    <row r="235" spans="1:1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</row>
    <row r="236" spans="1:1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 spans="1:1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 spans="1:1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 spans="1:1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 spans="1:1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</row>
    <row r="241" spans="1: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 spans="1: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</row>
    <row r="243" spans="1: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 spans="1: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 spans="1: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 spans="1: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 spans="1: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 spans="1:1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 spans="1: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 spans="1:1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 spans="1:1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 spans="1:1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</row>
    <row r="253" spans="1:1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</row>
    <row r="254" spans="1:1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 spans="1:1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 spans="1:1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 spans="1:1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 spans="1:1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 spans="1:1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 spans="1:1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 spans="1:1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 spans="1:1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</row>
    <row r="263" spans="1:1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</row>
    <row r="264" spans="1:1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</row>
    <row r="265" spans="1:1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</row>
    <row r="266" spans="1:1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 spans="1:1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</row>
    <row r="268" spans="1:1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</row>
    <row r="269" spans="1:1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</row>
    <row r="270" spans="1:1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1" spans="1:1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 spans="1:1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 spans="1:1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 spans="1:1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 spans="1:1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</row>
    <row r="276" spans="1:1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 spans="1:1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</row>
    <row r="278" spans="1:1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 spans="1:1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 spans="1:1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 spans="1:1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 spans="1:1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 spans="1:1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 spans="1:1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 spans="1:1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 spans="1:1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 spans="1:1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 spans="1:1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 spans="1:1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 spans="1:1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 spans="1:1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 spans="1:1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 spans="1:1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 spans="1:1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 spans="1:1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 spans="1:1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</row>
    <row r="297" spans="1:1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</row>
    <row r="298" spans="1:1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</row>
    <row r="299" spans="1:1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 spans="1:1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 spans="1:1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</row>
    <row r="302" spans="1:1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 spans="1:1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 spans="1:1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 spans="1:1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 spans="1:1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 spans="1:1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 spans="1:1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 spans="1:1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 spans="1:1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 spans="1:1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 spans="1: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 spans="1:1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 spans="1:1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 spans="1: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</row>
    <row r="316" spans="1:1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 spans="1:1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 spans="1:1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 spans="1:1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</row>
    <row r="320" spans="1:1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 spans="1:1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 spans="1:1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</row>
    <row r="323" spans="1:1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</row>
    <row r="324" spans="1:1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</row>
    <row r="325" spans="1:1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</row>
    <row r="326" spans="1:1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</row>
    <row r="327" spans="1:1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</row>
    <row r="328" spans="1:1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</row>
    <row r="329" spans="1:1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</row>
    <row r="330" spans="1:1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</row>
    <row r="331" spans="1:1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</row>
    <row r="332" spans="1:1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</row>
    <row r="333" spans="1:1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</row>
    <row r="334" spans="1:1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</row>
    <row r="335" spans="1:1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</row>
    <row r="336" spans="1:1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</row>
    <row r="337" spans="1:1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</row>
    <row r="338" spans="1:1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</row>
    <row r="339" spans="1:1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</row>
    <row r="340" spans="1:1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</row>
    <row r="341" spans="1:1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</row>
    <row r="342" spans="1:1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</row>
    <row r="343" spans="1:1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</row>
    <row r="344" spans="1:1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</row>
    <row r="345" spans="1:1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</row>
    <row r="346" spans="1:1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</row>
    <row r="347" spans="1:1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</row>
    <row r="348" spans="1:1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</row>
    <row r="349" spans="1:1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</row>
    <row r="350" spans="1:1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</row>
    <row r="351" spans="1:1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</row>
    <row r="352" spans="1:1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</row>
    <row r="353" spans="1:1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</row>
    <row r="354" spans="1:1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</row>
    <row r="355" spans="1:1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</row>
    <row r="356" spans="1:1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</row>
    <row r="357" spans="1:1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</row>
    <row r="358" spans="1:1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</row>
    <row r="359" spans="1:1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</row>
    <row r="360" spans="1:1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</row>
    <row r="361" spans="1:1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</row>
    <row r="362" spans="1:1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</row>
    <row r="363" spans="1:1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</row>
    <row r="364" spans="1:1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</row>
    <row r="365" spans="1:1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</row>
    <row r="366" spans="1:1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</row>
    <row r="367" spans="1:1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</row>
    <row r="368" spans="1:1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</row>
    <row r="369" spans="1:1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</row>
    <row r="370" spans="1:1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</row>
    <row r="371" spans="1:1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</row>
    <row r="372" spans="1:1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</row>
    <row r="373" spans="1:1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</row>
    <row r="374" spans="1:1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</row>
    <row r="375" spans="1:1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</row>
    <row r="376" spans="1:1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</row>
    <row r="377" spans="1:1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</row>
    <row r="378" spans="1:1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</row>
    <row r="379" spans="1:1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</row>
    <row r="380" spans="1:1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</row>
    <row r="381" spans="1:1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</row>
    <row r="382" spans="1:1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</row>
    <row r="383" spans="1:1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</row>
    <row r="384" spans="1:1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</row>
    <row r="385" spans="1:1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</row>
    <row r="386" spans="1:1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</row>
    <row r="387" spans="1:1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</row>
    <row r="388" spans="1:1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</row>
    <row r="389" spans="1:1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</row>
    <row r="390" spans="1:1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</row>
    <row r="391" spans="1:1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</row>
    <row r="392" spans="1:1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</row>
    <row r="393" spans="1:1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</row>
    <row r="394" spans="1:1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</row>
    <row r="395" spans="1:1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</row>
    <row r="396" spans="1:1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</row>
    <row r="397" spans="1:1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</row>
    <row r="398" spans="1:1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</row>
    <row r="399" spans="1:1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 spans="1:1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</row>
    <row r="401" spans="1:1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</row>
    <row r="402" spans="1:1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</row>
    <row r="403" spans="1:1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</row>
    <row r="404" spans="1:1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</row>
    <row r="405" spans="1:1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</row>
    <row r="406" spans="1:1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</row>
    <row r="407" spans="1:1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</row>
    <row r="408" spans="1:1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</row>
    <row r="409" spans="1:1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</row>
    <row r="410" spans="1:1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</row>
    <row r="411" spans="1:1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</row>
    <row r="412" spans="1:1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</row>
    <row r="413" spans="1:1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</row>
    <row r="414" spans="1:1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</row>
    <row r="415" spans="1: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</row>
    <row r="416" spans="1:1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</row>
    <row r="417" spans="1:1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</row>
    <row r="418" spans="1:1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</row>
    <row r="419" spans="1:1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</row>
    <row r="420" spans="1:1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</row>
    <row r="421" spans="1:1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</row>
    <row r="422" spans="1:1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</row>
    <row r="423" spans="1:1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</row>
    <row r="424" spans="1:1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</row>
    <row r="425" spans="1:1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</row>
    <row r="426" spans="1:1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</row>
    <row r="427" spans="1:1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</row>
    <row r="428" spans="1:1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</row>
    <row r="429" spans="1:1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</row>
    <row r="430" spans="1:1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</row>
    <row r="431" spans="1:1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</row>
    <row r="432" spans="1:1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</row>
    <row r="433" spans="1:1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</row>
    <row r="434" spans="1:1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</row>
    <row r="435" spans="1:1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</row>
    <row r="436" spans="1:1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</row>
    <row r="437" spans="1:1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</row>
    <row r="438" spans="1:1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</row>
    <row r="439" spans="1:1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</row>
    <row r="440" spans="1:1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</row>
    <row r="441" spans="1:1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</row>
    <row r="442" spans="1:1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</row>
    <row r="443" spans="1:1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</row>
    <row r="444" spans="1:1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</row>
    <row r="445" spans="1:1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</row>
    <row r="446" spans="1:1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</row>
    <row r="447" spans="1: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</row>
    <row r="448" spans="1: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</row>
    <row r="449" spans="1: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</row>
    <row r="450" spans="1: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</row>
    <row r="451" spans="1:1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</row>
    <row r="452" spans="1: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</row>
    <row r="453" spans="1: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</row>
    <row r="454" spans="1: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</row>
    <row r="455" spans="1: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</row>
    <row r="456" spans="1: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</row>
    <row r="457" spans="1: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</row>
    <row r="458" spans="1: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</row>
    <row r="459" spans="1: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</row>
    <row r="460" spans="1: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</row>
    <row r="461" spans="1: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</row>
    <row r="462" spans="1: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</row>
    <row r="463" spans="1: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</row>
    <row r="464" spans="1: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</row>
    <row r="465" spans="1: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</row>
    <row r="466" spans="1: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</row>
    <row r="467" spans="1: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</row>
    <row r="468" spans="1:1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</row>
    <row r="469" spans="1:1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</row>
    <row r="470" spans="1: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</row>
    <row r="471" spans="1: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</row>
    <row r="472" spans="1: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</row>
    <row r="473" spans="1: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</row>
    <row r="474" spans="1: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</row>
    <row r="475" spans="1: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 spans="1: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</row>
    <row r="477" spans="1: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</row>
    <row r="478" spans="1: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</row>
    <row r="479" spans="1: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</row>
    <row r="480" spans="1: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</row>
    <row r="481" spans="1: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</row>
    <row r="482" spans="1: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</row>
    <row r="483" spans="1: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</row>
    <row r="484" spans="1: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</row>
    <row r="485" spans="1: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</row>
    <row r="486" spans="1: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</row>
    <row r="487" spans="1: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</row>
    <row r="488" spans="1: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</row>
    <row r="489" spans="1: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</row>
    <row r="490" spans="1: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</row>
    <row r="491" spans="1: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</row>
    <row r="492" spans="1: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</row>
    <row r="493" spans="1: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</row>
    <row r="494" spans="1: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</row>
    <row r="495" spans="1: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</row>
    <row r="496" spans="1: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</row>
    <row r="497" spans="1: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</row>
    <row r="498" spans="1: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</row>
    <row r="499" spans="1: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</row>
    <row r="500" spans="1: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</row>
    <row r="501" spans="1: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</row>
    <row r="502" spans="1: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</row>
    <row r="503" spans="1: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</row>
    <row r="504" spans="1: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</row>
    <row r="505" spans="1: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</row>
    <row r="506" spans="1: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</row>
    <row r="507" spans="1: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</row>
    <row r="508" spans="1: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</row>
    <row r="509" spans="1: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</row>
    <row r="510" spans="1: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</row>
    <row r="511" spans="1: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</row>
    <row r="512" spans="1: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</row>
    <row r="513" spans="1: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</row>
    <row r="514" spans="1: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</row>
    <row r="515" spans="1: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</row>
    <row r="516" spans="1:1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</row>
    <row r="517" spans="1:1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</row>
    <row r="518" spans="1:1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</row>
    <row r="519" spans="1:1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</row>
    <row r="520" spans="1:1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</row>
    <row r="521" spans="1:1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</row>
    <row r="522" spans="1:1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</row>
    <row r="523" spans="1:1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</row>
    <row r="524" spans="1:1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</row>
    <row r="525" spans="1:1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</row>
    <row r="526" spans="1:1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</row>
    <row r="527" spans="1:1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</row>
    <row r="528" spans="1:1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</row>
    <row r="529" spans="1:1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</row>
    <row r="530" spans="1:1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</row>
    <row r="531" spans="1:1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</row>
    <row r="532" spans="1:1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</row>
    <row r="533" spans="1:1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</row>
    <row r="534" spans="1:1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</row>
    <row r="535" spans="1:1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</row>
    <row r="536" spans="1:1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</row>
    <row r="537" spans="1:1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</row>
    <row r="538" spans="1:1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</row>
    <row r="539" spans="1:1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</row>
    <row r="540" spans="1:1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</row>
    <row r="541" spans="1:1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</row>
    <row r="542" spans="1:1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</row>
    <row r="543" spans="1:1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</row>
    <row r="544" spans="1:1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</row>
    <row r="545" spans="1:1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</row>
    <row r="546" spans="1:1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</row>
    <row r="547" spans="1:1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</row>
    <row r="548" spans="1:1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</row>
    <row r="549" spans="1:1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</row>
    <row r="550" spans="1:1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</row>
    <row r="551" spans="1:1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</row>
    <row r="552" spans="1:1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</row>
    <row r="553" spans="1:1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</row>
    <row r="554" spans="1:1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</row>
    <row r="555" spans="1:1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</row>
    <row r="556" spans="1:1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</row>
    <row r="557" spans="1:1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</row>
    <row r="558" spans="1:1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</row>
    <row r="559" spans="1:1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</row>
    <row r="560" spans="1:1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</row>
    <row r="561" spans="1:1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</row>
    <row r="562" spans="1:1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</row>
    <row r="563" spans="1:1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</row>
    <row r="564" spans="1:1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</row>
    <row r="565" spans="1:1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</row>
    <row r="566" spans="1:1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</row>
    <row r="567" spans="1:1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</row>
    <row r="568" spans="1:1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</row>
    <row r="569" spans="1:1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</row>
    <row r="570" spans="1:1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</row>
    <row r="571" spans="1:1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</row>
    <row r="572" spans="1:1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</row>
    <row r="573" spans="1:1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</row>
    <row r="574" spans="1:1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</row>
    <row r="575" spans="1:1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</row>
    <row r="576" spans="1:1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</row>
    <row r="577" spans="1:1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</row>
    <row r="578" spans="1:1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</row>
    <row r="579" spans="1:1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</row>
    <row r="580" spans="1:1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</row>
    <row r="581" spans="1:1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</row>
    <row r="582" spans="1:1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</row>
    <row r="583" spans="1:1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</row>
    <row r="584" spans="1:1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</row>
    <row r="585" spans="1:1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</row>
    <row r="586" spans="1:1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</row>
    <row r="587" spans="1:1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</row>
    <row r="588" spans="1:1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</row>
    <row r="589" spans="1:1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</row>
    <row r="590" spans="1:1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</row>
    <row r="591" spans="1:1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</row>
    <row r="592" spans="1:1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</row>
    <row r="593" spans="1:1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</row>
    <row r="594" spans="1:1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</row>
    <row r="595" spans="1:1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</row>
    <row r="596" spans="1:1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</row>
    <row r="597" spans="1:1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</row>
    <row r="598" spans="1:1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</row>
    <row r="599" spans="1:1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</row>
    <row r="600" spans="1:1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</row>
    <row r="601" spans="1:1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</row>
    <row r="602" spans="1:1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</row>
    <row r="603" spans="1:1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</row>
    <row r="604" spans="1:1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</row>
    <row r="605" spans="1:1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</row>
    <row r="606" spans="1:1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</row>
    <row r="607" spans="1:1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</row>
    <row r="608" spans="1:1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</row>
    <row r="609" spans="1:1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</row>
    <row r="610" spans="1:1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</row>
    <row r="611" spans="1:1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</row>
    <row r="612" spans="1:1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</row>
    <row r="613" spans="1:1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</row>
    <row r="614" spans="1:1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</row>
    <row r="615" spans="1: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</row>
    <row r="616" spans="1:1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</row>
    <row r="617" spans="1:1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</row>
    <row r="618" spans="1:1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</row>
    <row r="619" spans="1:1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</row>
    <row r="620" spans="1:1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</row>
    <row r="621" spans="1:1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</row>
    <row r="622" spans="1:1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</row>
    <row r="623" spans="1:1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</row>
    <row r="624" spans="1:1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</row>
    <row r="625" spans="1:1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</row>
    <row r="626" spans="1:1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</row>
    <row r="627" spans="1:1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</row>
    <row r="628" spans="1:1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</row>
    <row r="629" spans="1:1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</row>
    <row r="630" spans="1:1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</row>
    <row r="631" spans="1:1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</row>
    <row r="632" spans="1:1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</row>
    <row r="633" spans="1:1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</row>
    <row r="634" spans="1:1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</row>
    <row r="635" spans="1:1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</row>
    <row r="636" spans="1:1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</row>
    <row r="637" spans="1:1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</row>
    <row r="638" spans="1:1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</row>
    <row r="639" spans="1:1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</row>
    <row r="640" spans="1:1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</row>
    <row r="641" spans="1:1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</row>
    <row r="642" spans="1:1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</row>
    <row r="643" spans="1:1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</row>
    <row r="644" spans="1:1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</row>
    <row r="645" spans="1:1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</row>
    <row r="646" spans="1:1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</row>
    <row r="647" spans="1:1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</row>
    <row r="648" spans="1:1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</row>
    <row r="649" spans="1:1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</row>
    <row r="650" spans="1:1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</row>
    <row r="651" spans="1:1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</row>
    <row r="652" spans="1:1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</row>
    <row r="653" spans="1:1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</row>
    <row r="654" spans="1:1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</row>
    <row r="655" spans="1:1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</row>
    <row r="656" spans="1:1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</row>
    <row r="657" spans="1:1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</row>
    <row r="658" spans="1:1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</row>
    <row r="659" spans="1:1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</row>
    <row r="660" spans="1:1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</row>
    <row r="661" spans="1:1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</row>
    <row r="662" spans="1:1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</row>
    <row r="663" spans="1:1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</row>
    <row r="664" spans="1:1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</row>
    <row r="665" spans="1:1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</row>
    <row r="666" spans="1:1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</row>
    <row r="667" spans="1:1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</row>
    <row r="668" spans="1:1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</row>
    <row r="669" spans="1:1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</row>
    <row r="670" spans="1:1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</row>
    <row r="671" spans="1:1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</row>
    <row r="672" spans="1:1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</row>
    <row r="673" spans="1:1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</row>
    <row r="674" spans="1:1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</row>
    <row r="675" spans="1:1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</row>
    <row r="676" spans="1:1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</row>
    <row r="677" spans="1:1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</row>
    <row r="678" spans="1:1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</row>
    <row r="679" spans="1:1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</row>
    <row r="680" spans="1:1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</row>
    <row r="681" spans="1:1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</row>
    <row r="682" spans="1:1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</row>
    <row r="683" spans="1:1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</row>
    <row r="684" spans="1:1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</row>
    <row r="685" spans="1:1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</row>
    <row r="686" spans="1:1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</row>
    <row r="687" spans="1:1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</row>
    <row r="688" spans="1:1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</row>
    <row r="689" spans="1:1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</row>
    <row r="690" spans="1:1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</row>
    <row r="691" spans="1:1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</row>
    <row r="692" spans="1:1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</row>
    <row r="693" spans="1:1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</row>
    <row r="694" spans="1:1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</row>
    <row r="695" spans="1:1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</row>
    <row r="696" spans="1:1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</row>
    <row r="697" spans="1:1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</row>
    <row r="698" spans="1:1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</row>
    <row r="699" spans="1:1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</row>
    <row r="700" spans="1:1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</row>
    <row r="701" spans="1:1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</row>
    <row r="702" spans="1:1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</row>
    <row r="703" spans="1:1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</row>
    <row r="704" spans="1:1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</row>
    <row r="705" spans="1:1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</row>
    <row r="706" spans="1:1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</row>
    <row r="707" spans="1:1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</row>
    <row r="708" spans="1:1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</row>
    <row r="709" spans="1:1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</row>
    <row r="710" spans="1:1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</row>
    <row r="711" spans="1:1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</row>
    <row r="712" spans="1:1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</row>
    <row r="713" spans="1:1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</row>
    <row r="714" spans="1:1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</row>
    <row r="715" spans="1: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</row>
    <row r="716" spans="1:1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</row>
    <row r="717" spans="1:1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</row>
    <row r="718" spans="1:1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</row>
    <row r="719" spans="1:1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</row>
    <row r="720" spans="1:1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</row>
    <row r="721" spans="1:1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</row>
    <row r="722" spans="1:1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</row>
    <row r="723" spans="1:1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</row>
    <row r="724" spans="1:1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</row>
    <row r="725" spans="1:1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</row>
    <row r="726" spans="1:1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</row>
    <row r="727" spans="1:1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</row>
    <row r="728" spans="1:1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</row>
    <row r="729" spans="1:1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</row>
    <row r="730" spans="1:1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</row>
    <row r="731" spans="1:1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</row>
    <row r="732" spans="1:1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</row>
    <row r="733" spans="1:1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</row>
    <row r="734" spans="1:1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</row>
    <row r="735" spans="1:1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</row>
    <row r="736" spans="1:1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</row>
    <row r="737" spans="1:1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</row>
    <row r="738" spans="1:1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</row>
    <row r="739" spans="1:1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</row>
    <row r="740" spans="1:1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</row>
    <row r="741" spans="1:1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</row>
    <row r="742" spans="1:1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</row>
    <row r="743" spans="1:1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</row>
    <row r="744" spans="1:1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</row>
    <row r="745" spans="1:1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</row>
    <row r="746" spans="1:1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</row>
    <row r="747" spans="1:1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</row>
    <row r="748" spans="1:1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</row>
    <row r="749" spans="1:1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</row>
    <row r="750" spans="1:1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</row>
    <row r="751" spans="1:1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</row>
    <row r="752" spans="1:1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</row>
    <row r="753" spans="1:1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</row>
    <row r="754" spans="1:1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</row>
    <row r="755" spans="1:1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</row>
    <row r="756" spans="1:1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</row>
    <row r="757" spans="1:1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</row>
    <row r="758" spans="1:1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</row>
    <row r="759" spans="1:1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</row>
    <row r="760" spans="1:1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</row>
    <row r="761" spans="1:1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</row>
    <row r="762" spans="1:1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</row>
    <row r="763" spans="1:1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</row>
    <row r="764" spans="1:1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</row>
    <row r="765" spans="1:1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</row>
    <row r="766" spans="1:1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</row>
    <row r="767" spans="1:1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</row>
    <row r="768" spans="1:1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</row>
    <row r="769" spans="1:1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</row>
    <row r="770" spans="1:1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</row>
    <row r="771" spans="1:1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</row>
    <row r="772" spans="1:1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</row>
    <row r="773" spans="1:1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</row>
    <row r="774" spans="1:1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</row>
    <row r="775" spans="1:1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</row>
    <row r="776" spans="1:1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</row>
    <row r="777" spans="1:1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</row>
    <row r="778" spans="1:1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</row>
    <row r="779" spans="1:1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</row>
    <row r="780" spans="1:1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</row>
    <row r="781" spans="1:1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</row>
    <row r="782" spans="1:1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</row>
    <row r="783" spans="1:1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</row>
    <row r="784" spans="1:1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</row>
    <row r="785" spans="1:1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</row>
    <row r="786" spans="1:1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</row>
    <row r="787" spans="1:1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</row>
    <row r="788" spans="1:1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</row>
    <row r="789" spans="1:1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</row>
    <row r="790" spans="1:1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</row>
    <row r="791" spans="1:1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</row>
    <row r="792" spans="1:1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</row>
    <row r="793" spans="1:1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</row>
    <row r="794" spans="1:1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</row>
    <row r="795" spans="1:1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</row>
    <row r="796" spans="1:1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</row>
    <row r="797" spans="1:1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</row>
    <row r="798" spans="1:1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</row>
    <row r="799" spans="1:1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</row>
    <row r="800" spans="1:1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</row>
    <row r="801" spans="1:1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</row>
    <row r="802" spans="1:1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</row>
    <row r="803" spans="1:1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</row>
    <row r="804" spans="1:1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</row>
    <row r="805" spans="1:1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</row>
    <row r="806" spans="1:1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</row>
    <row r="807" spans="1:1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</row>
    <row r="808" spans="1:1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</row>
    <row r="809" spans="1:1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</row>
    <row r="810" spans="1:1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</row>
    <row r="811" spans="1:1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</row>
    <row r="812" spans="1:1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</row>
    <row r="813" spans="1:1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</row>
    <row r="814" spans="1:1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</row>
    <row r="815" spans="1: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</row>
    <row r="816" spans="1:1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</row>
    <row r="817" spans="1:1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</row>
    <row r="818" spans="1:1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</row>
    <row r="819" spans="1:1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</row>
    <row r="820" spans="1:1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</row>
    <row r="821" spans="1:1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</row>
    <row r="822" spans="1:1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</row>
    <row r="823" spans="1:1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</row>
    <row r="824" spans="1:1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</row>
    <row r="825" spans="1:1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</row>
    <row r="826" spans="1:1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</row>
    <row r="827" spans="1:1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</row>
    <row r="828" spans="1:1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</row>
    <row r="829" spans="1:1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</row>
    <row r="830" spans="1:1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</row>
    <row r="831" spans="1:1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</row>
    <row r="832" spans="1:1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</row>
    <row r="833" spans="1:1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</row>
    <row r="834" spans="1:1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</row>
    <row r="835" spans="1:1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</row>
    <row r="836" spans="1:1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</row>
    <row r="837" spans="1:1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</row>
    <row r="838" spans="1:1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</row>
    <row r="839" spans="1:1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</row>
    <row r="840" spans="1:1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</row>
    <row r="841" spans="1:1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</row>
    <row r="842" spans="1:1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</row>
    <row r="843" spans="1:1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</row>
    <row r="844" spans="1:1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</row>
    <row r="845" spans="1:1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</row>
    <row r="846" spans="1:1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</row>
    <row r="847" spans="1:1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</row>
    <row r="848" spans="1:1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</row>
    <row r="849" spans="1:1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</row>
    <row r="850" spans="1:1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</row>
    <row r="851" spans="1:1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</row>
    <row r="852" spans="1:1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</row>
    <row r="853" spans="1:1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</row>
    <row r="854" spans="1:1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</row>
    <row r="855" spans="1:1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</row>
    <row r="856" spans="1:1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</row>
    <row r="857" spans="1:1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</row>
    <row r="858" spans="1:1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</row>
    <row r="859" spans="1:1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</row>
    <row r="860" spans="1:1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</row>
    <row r="861" spans="1:1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</row>
    <row r="862" spans="1:1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</row>
    <row r="863" spans="1:1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</row>
    <row r="864" spans="1:1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</row>
    <row r="865" spans="1:1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</row>
    <row r="866" spans="1:1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</row>
    <row r="867" spans="1:1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</row>
    <row r="868" spans="1:1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</row>
    <row r="869" spans="1:1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</row>
    <row r="870" spans="1:1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</row>
    <row r="871" spans="1:1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</row>
    <row r="872" spans="1:1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</row>
    <row r="873" spans="1:1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</row>
    <row r="874" spans="1:1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</row>
    <row r="875" spans="1:1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</row>
    <row r="876" spans="1:1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</row>
    <row r="877" spans="1:1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</row>
    <row r="878" spans="1:1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</row>
    <row r="879" spans="1:1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</row>
    <row r="880" spans="1:1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</row>
    <row r="881" spans="1:1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</row>
    <row r="882" spans="1:1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</row>
    <row r="883" spans="1:1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</row>
    <row r="884" spans="1:1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</row>
    <row r="885" spans="1:1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</row>
    <row r="886" spans="1:1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</row>
    <row r="887" spans="1:1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</row>
    <row r="888" spans="1:1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</row>
    <row r="889" spans="1:1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</row>
    <row r="890" spans="1:1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</row>
    <row r="891" spans="1:1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</row>
    <row r="892" spans="1:1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</row>
    <row r="893" spans="1:1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</row>
    <row r="894" spans="1:1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</row>
    <row r="895" spans="1:1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</row>
    <row r="896" spans="1:1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</row>
    <row r="897" spans="1:1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</row>
    <row r="898" spans="1:1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</row>
    <row r="899" spans="1:1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</row>
    <row r="900" spans="1:1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</row>
    <row r="901" spans="1:1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</row>
    <row r="902" spans="1:1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</row>
    <row r="903" spans="1:1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</row>
    <row r="904" spans="1:1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</row>
    <row r="905" spans="1:1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</row>
    <row r="906" spans="1:1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</row>
    <row r="907" spans="1:1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</row>
    <row r="908" spans="1:1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</row>
    <row r="909" spans="1:1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</row>
    <row r="910" spans="1:1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</row>
    <row r="911" spans="1:1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</row>
    <row r="912" spans="1:1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</row>
    <row r="913" spans="1:1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</row>
    <row r="914" spans="1:1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</row>
    <row r="915" spans="1: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</row>
    <row r="916" spans="1:1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</row>
    <row r="917" spans="1:1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</row>
    <row r="918" spans="1:1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</row>
    <row r="919" spans="1:1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</row>
    <row r="920" spans="1:1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</row>
    <row r="921" spans="1:1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</row>
    <row r="922" spans="1:1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</row>
    <row r="923" spans="1:1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</row>
    <row r="924" spans="1:1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</row>
    <row r="925" spans="1:1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</row>
    <row r="926" spans="1:1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</row>
    <row r="927" spans="1:1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</row>
    <row r="928" spans="1:1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</row>
    <row r="929" spans="1:1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</row>
    <row r="930" spans="1:1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</row>
    <row r="931" spans="1:1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</row>
    <row r="932" spans="1:1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</row>
    <row r="933" spans="1:1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</row>
    <row r="934" spans="1:1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</row>
    <row r="935" spans="1:1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</row>
    <row r="936" spans="1:1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</row>
    <row r="937" spans="1:1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</row>
    <row r="938" spans="1:1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</row>
    <row r="939" spans="1:1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</row>
    <row r="940" spans="1:1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</row>
    <row r="941" spans="1:1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</row>
    <row r="942" spans="1:1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</row>
    <row r="943" spans="1:1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</row>
    <row r="944" spans="1:1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</row>
    <row r="945" spans="1:1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</row>
    <row r="946" spans="1:1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</row>
    <row r="947" spans="1:1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</row>
    <row r="948" spans="1:1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</row>
    <row r="949" spans="1:1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</row>
    <row r="950" spans="1:1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</row>
    <row r="951" spans="1:1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</row>
    <row r="952" spans="1:1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</row>
    <row r="953" spans="1:1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</row>
    <row r="954" spans="1:1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</row>
    <row r="955" spans="1:1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</row>
    <row r="956" spans="1:1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</row>
    <row r="957" spans="1:1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</row>
    <row r="958" spans="1:1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</row>
    <row r="959" spans="1:1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</row>
    <row r="960" spans="1:1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</row>
    <row r="961" spans="1:1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</row>
    <row r="962" spans="1:1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</row>
    <row r="963" spans="1:1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</row>
    <row r="964" spans="1:1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</row>
    <row r="965" spans="1:1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</row>
    <row r="966" spans="1:1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</row>
    <row r="967" spans="1:1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</row>
    <row r="968" spans="1:1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</row>
    <row r="969" spans="1:1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</row>
    <row r="970" spans="1:1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</row>
    <row r="971" spans="1:1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</row>
    <row r="972" spans="1:1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</row>
    <row r="973" spans="1:1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</row>
    <row r="974" spans="1:1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</row>
    <row r="975" spans="1:1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</row>
    <row r="976" spans="1:1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</row>
    <row r="977" spans="1:1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</row>
    <row r="978" spans="1:1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</row>
    <row r="979" spans="1:1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</row>
    <row r="980" spans="1:1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</row>
    <row r="981" spans="1:1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</row>
    <row r="982" spans="1:1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</row>
    <row r="983" spans="1:1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</row>
    <row r="984" spans="1:1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</row>
    <row r="985" spans="1:1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</row>
    <row r="986" spans="1:1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</row>
    <row r="987" spans="1:1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</row>
    <row r="988" spans="1:1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</row>
    <row r="989" spans="1:1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</row>
    <row r="990" spans="1:1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</row>
    <row r="991" spans="1:1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</row>
    <row r="992" spans="1:1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</row>
    <row r="993" spans="1:1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</row>
    <row r="994" spans="1:1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</row>
    <row r="995" spans="1:1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</row>
    <row r="996" spans="1:1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</row>
    <row r="997" spans="1:1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</row>
    <row r="998" spans="1:1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</row>
    <row r="999" spans="1:1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</row>
    <row r="1000" spans="1:1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E991"/>
  <sheetViews>
    <sheetView showGridLines="0" workbookViewId="0"/>
  </sheetViews>
  <sheetFormatPr defaultColWidth="12.5703125" defaultRowHeight="15.75" customHeight="1"/>
  <cols>
    <col min="4" max="4" width="34.85546875" customWidth="1"/>
  </cols>
  <sheetData>
    <row r="1" spans="2:5">
      <c r="E1" s="23"/>
    </row>
    <row r="2" spans="2:5" ht="15.75" customHeight="1">
      <c r="B2" s="70" t="s">
        <v>283</v>
      </c>
      <c r="E2" s="23"/>
    </row>
    <row r="3" spans="2:5">
      <c r="B3" s="71" t="s">
        <v>284</v>
      </c>
      <c r="E3" s="23"/>
    </row>
    <row r="4" spans="2:5">
      <c r="B4" s="71" t="s">
        <v>285</v>
      </c>
      <c r="E4" s="23"/>
    </row>
    <row r="5" spans="2:5">
      <c r="B5" s="71" t="s">
        <v>286</v>
      </c>
      <c r="E5" s="23"/>
    </row>
    <row r="6" spans="2:5">
      <c r="E6" s="23"/>
    </row>
    <row r="7" spans="2:5" ht="15.75" customHeight="1">
      <c r="B7" s="72" t="s">
        <v>287</v>
      </c>
      <c r="E7" s="23"/>
    </row>
    <row r="8" spans="2:5" ht="15.75" customHeight="1">
      <c r="B8" s="73" t="s">
        <v>288</v>
      </c>
      <c r="C8" s="73" t="s">
        <v>277</v>
      </c>
      <c r="D8" s="74" t="s">
        <v>289</v>
      </c>
      <c r="E8" s="73" t="s">
        <v>279</v>
      </c>
    </row>
    <row r="9" spans="2:5">
      <c r="B9" s="75" t="s">
        <v>290</v>
      </c>
      <c r="C9" s="75" t="s">
        <v>290</v>
      </c>
      <c r="D9" s="76" t="s">
        <v>291</v>
      </c>
      <c r="E9" s="75" t="s">
        <v>292</v>
      </c>
    </row>
    <row r="10" spans="2:5">
      <c r="B10" s="75" t="s">
        <v>290</v>
      </c>
      <c r="C10" s="75" t="s">
        <v>293</v>
      </c>
      <c r="D10" s="76" t="s">
        <v>294</v>
      </c>
      <c r="E10" s="75" t="s">
        <v>295</v>
      </c>
    </row>
    <row r="11" spans="2:5">
      <c r="B11" s="75" t="s">
        <v>296</v>
      </c>
      <c r="C11" s="75" t="s">
        <v>297</v>
      </c>
      <c r="D11" s="76" t="s">
        <v>298</v>
      </c>
      <c r="E11" s="75" t="s">
        <v>299</v>
      </c>
    </row>
    <row r="12" spans="2:5">
      <c r="B12" s="75" t="s">
        <v>300</v>
      </c>
      <c r="C12" s="75" t="s">
        <v>301</v>
      </c>
      <c r="D12" s="76" t="s">
        <v>302</v>
      </c>
      <c r="E12" s="75" t="s">
        <v>295</v>
      </c>
    </row>
    <row r="13" spans="2:5">
      <c r="B13" s="75" t="s">
        <v>290</v>
      </c>
      <c r="C13" s="77" t="s">
        <v>303</v>
      </c>
      <c r="D13" s="76" t="s">
        <v>304</v>
      </c>
      <c r="E13" s="75" t="s">
        <v>305</v>
      </c>
    </row>
    <row r="14" spans="2:5">
      <c r="E14" s="23"/>
    </row>
    <row r="15" spans="2:5">
      <c r="E15" s="23"/>
    </row>
    <row r="16" spans="2:5">
      <c r="E16" s="23"/>
    </row>
    <row r="17" spans="5:5">
      <c r="E17" s="23"/>
    </row>
    <row r="18" spans="5:5">
      <c r="E18" s="23"/>
    </row>
    <row r="19" spans="5:5">
      <c r="E19" s="23"/>
    </row>
    <row r="20" spans="5:5">
      <c r="E20" s="23"/>
    </row>
    <row r="21" spans="5:5">
      <c r="E21" s="23"/>
    </row>
    <row r="22" spans="5:5">
      <c r="E22" s="23"/>
    </row>
    <row r="23" spans="5:5">
      <c r="E23" s="23"/>
    </row>
    <row r="24" spans="5:5">
      <c r="E24" s="23"/>
    </row>
    <row r="25" spans="5:5">
      <c r="E25" s="23"/>
    </row>
    <row r="26" spans="5:5">
      <c r="E26" s="23"/>
    </row>
    <row r="27" spans="5:5">
      <c r="E27" s="23"/>
    </row>
    <row r="28" spans="5:5">
      <c r="E28" s="23"/>
    </row>
    <row r="29" spans="5:5">
      <c r="E29" s="23"/>
    </row>
    <row r="30" spans="5:5">
      <c r="E30" s="23"/>
    </row>
    <row r="31" spans="5:5">
      <c r="E31" s="23"/>
    </row>
    <row r="32" spans="5:5">
      <c r="E32" s="23"/>
    </row>
    <row r="33" spans="5:5">
      <c r="E33" s="23"/>
    </row>
    <row r="34" spans="5:5">
      <c r="E34" s="23"/>
    </row>
    <row r="35" spans="5:5">
      <c r="E35" s="23"/>
    </row>
    <row r="36" spans="5:5">
      <c r="E36" s="23"/>
    </row>
    <row r="37" spans="5:5" ht="12.75">
      <c r="E37" s="23"/>
    </row>
    <row r="38" spans="5:5" ht="12.75">
      <c r="E38" s="23"/>
    </row>
    <row r="39" spans="5:5" ht="12.75">
      <c r="E39" s="23"/>
    </row>
    <row r="40" spans="5:5" ht="12.75">
      <c r="E40" s="23"/>
    </row>
    <row r="41" spans="5:5" ht="12.75">
      <c r="E41" s="23"/>
    </row>
    <row r="42" spans="5:5" ht="12.75">
      <c r="E42" s="23"/>
    </row>
    <row r="43" spans="5:5" ht="12.75">
      <c r="E43" s="23"/>
    </row>
    <row r="44" spans="5:5" ht="12.75">
      <c r="E44" s="23"/>
    </row>
    <row r="45" spans="5:5" ht="12.75">
      <c r="E45" s="23"/>
    </row>
    <row r="46" spans="5:5" ht="12.75">
      <c r="E46" s="23"/>
    </row>
    <row r="47" spans="5:5" ht="12.75">
      <c r="E47" s="23"/>
    </row>
    <row r="48" spans="5:5" ht="12.75">
      <c r="E48" s="23"/>
    </row>
    <row r="49" spans="5:5" ht="12.75">
      <c r="E49" s="23"/>
    </row>
    <row r="50" spans="5:5" ht="12.75">
      <c r="E50" s="23"/>
    </row>
    <row r="51" spans="5:5" ht="12.75">
      <c r="E51" s="23"/>
    </row>
    <row r="52" spans="5:5" ht="12.75">
      <c r="E52" s="23"/>
    </row>
    <row r="53" spans="5:5" ht="12.75">
      <c r="E53" s="23"/>
    </row>
    <row r="54" spans="5:5" ht="12.75">
      <c r="E54" s="23"/>
    </row>
    <row r="55" spans="5:5" ht="12.75">
      <c r="E55" s="23"/>
    </row>
    <row r="56" spans="5:5" ht="12.75">
      <c r="E56" s="23"/>
    </row>
    <row r="57" spans="5:5" ht="12.75">
      <c r="E57" s="23"/>
    </row>
    <row r="58" spans="5:5" ht="12.75">
      <c r="E58" s="23"/>
    </row>
    <row r="59" spans="5:5" ht="12.75">
      <c r="E59" s="23"/>
    </row>
    <row r="60" spans="5:5" ht="12.75">
      <c r="E60" s="23"/>
    </row>
    <row r="61" spans="5:5" ht="12.75">
      <c r="E61" s="23"/>
    </row>
    <row r="62" spans="5:5" ht="12.75">
      <c r="E62" s="23"/>
    </row>
    <row r="63" spans="5:5" ht="12.75">
      <c r="E63" s="23"/>
    </row>
    <row r="64" spans="5:5" ht="12.75">
      <c r="E64" s="23"/>
    </row>
    <row r="65" spans="5:5" ht="12.75">
      <c r="E65" s="23"/>
    </row>
    <row r="66" spans="5:5" ht="12.75">
      <c r="E66" s="23"/>
    </row>
    <row r="67" spans="5:5" ht="12.75">
      <c r="E67" s="23"/>
    </row>
    <row r="68" spans="5:5" ht="12.75">
      <c r="E68" s="23"/>
    </row>
    <row r="69" spans="5:5" ht="12.75">
      <c r="E69" s="23"/>
    </row>
    <row r="70" spans="5:5" ht="12.75">
      <c r="E70" s="23"/>
    </row>
    <row r="71" spans="5:5" ht="12.75">
      <c r="E71" s="23"/>
    </row>
    <row r="72" spans="5:5" ht="12.75">
      <c r="E72" s="23"/>
    </row>
    <row r="73" spans="5:5" ht="12.75">
      <c r="E73" s="23"/>
    </row>
    <row r="74" spans="5:5" ht="12.75">
      <c r="E74" s="23"/>
    </row>
    <row r="75" spans="5:5" ht="12.75">
      <c r="E75" s="23"/>
    </row>
    <row r="76" spans="5:5" ht="12.75">
      <c r="E76" s="23"/>
    </row>
    <row r="77" spans="5:5" ht="12.75">
      <c r="E77" s="23"/>
    </row>
    <row r="78" spans="5:5" ht="12.75">
      <c r="E78" s="23"/>
    </row>
    <row r="79" spans="5:5" ht="12.75">
      <c r="E79" s="23"/>
    </row>
    <row r="80" spans="5:5" ht="12.75">
      <c r="E80" s="23"/>
    </row>
    <row r="81" spans="5:5" ht="12.75">
      <c r="E81" s="23"/>
    </row>
    <row r="82" spans="5:5" ht="12.75">
      <c r="E82" s="23"/>
    </row>
    <row r="83" spans="5:5" ht="12.75">
      <c r="E83" s="23"/>
    </row>
    <row r="84" spans="5:5" ht="12.75">
      <c r="E84" s="23"/>
    </row>
    <row r="85" spans="5:5" ht="12.75">
      <c r="E85" s="23"/>
    </row>
    <row r="86" spans="5:5" ht="12.75">
      <c r="E86" s="23"/>
    </row>
    <row r="87" spans="5:5" ht="12.75">
      <c r="E87" s="23"/>
    </row>
    <row r="88" spans="5:5" ht="12.75">
      <c r="E88" s="23"/>
    </row>
    <row r="89" spans="5:5" ht="12.75">
      <c r="E89" s="23"/>
    </row>
    <row r="90" spans="5:5" ht="12.75">
      <c r="E90" s="23"/>
    </row>
    <row r="91" spans="5:5" ht="12.75">
      <c r="E91" s="23"/>
    </row>
    <row r="92" spans="5:5" ht="12.75">
      <c r="E92" s="23"/>
    </row>
    <row r="93" spans="5:5" ht="12.75">
      <c r="E93" s="23"/>
    </row>
    <row r="94" spans="5:5" ht="12.75">
      <c r="E94" s="23"/>
    </row>
    <row r="95" spans="5:5" ht="12.75">
      <c r="E95" s="23"/>
    </row>
    <row r="96" spans="5:5" ht="12.75">
      <c r="E96" s="23"/>
    </row>
    <row r="97" spans="5:5" ht="12.75">
      <c r="E97" s="23"/>
    </row>
    <row r="98" spans="5:5" ht="12.75">
      <c r="E98" s="23"/>
    </row>
    <row r="99" spans="5:5" ht="12.75">
      <c r="E99" s="23"/>
    </row>
    <row r="100" spans="5:5" ht="12.75">
      <c r="E100" s="23"/>
    </row>
    <row r="101" spans="5:5" ht="12.75">
      <c r="E101" s="23"/>
    </row>
    <row r="102" spans="5:5" ht="12.75">
      <c r="E102" s="23"/>
    </row>
    <row r="103" spans="5:5" ht="12.75">
      <c r="E103" s="23"/>
    </row>
    <row r="104" spans="5:5" ht="12.75">
      <c r="E104" s="23"/>
    </row>
    <row r="105" spans="5:5" ht="12.75">
      <c r="E105" s="23"/>
    </row>
    <row r="106" spans="5:5" ht="12.75">
      <c r="E106" s="23"/>
    </row>
    <row r="107" spans="5:5" ht="12.75">
      <c r="E107" s="23"/>
    </row>
    <row r="108" spans="5:5" ht="12.75">
      <c r="E108" s="23"/>
    </row>
    <row r="109" spans="5:5" ht="12.75">
      <c r="E109" s="23"/>
    </row>
    <row r="110" spans="5:5" ht="12.75">
      <c r="E110" s="23"/>
    </row>
    <row r="111" spans="5:5" ht="12.75">
      <c r="E111" s="23"/>
    </row>
    <row r="112" spans="5:5" ht="12.75">
      <c r="E112" s="23"/>
    </row>
    <row r="113" spans="5:5" ht="12.75">
      <c r="E113" s="23"/>
    </row>
    <row r="114" spans="5:5" ht="12.75">
      <c r="E114" s="23"/>
    </row>
    <row r="115" spans="5:5" ht="12.75">
      <c r="E115" s="23"/>
    </row>
    <row r="116" spans="5:5" ht="12.75">
      <c r="E116" s="23"/>
    </row>
    <row r="117" spans="5:5" ht="12.75">
      <c r="E117" s="23"/>
    </row>
    <row r="118" spans="5:5" ht="12.75">
      <c r="E118" s="23"/>
    </row>
    <row r="119" spans="5:5" ht="12.75">
      <c r="E119" s="23"/>
    </row>
    <row r="120" spans="5:5" ht="12.75">
      <c r="E120" s="23"/>
    </row>
    <row r="121" spans="5:5" ht="12.75">
      <c r="E121" s="23"/>
    </row>
    <row r="122" spans="5:5" ht="12.75">
      <c r="E122" s="23"/>
    </row>
    <row r="123" spans="5:5" ht="12.75">
      <c r="E123" s="23"/>
    </row>
    <row r="124" spans="5:5" ht="12.75">
      <c r="E124" s="23"/>
    </row>
    <row r="125" spans="5:5" ht="12.75">
      <c r="E125" s="23"/>
    </row>
    <row r="126" spans="5:5" ht="12.75">
      <c r="E126" s="23"/>
    </row>
    <row r="127" spans="5:5" ht="12.75">
      <c r="E127" s="23"/>
    </row>
    <row r="128" spans="5:5" ht="12.75">
      <c r="E128" s="23"/>
    </row>
    <row r="129" spans="5:5" ht="12.75">
      <c r="E129" s="23"/>
    </row>
    <row r="130" spans="5:5" ht="12.75">
      <c r="E130" s="23"/>
    </row>
    <row r="131" spans="5:5" ht="12.75">
      <c r="E131" s="23"/>
    </row>
    <row r="132" spans="5:5" ht="12.75">
      <c r="E132" s="23"/>
    </row>
    <row r="133" spans="5:5" ht="12.75">
      <c r="E133" s="23"/>
    </row>
    <row r="134" spans="5:5" ht="12.75">
      <c r="E134" s="23"/>
    </row>
    <row r="135" spans="5:5" ht="12.75">
      <c r="E135" s="23"/>
    </row>
    <row r="136" spans="5:5" ht="12.75">
      <c r="E136" s="23"/>
    </row>
    <row r="137" spans="5:5" ht="12.75">
      <c r="E137" s="23"/>
    </row>
    <row r="138" spans="5:5" ht="12.75">
      <c r="E138" s="23"/>
    </row>
    <row r="139" spans="5:5" ht="12.75">
      <c r="E139" s="23"/>
    </row>
    <row r="140" spans="5:5" ht="12.75">
      <c r="E140" s="23"/>
    </row>
    <row r="141" spans="5:5" ht="12.75">
      <c r="E141" s="23"/>
    </row>
    <row r="142" spans="5:5" ht="12.75">
      <c r="E142" s="23"/>
    </row>
    <row r="143" spans="5:5" ht="12.75">
      <c r="E143" s="23"/>
    </row>
    <row r="144" spans="5:5" ht="12.75">
      <c r="E144" s="23"/>
    </row>
    <row r="145" spans="5:5" ht="12.75">
      <c r="E145" s="23"/>
    </row>
    <row r="146" spans="5:5" ht="12.75">
      <c r="E146" s="23"/>
    </row>
    <row r="147" spans="5:5" ht="12.75">
      <c r="E147" s="23"/>
    </row>
    <row r="148" spans="5:5" ht="12.75">
      <c r="E148" s="23"/>
    </row>
    <row r="149" spans="5:5" ht="12.75">
      <c r="E149" s="23"/>
    </row>
    <row r="150" spans="5:5" ht="12.75">
      <c r="E150" s="23"/>
    </row>
    <row r="151" spans="5:5" ht="12.75">
      <c r="E151" s="23"/>
    </row>
    <row r="152" spans="5:5" ht="12.75">
      <c r="E152" s="23"/>
    </row>
    <row r="153" spans="5:5" ht="12.75">
      <c r="E153" s="23"/>
    </row>
    <row r="154" spans="5:5" ht="12.75">
      <c r="E154" s="23"/>
    </row>
    <row r="155" spans="5:5" ht="12.75">
      <c r="E155" s="23"/>
    </row>
    <row r="156" spans="5:5" ht="12.75">
      <c r="E156" s="23"/>
    </row>
    <row r="157" spans="5:5" ht="12.75">
      <c r="E157" s="23"/>
    </row>
    <row r="158" spans="5:5" ht="12.75">
      <c r="E158" s="23"/>
    </row>
    <row r="159" spans="5:5" ht="12.75">
      <c r="E159" s="23"/>
    </row>
    <row r="160" spans="5:5" ht="12.75">
      <c r="E160" s="23"/>
    </row>
    <row r="161" spans="5:5" ht="12.75">
      <c r="E161" s="23"/>
    </row>
    <row r="162" spans="5:5" ht="12.75">
      <c r="E162" s="23"/>
    </row>
    <row r="163" spans="5:5" ht="12.75">
      <c r="E163" s="23"/>
    </row>
    <row r="164" spans="5:5" ht="12.75">
      <c r="E164" s="23"/>
    </row>
    <row r="165" spans="5:5" ht="12.75">
      <c r="E165" s="23"/>
    </row>
    <row r="166" spans="5:5" ht="12.75">
      <c r="E166" s="23"/>
    </row>
    <row r="167" spans="5:5" ht="12.75">
      <c r="E167" s="23"/>
    </row>
    <row r="168" spans="5:5" ht="12.75">
      <c r="E168" s="23"/>
    </row>
    <row r="169" spans="5:5" ht="12.75">
      <c r="E169" s="23"/>
    </row>
    <row r="170" spans="5:5" ht="12.75">
      <c r="E170" s="23"/>
    </row>
    <row r="171" spans="5:5" ht="12.75">
      <c r="E171" s="23"/>
    </row>
    <row r="172" spans="5:5" ht="12.75">
      <c r="E172" s="23"/>
    </row>
    <row r="173" spans="5:5" ht="12.75">
      <c r="E173" s="23"/>
    </row>
    <row r="174" spans="5:5" ht="12.75">
      <c r="E174" s="23"/>
    </row>
    <row r="175" spans="5:5" ht="12.75">
      <c r="E175" s="23"/>
    </row>
    <row r="176" spans="5:5" ht="12.75">
      <c r="E176" s="23"/>
    </row>
    <row r="177" spans="5:5" ht="12.75">
      <c r="E177" s="23"/>
    </row>
    <row r="178" spans="5:5" ht="12.75">
      <c r="E178" s="23"/>
    </row>
    <row r="179" spans="5:5" ht="12.75">
      <c r="E179" s="23"/>
    </row>
    <row r="180" spans="5:5" ht="12.75">
      <c r="E180" s="23"/>
    </row>
    <row r="181" spans="5:5" ht="12.75">
      <c r="E181" s="23"/>
    </row>
    <row r="182" spans="5:5" ht="12.75">
      <c r="E182" s="23"/>
    </row>
    <row r="183" spans="5:5" ht="12.75">
      <c r="E183" s="23"/>
    </row>
    <row r="184" spans="5:5" ht="12.75">
      <c r="E184" s="23"/>
    </row>
    <row r="185" spans="5:5" ht="12.75">
      <c r="E185" s="23"/>
    </row>
    <row r="186" spans="5:5" ht="12.75">
      <c r="E186" s="23"/>
    </row>
    <row r="187" spans="5:5" ht="12.75">
      <c r="E187" s="23"/>
    </row>
    <row r="188" spans="5:5" ht="12.75">
      <c r="E188" s="23"/>
    </row>
    <row r="189" spans="5:5" ht="12.75">
      <c r="E189" s="23"/>
    </row>
    <row r="190" spans="5:5" ht="12.75">
      <c r="E190" s="23"/>
    </row>
    <row r="191" spans="5:5" ht="12.75">
      <c r="E191" s="23"/>
    </row>
    <row r="192" spans="5:5" ht="12.75">
      <c r="E192" s="23"/>
    </row>
    <row r="193" spans="5:5" ht="12.75">
      <c r="E193" s="23"/>
    </row>
    <row r="194" spans="5:5" ht="12.75">
      <c r="E194" s="23"/>
    </row>
    <row r="195" spans="5:5" ht="12.75">
      <c r="E195" s="23"/>
    </row>
    <row r="196" spans="5:5" ht="12.75">
      <c r="E196" s="23"/>
    </row>
    <row r="197" spans="5:5" ht="12.75">
      <c r="E197" s="23"/>
    </row>
    <row r="198" spans="5:5" ht="12.75">
      <c r="E198" s="23"/>
    </row>
    <row r="199" spans="5:5" ht="12.75">
      <c r="E199" s="23"/>
    </row>
    <row r="200" spans="5:5" ht="12.75">
      <c r="E200" s="23"/>
    </row>
    <row r="201" spans="5:5" ht="12.75">
      <c r="E201" s="23"/>
    </row>
    <row r="202" spans="5:5" ht="12.75">
      <c r="E202" s="23"/>
    </row>
    <row r="203" spans="5:5" ht="12.75">
      <c r="E203" s="23"/>
    </row>
    <row r="204" spans="5:5" ht="12.75">
      <c r="E204" s="23"/>
    </row>
    <row r="205" spans="5:5" ht="12.75">
      <c r="E205" s="23"/>
    </row>
    <row r="206" spans="5:5" ht="12.75">
      <c r="E206" s="23"/>
    </row>
    <row r="207" spans="5:5" ht="12.75">
      <c r="E207" s="23"/>
    </row>
    <row r="208" spans="5:5" ht="12.75">
      <c r="E208" s="23"/>
    </row>
    <row r="209" spans="5:5" ht="12.75">
      <c r="E209" s="23"/>
    </row>
    <row r="210" spans="5:5" ht="12.75">
      <c r="E210" s="23"/>
    </row>
    <row r="211" spans="5:5" ht="12.75">
      <c r="E211" s="23"/>
    </row>
    <row r="212" spans="5:5" ht="12.75">
      <c r="E212" s="23"/>
    </row>
    <row r="213" spans="5:5" ht="12.75">
      <c r="E213" s="23"/>
    </row>
    <row r="214" spans="5:5" ht="12.75">
      <c r="E214" s="23"/>
    </row>
    <row r="215" spans="5:5" ht="12.75">
      <c r="E215" s="23"/>
    </row>
    <row r="216" spans="5:5" ht="12.75">
      <c r="E216" s="23"/>
    </row>
    <row r="217" spans="5:5" ht="12.75">
      <c r="E217" s="23"/>
    </row>
    <row r="218" spans="5:5" ht="12.75">
      <c r="E218" s="23"/>
    </row>
    <row r="219" spans="5:5" ht="12.75">
      <c r="E219" s="23"/>
    </row>
    <row r="220" spans="5:5" ht="12.75">
      <c r="E220" s="23"/>
    </row>
    <row r="221" spans="5:5" ht="12.75">
      <c r="E221" s="23"/>
    </row>
    <row r="222" spans="5:5" ht="12.75">
      <c r="E222" s="23"/>
    </row>
    <row r="223" spans="5:5" ht="12.75">
      <c r="E223" s="23"/>
    </row>
    <row r="224" spans="5:5" ht="12.75">
      <c r="E224" s="23"/>
    </row>
    <row r="225" spans="5:5" ht="12.75">
      <c r="E225" s="23"/>
    </row>
    <row r="226" spans="5:5" ht="12.75">
      <c r="E226" s="23"/>
    </row>
    <row r="227" spans="5:5" ht="12.75">
      <c r="E227" s="23"/>
    </row>
    <row r="228" spans="5:5" ht="12.75">
      <c r="E228" s="23"/>
    </row>
    <row r="229" spans="5:5" ht="12.75">
      <c r="E229" s="23"/>
    </row>
    <row r="230" spans="5:5" ht="12.75">
      <c r="E230" s="23"/>
    </row>
    <row r="231" spans="5:5" ht="12.75">
      <c r="E231" s="23"/>
    </row>
    <row r="232" spans="5:5" ht="12.75">
      <c r="E232" s="23"/>
    </row>
    <row r="233" spans="5:5" ht="12.75">
      <c r="E233" s="23"/>
    </row>
    <row r="234" spans="5:5" ht="12.75">
      <c r="E234" s="23"/>
    </row>
    <row r="235" spans="5:5" ht="12.75">
      <c r="E235" s="23"/>
    </row>
    <row r="236" spans="5:5" ht="12.75">
      <c r="E236" s="23"/>
    </row>
    <row r="237" spans="5:5" ht="12.75">
      <c r="E237" s="23"/>
    </row>
    <row r="238" spans="5:5" ht="12.75">
      <c r="E238" s="23"/>
    </row>
    <row r="239" spans="5:5" ht="12.75">
      <c r="E239" s="23"/>
    </row>
    <row r="240" spans="5:5" ht="12.75">
      <c r="E240" s="23"/>
    </row>
    <row r="241" spans="5:5" ht="12.75">
      <c r="E241" s="23"/>
    </row>
    <row r="242" spans="5:5" ht="12.75">
      <c r="E242" s="23"/>
    </row>
    <row r="243" spans="5:5" ht="12.75">
      <c r="E243" s="23"/>
    </row>
    <row r="244" spans="5:5" ht="12.75">
      <c r="E244" s="23"/>
    </row>
    <row r="245" spans="5:5" ht="12.75">
      <c r="E245" s="23"/>
    </row>
    <row r="246" spans="5:5" ht="12.75">
      <c r="E246" s="23"/>
    </row>
    <row r="247" spans="5:5" ht="12.75">
      <c r="E247" s="23"/>
    </row>
    <row r="248" spans="5:5" ht="12.75">
      <c r="E248" s="23"/>
    </row>
    <row r="249" spans="5:5" ht="12.75">
      <c r="E249" s="23"/>
    </row>
    <row r="250" spans="5:5" ht="12.75">
      <c r="E250" s="23"/>
    </row>
    <row r="251" spans="5:5" ht="12.75">
      <c r="E251" s="23"/>
    </row>
    <row r="252" spans="5:5" ht="12.75">
      <c r="E252" s="23"/>
    </row>
    <row r="253" spans="5:5" ht="12.75">
      <c r="E253" s="23"/>
    </row>
    <row r="254" spans="5:5" ht="12.75">
      <c r="E254" s="23"/>
    </row>
    <row r="255" spans="5:5" ht="12.75">
      <c r="E255" s="23"/>
    </row>
    <row r="256" spans="5:5" ht="12.75">
      <c r="E256" s="23"/>
    </row>
    <row r="257" spans="5:5" ht="12.75">
      <c r="E257" s="23"/>
    </row>
    <row r="258" spans="5:5" ht="12.75">
      <c r="E258" s="23"/>
    </row>
    <row r="259" spans="5:5" ht="12.75">
      <c r="E259" s="23"/>
    </row>
    <row r="260" spans="5:5" ht="12.75">
      <c r="E260" s="23"/>
    </row>
    <row r="261" spans="5:5" ht="12.75">
      <c r="E261" s="23"/>
    </row>
    <row r="262" spans="5:5" ht="12.75">
      <c r="E262" s="23"/>
    </row>
    <row r="263" spans="5:5" ht="12.75">
      <c r="E263" s="23"/>
    </row>
    <row r="264" spans="5:5" ht="12.75">
      <c r="E264" s="23"/>
    </row>
    <row r="265" spans="5:5" ht="12.75">
      <c r="E265" s="23"/>
    </row>
    <row r="266" spans="5:5" ht="12.75">
      <c r="E266" s="23"/>
    </row>
    <row r="267" spans="5:5" ht="12.75">
      <c r="E267" s="23"/>
    </row>
    <row r="268" spans="5:5" ht="12.75">
      <c r="E268" s="23"/>
    </row>
    <row r="269" spans="5:5" ht="12.75">
      <c r="E269" s="23"/>
    </row>
    <row r="270" spans="5:5" ht="12.75">
      <c r="E270" s="23"/>
    </row>
    <row r="271" spans="5:5" ht="12.75">
      <c r="E271" s="23"/>
    </row>
    <row r="272" spans="5:5" ht="12.75">
      <c r="E272" s="23"/>
    </row>
    <row r="273" spans="5:5" ht="12.75">
      <c r="E273" s="23"/>
    </row>
    <row r="274" spans="5:5" ht="12.75">
      <c r="E274" s="23"/>
    </row>
    <row r="275" spans="5:5" ht="12.75">
      <c r="E275" s="23"/>
    </row>
    <row r="276" spans="5:5" ht="12.75">
      <c r="E276" s="23"/>
    </row>
    <row r="277" spans="5:5" ht="12.75">
      <c r="E277" s="23"/>
    </row>
    <row r="278" spans="5:5" ht="12.75">
      <c r="E278" s="23"/>
    </row>
    <row r="279" spans="5:5" ht="12.75">
      <c r="E279" s="23"/>
    </row>
    <row r="280" spans="5:5" ht="12.75">
      <c r="E280" s="23"/>
    </row>
    <row r="281" spans="5:5" ht="12.75">
      <c r="E281" s="23"/>
    </row>
    <row r="282" spans="5:5" ht="12.75">
      <c r="E282" s="23"/>
    </row>
    <row r="283" spans="5:5" ht="12.75">
      <c r="E283" s="23"/>
    </row>
    <row r="284" spans="5:5" ht="12.75">
      <c r="E284" s="23"/>
    </row>
    <row r="285" spans="5:5" ht="12.75">
      <c r="E285" s="23"/>
    </row>
    <row r="286" spans="5:5" ht="12.75">
      <c r="E286" s="23"/>
    </row>
    <row r="287" spans="5:5" ht="12.75">
      <c r="E287" s="23"/>
    </row>
    <row r="288" spans="5:5" ht="12.75">
      <c r="E288" s="23"/>
    </row>
    <row r="289" spans="5:5" ht="12.75">
      <c r="E289" s="23"/>
    </row>
    <row r="290" spans="5:5" ht="12.75">
      <c r="E290" s="23"/>
    </row>
    <row r="291" spans="5:5" ht="12.75">
      <c r="E291" s="23"/>
    </row>
    <row r="292" spans="5:5" ht="12.75">
      <c r="E292" s="23"/>
    </row>
    <row r="293" spans="5:5" ht="12.75">
      <c r="E293" s="23"/>
    </row>
    <row r="294" spans="5:5" ht="12.75">
      <c r="E294" s="23"/>
    </row>
    <row r="295" spans="5:5" ht="12.75">
      <c r="E295" s="23"/>
    </row>
    <row r="296" spans="5:5" ht="12.75">
      <c r="E296" s="23"/>
    </row>
    <row r="297" spans="5:5" ht="12.75">
      <c r="E297" s="23"/>
    </row>
    <row r="298" spans="5:5" ht="12.75">
      <c r="E298" s="23"/>
    </row>
    <row r="299" spans="5:5" ht="12.75">
      <c r="E299" s="23"/>
    </row>
    <row r="300" spans="5:5" ht="12.75">
      <c r="E300" s="23"/>
    </row>
    <row r="301" spans="5:5" ht="12.75">
      <c r="E301" s="23"/>
    </row>
    <row r="302" spans="5:5" ht="12.75">
      <c r="E302" s="23"/>
    </row>
    <row r="303" spans="5:5" ht="12.75">
      <c r="E303" s="23"/>
    </row>
    <row r="304" spans="5:5" ht="12.75">
      <c r="E304" s="23"/>
    </row>
    <row r="305" spans="5:5" ht="12.75">
      <c r="E305" s="23"/>
    </row>
    <row r="306" spans="5:5" ht="12.75">
      <c r="E306" s="23"/>
    </row>
    <row r="307" spans="5:5" ht="12.75">
      <c r="E307" s="23"/>
    </row>
    <row r="308" spans="5:5" ht="12.75">
      <c r="E308" s="23"/>
    </row>
    <row r="309" spans="5:5" ht="12.75">
      <c r="E309" s="23"/>
    </row>
    <row r="310" spans="5:5" ht="12.75">
      <c r="E310" s="23"/>
    </row>
    <row r="311" spans="5:5" ht="12.75">
      <c r="E311" s="23"/>
    </row>
    <row r="312" spans="5:5" ht="12.75">
      <c r="E312" s="23"/>
    </row>
    <row r="313" spans="5:5" ht="12.75">
      <c r="E313" s="23"/>
    </row>
    <row r="314" spans="5:5" ht="12.75">
      <c r="E314" s="23"/>
    </row>
    <row r="315" spans="5:5" ht="12.75">
      <c r="E315" s="23"/>
    </row>
    <row r="316" spans="5:5" ht="12.75">
      <c r="E316" s="23"/>
    </row>
    <row r="317" spans="5:5" ht="12.75">
      <c r="E317" s="23"/>
    </row>
    <row r="318" spans="5:5" ht="12.75">
      <c r="E318" s="23"/>
    </row>
    <row r="319" spans="5:5" ht="12.75">
      <c r="E319" s="23"/>
    </row>
    <row r="320" spans="5:5" ht="12.75">
      <c r="E320" s="23"/>
    </row>
    <row r="321" spans="5:5" ht="12.75">
      <c r="E321" s="23"/>
    </row>
    <row r="322" spans="5:5" ht="12.75">
      <c r="E322" s="23"/>
    </row>
    <row r="323" spans="5:5" ht="12.75">
      <c r="E323" s="23"/>
    </row>
    <row r="324" spans="5:5" ht="12.75">
      <c r="E324" s="23"/>
    </row>
    <row r="325" spans="5:5" ht="12.75">
      <c r="E325" s="23"/>
    </row>
    <row r="326" spans="5:5" ht="12.75">
      <c r="E326" s="23"/>
    </row>
    <row r="327" spans="5:5" ht="12.75">
      <c r="E327" s="23"/>
    </row>
    <row r="328" spans="5:5" ht="12.75">
      <c r="E328" s="23"/>
    </row>
    <row r="329" spans="5:5" ht="12.75">
      <c r="E329" s="23"/>
    </row>
    <row r="330" spans="5:5" ht="12.75">
      <c r="E330" s="23"/>
    </row>
    <row r="331" spans="5:5" ht="12.75">
      <c r="E331" s="23"/>
    </row>
    <row r="332" spans="5:5" ht="12.75">
      <c r="E332" s="23"/>
    </row>
    <row r="333" spans="5:5" ht="12.75">
      <c r="E333" s="23"/>
    </row>
    <row r="334" spans="5:5" ht="12.75">
      <c r="E334" s="23"/>
    </row>
    <row r="335" spans="5:5" ht="12.75">
      <c r="E335" s="23"/>
    </row>
    <row r="336" spans="5:5" ht="12.75">
      <c r="E336" s="23"/>
    </row>
    <row r="337" spans="5:5" ht="12.75">
      <c r="E337" s="23"/>
    </row>
    <row r="338" spans="5:5" ht="12.75">
      <c r="E338" s="23"/>
    </row>
    <row r="339" spans="5:5" ht="12.75">
      <c r="E339" s="23"/>
    </row>
    <row r="340" spans="5:5" ht="12.75">
      <c r="E340" s="23"/>
    </row>
    <row r="341" spans="5:5" ht="12.75">
      <c r="E341" s="23"/>
    </row>
    <row r="342" spans="5:5" ht="12.75">
      <c r="E342" s="23"/>
    </row>
    <row r="343" spans="5:5" ht="12.75">
      <c r="E343" s="23"/>
    </row>
    <row r="344" spans="5:5" ht="12.75">
      <c r="E344" s="23"/>
    </row>
    <row r="345" spans="5:5" ht="12.75">
      <c r="E345" s="23"/>
    </row>
    <row r="346" spans="5:5" ht="12.75">
      <c r="E346" s="23"/>
    </row>
    <row r="347" spans="5:5" ht="12.75">
      <c r="E347" s="23"/>
    </row>
    <row r="348" spans="5:5" ht="12.75">
      <c r="E348" s="23"/>
    </row>
    <row r="349" spans="5:5" ht="12.75">
      <c r="E349" s="23"/>
    </row>
    <row r="350" spans="5:5" ht="12.75">
      <c r="E350" s="23"/>
    </row>
    <row r="351" spans="5:5" ht="12.75">
      <c r="E351" s="23"/>
    </row>
    <row r="352" spans="5:5" ht="12.75">
      <c r="E352" s="23"/>
    </row>
    <row r="353" spans="5:5" ht="12.75">
      <c r="E353" s="23"/>
    </row>
    <row r="354" spans="5:5" ht="12.75">
      <c r="E354" s="23"/>
    </row>
    <row r="355" spans="5:5" ht="12.75">
      <c r="E355" s="23"/>
    </row>
    <row r="356" spans="5:5" ht="12.75">
      <c r="E356" s="23"/>
    </row>
    <row r="357" spans="5:5" ht="12.75">
      <c r="E357" s="23"/>
    </row>
    <row r="358" spans="5:5" ht="12.75">
      <c r="E358" s="23"/>
    </row>
    <row r="359" spans="5:5" ht="12.75">
      <c r="E359" s="23"/>
    </row>
    <row r="360" spans="5:5" ht="12.75">
      <c r="E360" s="23"/>
    </row>
    <row r="361" spans="5:5" ht="12.75">
      <c r="E361" s="23"/>
    </row>
    <row r="362" spans="5:5" ht="12.75">
      <c r="E362" s="23"/>
    </row>
    <row r="363" spans="5:5" ht="12.75">
      <c r="E363" s="23"/>
    </row>
    <row r="364" spans="5:5" ht="12.75">
      <c r="E364" s="23"/>
    </row>
    <row r="365" spans="5:5" ht="12.75">
      <c r="E365" s="23"/>
    </row>
    <row r="366" spans="5:5" ht="12.75">
      <c r="E366" s="23"/>
    </row>
    <row r="367" spans="5:5" ht="12.75">
      <c r="E367" s="23"/>
    </row>
    <row r="368" spans="5:5" ht="12.75">
      <c r="E368" s="23"/>
    </row>
    <row r="369" spans="5:5" ht="12.75">
      <c r="E369" s="23"/>
    </row>
    <row r="370" spans="5:5" ht="12.75">
      <c r="E370" s="23"/>
    </row>
    <row r="371" spans="5:5" ht="12.75">
      <c r="E371" s="23"/>
    </row>
    <row r="372" spans="5:5" ht="12.75">
      <c r="E372" s="23"/>
    </row>
    <row r="373" spans="5:5" ht="12.75">
      <c r="E373" s="23"/>
    </row>
    <row r="374" spans="5:5" ht="12.75">
      <c r="E374" s="23"/>
    </row>
    <row r="375" spans="5:5" ht="12.75">
      <c r="E375" s="23"/>
    </row>
    <row r="376" spans="5:5" ht="12.75">
      <c r="E376" s="23"/>
    </row>
    <row r="377" spans="5:5" ht="12.75">
      <c r="E377" s="23"/>
    </row>
    <row r="378" spans="5:5" ht="12.75">
      <c r="E378" s="23"/>
    </row>
    <row r="379" spans="5:5" ht="12.75">
      <c r="E379" s="23"/>
    </row>
    <row r="380" spans="5:5" ht="12.75">
      <c r="E380" s="23"/>
    </row>
    <row r="381" spans="5:5" ht="12.75">
      <c r="E381" s="23"/>
    </row>
    <row r="382" spans="5:5" ht="12.75">
      <c r="E382" s="23"/>
    </row>
    <row r="383" spans="5:5" ht="12.75">
      <c r="E383" s="23"/>
    </row>
    <row r="384" spans="5:5" ht="12.75">
      <c r="E384" s="23"/>
    </row>
    <row r="385" spans="5:5" ht="12.75">
      <c r="E385" s="23"/>
    </row>
    <row r="386" spans="5:5" ht="12.75">
      <c r="E386" s="23"/>
    </row>
    <row r="387" spans="5:5" ht="12.75">
      <c r="E387" s="23"/>
    </row>
    <row r="388" spans="5:5" ht="12.75">
      <c r="E388" s="23"/>
    </row>
    <row r="389" spans="5:5" ht="12.75">
      <c r="E389" s="23"/>
    </row>
    <row r="390" spans="5:5" ht="12.75">
      <c r="E390" s="23"/>
    </row>
    <row r="391" spans="5:5" ht="12.75">
      <c r="E391" s="23"/>
    </row>
    <row r="392" spans="5:5" ht="12.75">
      <c r="E392" s="23"/>
    </row>
    <row r="393" spans="5:5" ht="12.75">
      <c r="E393" s="23"/>
    </row>
    <row r="394" spans="5:5" ht="12.75">
      <c r="E394" s="23"/>
    </row>
    <row r="395" spans="5:5" ht="12.75">
      <c r="E395" s="23"/>
    </row>
    <row r="396" spans="5:5" ht="12.75">
      <c r="E396" s="23"/>
    </row>
    <row r="397" spans="5:5" ht="12.75">
      <c r="E397" s="23"/>
    </row>
    <row r="398" spans="5:5" ht="12.75">
      <c r="E398" s="23"/>
    </row>
    <row r="399" spans="5:5" ht="12.75">
      <c r="E399" s="23"/>
    </row>
    <row r="400" spans="5:5" ht="12.75">
      <c r="E400" s="23"/>
    </row>
    <row r="401" spans="5:5" ht="12.75">
      <c r="E401" s="23"/>
    </row>
    <row r="402" spans="5:5" ht="12.75">
      <c r="E402" s="23"/>
    </row>
    <row r="403" spans="5:5" ht="12.75">
      <c r="E403" s="23"/>
    </row>
    <row r="404" spans="5:5" ht="12.75">
      <c r="E404" s="23"/>
    </row>
    <row r="405" spans="5:5" ht="12.75">
      <c r="E405" s="23"/>
    </row>
    <row r="406" spans="5:5" ht="12.75">
      <c r="E406" s="23"/>
    </row>
    <row r="407" spans="5:5" ht="12.75">
      <c r="E407" s="23"/>
    </row>
    <row r="408" spans="5:5" ht="12.75">
      <c r="E408" s="23"/>
    </row>
    <row r="409" spans="5:5" ht="12.75">
      <c r="E409" s="23"/>
    </row>
    <row r="410" spans="5:5" ht="12.75">
      <c r="E410" s="23"/>
    </row>
    <row r="411" spans="5:5" ht="12.75">
      <c r="E411" s="23"/>
    </row>
    <row r="412" spans="5:5" ht="12.75">
      <c r="E412" s="23"/>
    </row>
    <row r="413" spans="5:5" ht="12.75">
      <c r="E413" s="23"/>
    </row>
    <row r="414" spans="5:5" ht="12.75">
      <c r="E414" s="23"/>
    </row>
    <row r="415" spans="5:5" ht="12.75">
      <c r="E415" s="23"/>
    </row>
    <row r="416" spans="5:5" ht="12.75">
      <c r="E416" s="23"/>
    </row>
    <row r="417" spans="5:5" ht="12.75">
      <c r="E417" s="23"/>
    </row>
    <row r="418" spans="5:5" ht="12.75">
      <c r="E418" s="23"/>
    </row>
    <row r="419" spans="5:5" ht="12.75">
      <c r="E419" s="23"/>
    </row>
    <row r="420" spans="5:5" ht="12.75">
      <c r="E420" s="23"/>
    </row>
    <row r="421" spans="5:5" ht="12.75">
      <c r="E421" s="23"/>
    </row>
    <row r="422" spans="5:5" ht="12.75">
      <c r="E422" s="23"/>
    </row>
    <row r="423" spans="5:5" ht="12.75">
      <c r="E423" s="23"/>
    </row>
    <row r="424" spans="5:5" ht="12.75">
      <c r="E424" s="23"/>
    </row>
    <row r="425" spans="5:5" ht="12.75">
      <c r="E425" s="23"/>
    </row>
    <row r="426" spans="5:5" ht="12.75">
      <c r="E426" s="23"/>
    </row>
    <row r="427" spans="5:5" ht="12.75">
      <c r="E427" s="23"/>
    </row>
    <row r="428" spans="5:5" ht="12.75">
      <c r="E428" s="23"/>
    </row>
    <row r="429" spans="5:5" ht="12.75">
      <c r="E429" s="23"/>
    </row>
    <row r="430" spans="5:5" ht="12.75">
      <c r="E430" s="23"/>
    </row>
    <row r="431" spans="5:5" ht="12.75">
      <c r="E431" s="23"/>
    </row>
    <row r="432" spans="5:5" ht="12.75">
      <c r="E432" s="23"/>
    </row>
    <row r="433" spans="5:5" ht="12.75">
      <c r="E433" s="23"/>
    </row>
    <row r="434" spans="5:5" ht="12.75">
      <c r="E434" s="23"/>
    </row>
    <row r="435" spans="5:5" ht="12.75">
      <c r="E435" s="23"/>
    </row>
    <row r="436" spans="5:5" ht="12.75">
      <c r="E436" s="23"/>
    </row>
    <row r="437" spans="5:5" ht="12.75">
      <c r="E437" s="23"/>
    </row>
    <row r="438" spans="5:5" ht="12.75">
      <c r="E438" s="23"/>
    </row>
    <row r="439" spans="5:5" ht="12.75">
      <c r="E439" s="23"/>
    </row>
    <row r="440" spans="5:5" ht="12.75">
      <c r="E440" s="23"/>
    </row>
    <row r="441" spans="5:5" ht="12.75">
      <c r="E441" s="23"/>
    </row>
    <row r="442" spans="5:5" ht="12.75">
      <c r="E442" s="23"/>
    </row>
    <row r="443" spans="5:5" ht="12.75">
      <c r="E443" s="23"/>
    </row>
    <row r="444" spans="5:5" ht="12.75">
      <c r="E444" s="23"/>
    </row>
    <row r="445" spans="5:5" ht="12.75">
      <c r="E445" s="23"/>
    </row>
    <row r="446" spans="5:5" ht="12.75">
      <c r="E446" s="23"/>
    </row>
    <row r="447" spans="5:5" ht="12.75">
      <c r="E447" s="23"/>
    </row>
    <row r="448" spans="5:5" ht="12.75">
      <c r="E448" s="23"/>
    </row>
    <row r="449" spans="5:5" ht="12.75">
      <c r="E449" s="23"/>
    </row>
    <row r="450" spans="5:5" ht="12.75">
      <c r="E450" s="23"/>
    </row>
    <row r="451" spans="5:5" ht="12.75">
      <c r="E451" s="23"/>
    </row>
    <row r="452" spans="5:5" ht="12.75">
      <c r="E452" s="23"/>
    </row>
    <row r="453" spans="5:5" ht="12.75">
      <c r="E453" s="23"/>
    </row>
    <row r="454" spans="5:5" ht="12.75">
      <c r="E454" s="23"/>
    </row>
    <row r="455" spans="5:5" ht="12.75">
      <c r="E455" s="23"/>
    </row>
    <row r="456" spans="5:5" ht="12.75">
      <c r="E456" s="23"/>
    </row>
    <row r="457" spans="5:5" ht="12.75">
      <c r="E457" s="23"/>
    </row>
    <row r="458" spans="5:5" ht="12.75">
      <c r="E458" s="23"/>
    </row>
    <row r="459" spans="5:5" ht="12.75">
      <c r="E459" s="23"/>
    </row>
    <row r="460" spans="5:5" ht="12.75">
      <c r="E460" s="23"/>
    </row>
    <row r="461" spans="5:5" ht="12.75">
      <c r="E461" s="23"/>
    </row>
    <row r="462" spans="5:5" ht="12.75">
      <c r="E462" s="23"/>
    </row>
    <row r="463" spans="5:5" ht="12.75">
      <c r="E463" s="23"/>
    </row>
    <row r="464" spans="5:5" ht="12.75">
      <c r="E464" s="23"/>
    </row>
    <row r="465" spans="5:5" ht="12.75">
      <c r="E465" s="23"/>
    </row>
    <row r="466" spans="5:5" ht="12.75">
      <c r="E466" s="23"/>
    </row>
    <row r="467" spans="5:5" ht="12.75">
      <c r="E467" s="23"/>
    </row>
    <row r="468" spans="5:5" ht="12.75">
      <c r="E468" s="23"/>
    </row>
    <row r="469" spans="5:5" ht="12.75">
      <c r="E469" s="23"/>
    </row>
    <row r="470" spans="5:5" ht="12.75">
      <c r="E470" s="23"/>
    </row>
    <row r="471" spans="5:5" ht="12.75">
      <c r="E471" s="23"/>
    </row>
    <row r="472" spans="5:5" ht="12.75">
      <c r="E472" s="23"/>
    </row>
    <row r="473" spans="5:5" ht="12.75">
      <c r="E473" s="23"/>
    </row>
    <row r="474" spans="5:5" ht="12.75">
      <c r="E474" s="23"/>
    </row>
    <row r="475" spans="5:5" ht="12.75">
      <c r="E475" s="23"/>
    </row>
    <row r="476" spans="5:5" ht="12.75">
      <c r="E476" s="23"/>
    </row>
    <row r="477" spans="5:5" ht="12.75">
      <c r="E477" s="23"/>
    </row>
    <row r="478" spans="5:5" ht="12.75">
      <c r="E478" s="23"/>
    </row>
    <row r="479" spans="5:5" ht="12.75">
      <c r="E479" s="23"/>
    </row>
    <row r="480" spans="5:5" ht="12.75">
      <c r="E480" s="23"/>
    </row>
    <row r="481" spans="5:5" ht="12.75">
      <c r="E481" s="23"/>
    </row>
    <row r="482" spans="5:5" ht="12.75">
      <c r="E482" s="23"/>
    </row>
    <row r="483" spans="5:5" ht="12.75">
      <c r="E483" s="23"/>
    </row>
    <row r="484" spans="5:5" ht="12.75">
      <c r="E484" s="23"/>
    </row>
    <row r="485" spans="5:5" ht="12.75">
      <c r="E485" s="23"/>
    </row>
    <row r="486" spans="5:5" ht="12.75">
      <c r="E486" s="23"/>
    </row>
    <row r="487" spans="5:5" ht="12.75">
      <c r="E487" s="23"/>
    </row>
    <row r="488" spans="5:5" ht="12.75">
      <c r="E488" s="23"/>
    </row>
    <row r="489" spans="5:5" ht="12.75">
      <c r="E489" s="23"/>
    </row>
    <row r="490" spans="5:5" ht="12.75">
      <c r="E490" s="23"/>
    </row>
    <row r="491" spans="5:5" ht="12.75">
      <c r="E491" s="23"/>
    </row>
    <row r="492" spans="5:5" ht="12.75">
      <c r="E492" s="23"/>
    </row>
    <row r="493" spans="5:5" ht="12.75">
      <c r="E493" s="23"/>
    </row>
    <row r="494" spans="5:5" ht="12.75">
      <c r="E494" s="23"/>
    </row>
    <row r="495" spans="5:5" ht="12.75">
      <c r="E495" s="23"/>
    </row>
    <row r="496" spans="5:5" ht="12.75">
      <c r="E496" s="23"/>
    </row>
    <row r="497" spans="5:5" ht="12.75">
      <c r="E497" s="23"/>
    </row>
    <row r="498" spans="5:5" ht="12.75">
      <c r="E498" s="23"/>
    </row>
    <row r="499" spans="5:5" ht="12.75">
      <c r="E499" s="23"/>
    </row>
    <row r="500" spans="5:5" ht="12.75">
      <c r="E500" s="23"/>
    </row>
    <row r="501" spans="5:5" ht="12.75">
      <c r="E501" s="23"/>
    </row>
    <row r="502" spans="5:5" ht="12.75">
      <c r="E502" s="23"/>
    </row>
    <row r="503" spans="5:5" ht="12.75">
      <c r="E503" s="23"/>
    </row>
    <row r="504" spans="5:5" ht="12.75">
      <c r="E504" s="23"/>
    </row>
    <row r="505" spans="5:5" ht="12.75">
      <c r="E505" s="23"/>
    </row>
    <row r="506" spans="5:5" ht="12.75">
      <c r="E506" s="23"/>
    </row>
    <row r="507" spans="5:5" ht="12.75">
      <c r="E507" s="23"/>
    </row>
    <row r="508" spans="5:5" ht="12.75">
      <c r="E508" s="23"/>
    </row>
    <row r="509" spans="5:5" ht="12.75">
      <c r="E509" s="23"/>
    </row>
    <row r="510" spans="5:5" ht="12.75">
      <c r="E510" s="23"/>
    </row>
    <row r="511" spans="5:5" ht="12.75">
      <c r="E511" s="23"/>
    </row>
    <row r="512" spans="5:5" ht="12.75">
      <c r="E512" s="23"/>
    </row>
    <row r="513" spans="5:5" ht="12.75">
      <c r="E513" s="23"/>
    </row>
    <row r="514" spans="5:5" ht="12.75">
      <c r="E514" s="23"/>
    </row>
    <row r="515" spans="5:5" ht="12.75">
      <c r="E515" s="23"/>
    </row>
    <row r="516" spans="5:5" ht="12.75">
      <c r="E516" s="23"/>
    </row>
    <row r="517" spans="5:5" ht="12.75">
      <c r="E517" s="23"/>
    </row>
    <row r="518" spans="5:5" ht="12.75">
      <c r="E518" s="23"/>
    </row>
    <row r="519" spans="5:5" ht="12.75">
      <c r="E519" s="23"/>
    </row>
    <row r="520" spans="5:5" ht="12.75">
      <c r="E520" s="23"/>
    </row>
    <row r="521" spans="5:5" ht="12.75">
      <c r="E521" s="23"/>
    </row>
    <row r="522" spans="5:5" ht="12.75">
      <c r="E522" s="23"/>
    </row>
    <row r="523" spans="5:5" ht="12.75">
      <c r="E523" s="23"/>
    </row>
    <row r="524" spans="5:5" ht="12.75">
      <c r="E524" s="23"/>
    </row>
    <row r="525" spans="5:5" ht="12.75">
      <c r="E525" s="23"/>
    </row>
    <row r="526" spans="5:5" ht="12.75">
      <c r="E526" s="23"/>
    </row>
    <row r="527" spans="5:5" ht="12.75">
      <c r="E527" s="23"/>
    </row>
    <row r="528" spans="5:5" ht="12.75">
      <c r="E528" s="23"/>
    </row>
    <row r="529" spans="5:5" ht="12.75">
      <c r="E529" s="23"/>
    </row>
    <row r="530" spans="5:5" ht="12.75">
      <c r="E530" s="23"/>
    </row>
    <row r="531" spans="5:5" ht="12.75">
      <c r="E531" s="23"/>
    </row>
    <row r="532" spans="5:5" ht="12.75">
      <c r="E532" s="23"/>
    </row>
    <row r="533" spans="5:5" ht="12.75">
      <c r="E533" s="23"/>
    </row>
    <row r="534" spans="5:5" ht="12.75">
      <c r="E534" s="23"/>
    </row>
    <row r="535" spans="5:5" ht="12.75">
      <c r="E535" s="23"/>
    </row>
    <row r="536" spans="5:5" ht="12.75">
      <c r="E536" s="23"/>
    </row>
    <row r="537" spans="5:5" ht="12.75">
      <c r="E537" s="23"/>
    </row>
    <row r="538" spans="5:5" ht="12.75">
      <c r="E538" s="23"/>
    </row>
    <row r="539" spans="5:5" ht="12.75">
      <c r="E539" s="23"/>
    </row>
    <row r="540" spans="5:5" ht="12.75">
      <c r="E540" s="23"/>
    </row>
    <row r="541" spans="5:5" ht="12.75">
      <c r="E541" s="23"/>
    </row>
    <row r="542" spans="5:5" ht="12.75">
      <c r="E542" s="23"/>
    </row>
    <row r="543" spans="5:5" ht="12.75">
      <c r="E543" s="23"/>
    </row>
    <row r="544" spans="5:5" ht="12.75">
      <c r="E544" s="23"/>
    </row>
    <row r="545" spans="5:5" ht="12.75">
      <c r="E545" s="23"/>
    </row>
    <row r="546" spans="5:5" ht="12.75">
      <c r="E546" s="23"/>
    </row>
    <row r="547" spans="5:5" ht="12.75">
      <c r="E547" s="23"/>
    </row>
    <row r="548" spans="5:5" ht="12.75">
      <c r="E548" s="23"/>
    </row>
    <row r="549" spans="5:5" ht="12.75">
      <c r="E549" s="23"/>
    </row>
    <row r="550" spans="5:5" ht="12.75">
      <c r="E550" s="23"/>
    </row>
    <row r="551" spans="5:5" ht="12.75">
      <c r="E551" s="23"/>
    </row>
    <row r="552" spans="5:5" ht="12.75">
      <c r="E552" s="23"/>
    </row>
    <row r="553" spans="5:5" ht="12.75">
      <c r="E553" s="23"/>
    </row>
    <row r="554" spans="5:5" ht="12.75">
      <c r="E554" s="23"/>
    </row>
    <row r="555" spans="5:5" ht="12.75">
      <c r="E555" s="23"/>
    </row>
    <row r="556" spans="5:5" ht="12.75">
      <c r="E556" s="23"/>
    </row>
    <row r="557" spans="5:5" ht="12.75">
      <c r="E557" s="23"/>
    </row>
    <row r="558" spans="5:5" ht="12.75">
      <c r="E558" s="23"/>
    </row>
    <row r="559" spans="5:5" ht="12.75">
      <c r="E559" s="23"/>
    </row>
    <row r="560" spans="5:5" ht="12.75">
      <c r="E560" s="23"/>
    </row>
    <row r="561" spans="5:5" ht="12.75">
      <c r="E561" s="23"/>
    </row>
    <row r="562" spans="5:5" ht="12.75">
      <c r="E562" s="23"/>
    </row>
    <row r="563" spans="5:5" ht="12.75">
      <c r="E563" s="23"/>
    </row>
    <row r="564" spans="5:5" ht="12.75">
      <c r="E564" s="23"/>
    </row>
    <row r="565" spans="5:5" ht="12.75">
      <c r="E565" s="23"/>
    </row>
    <row r="566" spans="5:5" ht="12.75">
      <c r="E566" s="23"/>
    </row>
    <row r="567" spans="5:5" ht="12.75">
      <c r="E567" s="23"/>
    </row>
    <row r="568" spans="5:5" ht="12.75">
      <c r="E568" s="23"/>
    </row>
    <row r="569" spans="5:5" ht="12.75">
      <c r="E569" s="23"/>
    </row>
    <row r="570" spans="5:5" ht="12.75">
      <c r="E570" s="23"/>
    </row>
    <row r="571" spans="5:5" ht="12.75">
      <c r="E571" s="23"/>
    </row>
    <row r="572" spans="5:5" ht="12.75">
      <c r="E572" s="23"/>
    </row>
    <row r="573" spans="5:5" ht="12.75">
      <c r="E573" s="23"/>
    </row>
    <row r="574" spans="5:5" ht="12.75">
      <c r="E574" s="23"/>
    </row>
    <row r="575" spans="5:5" ht="12.75">
      <c r="E575" s="23"/>
    </row>
    <row r="576" spans="5:5" ht="12.75">
      <c r="E576" s="23"/>
    </row>
    <row r="577" spans="5:5" ht="12.75">
      <c r="E577" s="23"/>
    </row>
    <row r="578" spans="5:5" ht="12.75">
      <c r="E578" s="23"/>
    </row>
    <row r="579" spans="5:5" ht="12.75">
      <c r="E579" s="23"/>
    </row>
    <row r="580" spans="5:5" ht="12.75">
      <c r="E580" s="23"/>
    </row>
    <row r="581" spans="5:5" ht="12.75">
      <c r="E581" s="23"/>
    </row>
    <row r="582" spans="5:5" ht="12.75">
      <c r="E582" s="23"/>
    </row>
    <row r="583" spans="5:5" ht="12.75">
      <c r="E583" s="23"/>
    </row>
    <row r="584" spans="5:5" ht="12.75">
      <c r="E584" s="23"/>
    </row>
    <row r="585" spans="5:5" ht="12.75">
      <c r="E585" s="23"/>
    </row>
    <row r="586" spans="5:5" ht="12.75">
      <c r="E586" s="23"/>
    </row>
    <row r="587" spans="5:5" ht="12.75">
      <c r="E587" s="23"/>
    </row>
    <row r="588" spans="5:5" ht="12.75">
      <c r="E588" s="23"/>
    </row>
    <row r="589" spans="5:5" ht="12.75">
      <c r="E589" s="23"/>
    </row>
    <row r="590" spans="5:5" ht="12.75">
      <c r="E590" s="23"/>
    </row>
    <row r="591" spans="5:5" ht="12.75">
      <c r="E591" s="23"/>
    </row>
    <row r="592" spans="5:5" ht="12.75">
      <c r="E592" s="23"/>
    </row>
    <row r="593" spans="5:5" ht="12.75">
      <c r="E593" s="23"/>
    </row>
    <row r="594" spans="5:5" ht="12.75">
      <c r="E594" s="23"/>
    </row>
    <row r="595" spans="5:5" ht="12.75">
      <c r="E595" s="23"/>
    </row>
    <row r="596" spans="5:5" ht="12.75">
      <c r="E596" s="23"/>
    </row>
    <row r="597" spans="5:5" ht="12.75">
      <c r="E597" s="23"/>
    </row>
    <row r="598" spans="5:5" ht="12.75">
      <c r="E598" s="23"/>
    </row>
    <row r="599" spans="5:5" ht="12.75">
      <c r="E599" s="23"/>
    </row>
    <row r="600" spans="5:5" ht="12.75">
      <c r="E600" s="23"/>
    </row>
    <row r="601" spans="5:5" ht="12.75">
      <c r="E601" s="23"/>
    </row>
    <row r="602" spans="5:5" ht="12.75">
      <c r="E602" s="23"/>
    </row>
    <row r="603" spans="5:5" ht="12.75">
      <c r="E603" s="23"/>
    </row>
    <row r="604" spans="5:5" ht="12.75">
      <c r="E604" s="23"/>
    </row>
    <row r="605" spans="5:5" ht="12.75">
      <c r="E605" s="23"/>
    </row>
    <row r="606" spans="5:5" ht="12.75">
      <c r="E606" s="23"/>
    </row>
    <row r="607" spans="5:5" ht="12.75">
      <c r="E607" s="23"/>
    </row>
    <row r="608" spans="5:5" ht="12.75">
      <c r="E608" s="23"/>
    </row>
    <row r="609" spans="5:5" ht="12.75">
      <c r="E609" s="23"/>
    </row>
    <row r="610" spans="5:5" ht="12.75">
      <c r="E610" s="23"/>
    </row>
    <row r="611" spans="5:5" ht="12.75">
      <c r="E611" s="23"/>
    </row>
    <row r="612" spans="5:5" ht="12.75">
      <c r="E612" s="23"/>
    </row>
    <row r="613" spans="5:5" ht="12.75">
      <c r="E613" s="23"/>
    </row>
    <row r="614" spans="5:5" ht="12.75">
      <c r="E614" s="23"/>
    </row>
    <row r="615" spans="5:5" ht="12.75">
      <c r="E615" s="23"/>
    </row>
    <row r="616" spans="5:5" ht="12.75">
      <c r="E616" s="23"/>
    </row>
    <row r="617" spans="5:5" ht="12.75">
      <c r="E617" s="23"/>
    </row>
    <row r="618" spans="5:5" ht="12.75">
      <c r="E618" s="23"/>
    </row>
    <row r="619" spans="5:5" ht="12.75">
      <c r="E619" s="23"/>
    </row>
    <row r="620" spans="5:5" ht="12.75">
      <c r="E620" s="23"/>
    </row>
    <row r="621" spans="5:5" ht="12.75">
      <c r="E621" s="23"/>
    </row>
    <row r="622" spans="5:5" ht="12.75">
      <c r="E622" s="23"/>
    </row>
    <row r="623" spans="5:5" ht="12.75">
      <c r="E623" s="23"/>
    </row>
    <row r="624" spans="5:5" ht="12.75">
      <c r="E624" s="23"/>
    </row>
    <row r="625" spans="5:5" ht="12.75">
      <c r="E625" s="23"/>
    </row>
    <row r="626" spans="5:5" ht="12.75">
      <c r="E626" s="23"/>
    </row>
    <row r="627" spans="5:5" ht="12.75">
      <c r="E627" s="23"/>
    </row>
    <row r="628" spans="5:5" ht="12.75">
      <c r="E628" s="23"/>
    </row>
    <row r="629" spans="5:5" ht="12.75">
      <c r="E629" s="23"/>
    </row>
    <row r="630" spans="5:5" ht="12.75">
      <c r="E630" s="23"/>
    </row>
    <row r="631" spans="5:5" ht="12.75">
      <c r="E631" s="23"/>
    </row>
    <row r="632" spans="5:5" ht="12.75">
      <c r="E632" s="23"/>
    </row>
    <row r="633" spans="5:5" ht="12.75">
      <c r="E633" s="23"/>
    </row>
    <row r="634" spans="5:5" ht="12.75">
      <c r="E634" s="23"/>
    </row>
    <row r="635" spans="5:5" ht="12.75">
      <c r="E635" s="23"/>
    </row>
    <row r="636" spans="5:5" ht="12.75">
      <c r="E636" s="23"/>
    </row>
    <row r="637" spans="5:5" ht="12.75">
      <c r="E637" s="23"/>
    </row>
    <row r="638" spans="5:5" ht="12.75">
      <c r="E638" s="23"/>
    </row>
    <row r="639" spans="5:5" ht="12.75">
      <c r="E639" s="23"/>
    </row>
    <row r="640" spans="5:5" ht="12.75">
      <c r="E640" s="23"/>
    </row>
    <row r="641" spans="5:5" ht="12.75">
      <c r="E641" s="23"/>
    </row>
    <row r="642" spans="5:5" ht="12.75">
      <c r="E642" s="23"/>
    </row>
    <row r="643" spans="5:5" ht="12.75">
      <c r="E643" s="23"/>
    </row>
    <row r="644" spans="5:5" ht="12.75">
      <c r="E644" s="23"/>
    </row>
    <row r="645" spans="5:5" ht="12.75">
      <c r="E645" s="23"/>
    </row>
    <row r="646" spans="5:5" ht="12.75">
      <c r="E646" s="23"/>
    </row>
    <row r="647" spans="5:5" ht="12.75">
      <c r="E647" s="23"/>
    </row>
    <row r="648" spans="5:5" ht="12.75">
      <c r="E648" s="23"/>
    </row>
    <row r="649" spans="5:5" ht="12.75">
      <c r="E649" s="23"/>
    </row>
    <row r="650" spans="5:5" ht="12.75">
      <c r="E650" s="23"/>
    </row>
    <row r="651" spans="5:5" ht="12.75">
      <c r="E651" s="23"/>
    </row>
    <row r="652" spans="5:5" ht="12.75">
      <c r="E652" s="23"/>
    </row>
    <row r="653" spans="5:5" ht="12.75">
      <c r="E653" s="23"/>
    </row>
    <row r="654" spans="5:5" ht="12.75">
      <c r="E654" s="23"/>
    </row>
    <row r="655" spans="5:5" ht="12.75">
      <c r="E655" s="23"/>
    </row>
    <row r="656" spans="5:5" ht="12.75">
      <c r="E656" s="23"/>
    </row>
    <row r="657" spans="5:5" ht="12.75">
      <c r="E657" s="23"/>
    </row>
    <row r="658" spans="5:5" ht="12.75">
      <c r="E658" s="23"/>
    </row>
    <row r="659" spans="5:5" ht="12.75">
      <c r="E659" s="23"/>
    </row>
    <row r="660" spans="5:5" ht="12.75">
      <c r="E660" s="23"/>
    </row>
    <row r="661" spans="5:5" ht="12.75">
      <c r="E661" s="23"/>
    </row>
    <row r="662" spans="5:5" ht="12.75">
      <c r="E662" s="23"/>
    </row>
    <row r="663" spans="5:5" ht="12.75">
      <c r="E663" s="23"/>
    </row>
    <row r="664" spans="5:5" ht="12.75">
      <c r="E664" s="23"/>
    </row>
    <row r="665" spans="5:5" ht="12.75">
      <c r="E665" s="23"/>
    </row>
    <row r="666" spans="5:5" ht="12.75">
      <c r="E666" s="23"/>
    </row>
    <row r="667" spans="5:5" ht="12.75">
      <c r="E667" s="23"/>
    </row>
    <row r="668" spans="5:5" ht="12.75">
      <c r="E668" s="23"/>
    </row>
    <row r="669" spans="5:5" ht="12.75">
      <c r="E669" s="23"/>
    </row>
    <row r="670" spans="5:5" ht="12.75">
      <c r="E670" s="23"/>
    </row>
    <row r="671" spans="5:5" ht="12.75">
      <c r="E671" s="23"/>
    </row>
    <row r="672" spans="5:5" ht="12.75">
      <c r="E672" s="23"/>
    </row>
    <row r="673" spans="5:5" ht="12.75">
      <c r="E673" s="23"/>
    </row>
    <row r="674" spans="5:5" ht="12.75">
      <c r="E674" s="23"/>
    </row>
    <row r="675" spans="5:5" ht="12.75">
      <c r="E675" s="23"/>
    </row>
    <row r="676" spans="5:5" ht="12.75">
      <c r="E676" s="23"/>
    </row>
    <row r="677" spans="5:5" ht="12.75">
      <c r="E677" s="23"/>
    </row>
    <row r="678" spans="5:5" ht="12.75">
      <c r="E678" s="23"/>
    </row>
    <row r="679" spans="5:5" ht="12.75">
      <c r="E679" s="23"/>
    </row>
    <row r="680" spans="5:5" ht="12.75">
      <c r="E680" s="23"/>
    </row>
    <row r="681" spans="5:5" ht="12.75">
      <c r="E681" s="23"/>
    </row>
    <row r="682" spans="5:5" ht="12.75">
      <c r="E682" s="23"/>
    </row>
    <row r="683" spans="5:5" ht="12.75">
      <c r="E683" s="23"/>
    </row>
    <row r="684" spans="5:5" ht="12.75">
      <c r="E684" s="23"/>
    </row>
    <row r="685" spans="5:5" ht="12.75">
      <c r="E685" s="23"/>
    </row>
    <row r="686" spans="5:5" ht="12.75">
      <c r="E686" s="23"/>
    </row>
    <row r="687" spans="5:5" ht="12.75">
      <c r="E687" s="23"/>
    </row>
    <row r="688" spans="5:5" ht="12.75">
      <c r="E688" s="23"/>
    </row>
    <row r="689" spans="5:5" ht="12.75">
      <c r="E689" s="23"/>
    </row>
    <row r="690" spans="5:5" ht="12.75">
      <c r="E690" s="23"/>
    </row>
    <row r="691" spans="5:5" ht="12.75">
      <c r="E691" s="23"/>
    </row>
    <row r="692" spans="5:5" ht="12.75">
      <c r="E692" s="23"/>
    </row>
    <row r="693" spans="5:5" ht="12.75">
      <c r="E693" s="23"/>
    </row>
    <row r="694" spans="5:5" ht="12.75">
      <c r="E694" s="23"/>
    </row>
    <row r="695" spans="5:5" ht="12.75">
      <c r="E695" s="23"/>
    </row>
    <row r="696" spans="5:5" ht="12.75">
      <c r="E696" s="23"/>
    </row>
    <row r="697" spans="5:5" ht="12.75">
      <c r="E697" s="23"/>
    </row>
    <row r="698" spans="5:5" ht="12.75">
      <c r="E698" s="23"/>
    </row>
    <row r="699" spans="5:5" ht="12.75">
      <c r="E699" s="23"/>
    </row>
    <row r="700" spans="5:5" ht="12.75">
      <c r="E700" s="23"/>
    </row>
    <row r="701" spans="5:5" ht="12.75">
      <c r="E701" s="23"/>
    </row>
    <row r="702" spans="5:5" ht="12.75">
      <c r="E702" s="23"/>
    </row>
    <row r="703" spans="5:5" ht="12.75">
      <c r="E703" s="23"/>
    </row>
    <row r="704" spans="5:5" ht="12.75">
      <c r="E704" s="23"/>
    </row>
    <row r="705" spans="5:5" ht="12.75">
      <c r="E705" s="23"/>
    </row>
    <row r="706" spans="5:5" ht="12.75">
      <c r="E706" s="23"/>
    </row>
    <row r="707" spans="5:5" ht="12.75">
      <c r="E707" s="23"/>
    </row>
    <row r="708" spans="5:5" ht="12.75">
      <c r="E708" s="23"/>
    </row>
    <row r="709" spans="5:5" ht="12.75">
      <c r="E709" s="23"/>
    </row>
    <row r="710" spans="5:5" ht="12.75">
      <c r="E710" s="23"/>
    </row>
    <row r="711" spans="5:5" ht="12.75">
      <c r="E711" s="23"/>
    </row>
    <row r="712" spans="5:5" ht="12.75">
      <c r="E712" s="23"/>
    </row>
    <row r="713" spans="5:5" ht="12.75">
      <c r="E713" s="23"/>
    </row>
    <row r="714" spans="5:5" ht="12.75">
      <c r="E714" s="23"/>
    </row>
    <row r="715" spans="5:5" ht="12.75">
      <c r="E715" s="23"/>
    </row>
    <row r="716" spans="5:5" ht="12.75">
      <c r="E716" s="23"/>
    </row>
    <row r="717" spans="5:5" ht="12.75">
      <c r="E717" s="23"/>
    </row>
    <row r="718" spans="5:5" ht="12.75">
      <c r="E718" s="23"/>
    </row>
    <row r="719" spans="5:5" ht="12.75">
      <c r="E719" s="23"/>
    </row>
    <row r="720" spans="5:5" ht="12.75">
      <c r="E720" s="23"/>
    </row>
    <row r="721" spans="5:5" ht="12.75">
      <c r="E721" s="23"/>
    </row>
    <row r="722" spans="5:5" ht="12.75">
      <c r="E722" s="23"/>
    </row>
    <row r="723" spans="5:5" ht="12.75">
      <c r="E723" s="23"/>
    </row>
    <row r="724" spans="5:5" ht="12.75">
      <c r="E724" s="23"/>
    </row>
    <row r="725" spans="5:5" ht="12.75">
      <c r="E725" s="23"/>
    </row>
    <row r="726" spans="5:5" ht="12.75">
      <c r="E726" s="23"/>
    </row>
    <row r="727" spans="5:5" ht="12.75">
      <c r="E727" s="23"/>
    </row>
    <row r="728" spans="5:5" ht="12.75">
      <c r="E728" s="23"/>
    </row>
    <row r="729" spans="5:5" ht="12.75">
      <c r="E729" s="23"/>
    </row>
    <row r="730" spans="5:5" ht="12.75">
      <c r="E730" s="23"/>
    </row>
    <row r="731" spans="5:5" ht="12.75">
      <c r="E731" s="23"/>
    </row>
    <row r="732" spans="5:5" ht="12.75">
      <c r="E732" s="23"/>
    </row>
    <row r="733" spans="5:5" ht="12.75">
      <c r="E733" s="23"/>
    </row>
    <row r="734" spans="5:5" ht="12.75">
      <c r="E734" s="23"/>
    </row>
    <row r="735" spans="5:5" ht="12.75">
      <c r="E735" s="23"/>
    </row>
    <row r="736" spans="5:5" ht="12.75">
      <c r="E736" s="23"/>
    </row>
    <row r="737" spans="5:5" ht="12.75">
      <c r="E737" s="23"/>
    </row>
    <row r="738" spans="5:5" ht="12.75">
      <c r="E738" s="23"/>
    </row>
    <row r="739" spans="5:5" ht="12.75">
      <c r="E739" s="23"/>
    </row>
    <row r="740" spans="5:5" ht="12.75">
      <c r="E740" s="23"/>
    </row>
    <row r="741" spans="5:5" ht="12.75">
      <c r="E741" s="23"/>
    </row>
    <row r="742" spans="5:5" ht="12.75">
      <c r="E742" s="23"/>
    </row>
    <row r="743" spans="5:5" ht="12.75">
      <c r="E743" s="23"/>
    </row>
    <row r="744" spans="5:5" ht="12.75">
      <c r="E744" s="23"/>
    </row>
    <row r="745" spans="5:5" ht="12.75">
      <c r="E745" s="23"/>
    </row>
    <row r="746" spans="5:5" ht="12.75">
      <c r="E746" s="23"/>
    </row>
    <row r="747" spans="5:5" ht="12.75">
      <c r="E747" s="23"/>
    </row>
    <row r="748" spans="5:5" ht="12.75">
      <c r="E748" s="23"/>
    </row>
    <row r="749" spans="5:5" ht="12.75">
      <c r="E749" s="23"/>
    </row>
    <row r="750" spans="5:5" ht="12.75">
      <c r="E750" s="23"/>
    </row>
    <row r="751" spans="5:5" ht="12.75">
      <c r="E751" s="23"/>
    </row>
    <row r="752" spans="5:5" ht="12.75">
      <c r="E752" s="23"/>
    </row>
    <row r="753" spans="5:5" ht="12.75">
      <c r="E753" s="23"/>
    </row>
    <row r="754" spans="5:5" ht="12.75">
      <c r="E754" s="23"/>
    </row>
    <row r="755" spans="5:5" ht="12.75">
      <c r="E755" s="23"/>
    </row>
    <row r="756" spans="5:5" ht="12.75">
      <c r="E756" s="23"/>
    </row>
    <row r="757" spans="5:5" ht="12.75">
      <c r="E757" s="23"/>
    </row>
    <row r="758" spans="5:5" ht="12.75">
      <c r="E758" s="23"/>
    </row>
    <row r="759" spans="5:5" ht="12.75">
      <c r="E759" s="23"/>
    </row>
    <row r="760" spans="5:5" ht="12.75">
      <c r="E760" s="23"/>
    </row>
    <row r="761" spans="5:5" ht="12.75">
      <c r="E761" s="23"/>
    </row>
    <row r="762" spans="5:5" ht="12.75">
      <c r="E762" s="23"/>
    </row>
    <row r="763" spans="5:5" ht="12.75">
      <c r="E763" s="23"/>
    </row>
    <row r="764" spans="5:5" ht="12.75">
      <c r="E764" s="23"/>
    </row>
    <row r="765" spans="5:5" ht="12.75">
      <c r="E765" s="23"/>
    </row>
    <row r="766" spans="5:5" ht="12.75">
      <c r="E766" s="23"/>
    </row>
    <row r="767" spans="5:5" ht="12.75">
      <c r="E767" s="23"/>
    </row>
    <row r="768" spans="5:5" ht="12.75">
      <c r="E768" s="23"/>
    </row>
    <row r="769" spans="5:5" ht="12.75">
      <c r="E769" s="23"/>
    </row>
    <row r="770" spans="5:5" ht="12.75">
      <c r="E770" s="23"/>
    </row>
    <row r="771" spans="5:5" ht="12.75">
      <c r="E771" s="23"/>
    </row>
    <row r="772" spans="5:5" ht="12.75">
      <c r="E772" s="23"/>
    </row>
    <row r="773" spans="5:5" ht="12.75">
      <c r="E773" s="23"/>
    </row>
    <row r="774" spans="5:5" ht="12.75">
      <c r="E774" s="23"/>
    </row>
    <row r="775" spans="5:5" ht="12.75">
      <c r="E775" s="23"/>
    </row>
    <row r="776" spans="5:5" ht="12.75">
      <c r="E776" s="23"/>
    </row>
    <row r="777" spans="5:5" ht="12.75">
      <c r="E777" s="23"/>
    </row>
    <row r="778" spans="5:5" ht="12.75">
      <c r="E778" s="23"/>
    </row>
    <row r="779" spans="5:5" ht="12.75">
      <c r="E779" s="23"/>
    </row>
    <row r="780" spans="5:5" ht="12.75">
      <c r="E780" s="23"/>
    </row>
    <row r="781" spans="5:5" ht="12.75">
      <c r="E781" s="23"/>
    </row>
    <row r="782" spans="5:5" ht="12.75">
      <c r="E782" s="23"/>
    </row>
    <row r="783" spans="5:5" ht="12.75">
      <c r="E783" s="23"/>
    </row>
    <row r="784" spans="5:5" ht="12.75">
      <c r="E784" s="23"/>
    </row>
    <row r="785" spans="5:5" ht="12.75">
      <c r="E785" s="23"/>
    </row>
    <row r="786" spans="5:5" ht="12.75">
      <c r="E786" s="23"/>
    </row>
    <row r="787" spans="5:5" ht="12.75">
      <c r="E787" s="23"/>
    </row>
    <row r="788" spans="5:5" ht="12.75">
      <c r="E788" s="23"/>
    </row>
    <row r="789" spans="5:5" ht="12.75">
      <c r="E789" s="23"/>
    </row>
    <row r="790" spans="5:5" ht="12.75">
      <c r="E790" s="23"/>
    </row>
    <row r="791" spans="5:5" ht="12.75">
      <c r="E791" s="23"/>
    </row>
    <row r="792" spans="5:5" ht="12.75">
      <c r="E792" s="23"/>
    </row>
    <row r="793" spans="5:5" ht="12.75">
      <c r="E793" s="23"/>
    </row>
    <row r="794" spans="5:5" ht="12.75">
      <c r="E794" s="23"/>
    </row>
    <row r="795" spans="5:5" ht="12.75">
      <c r="E795" s="23"/>
    </row>
    <row r="796" spans="5:5" ht="12.75">
      <c r="E796" s="23"/>
    </row>
    <row r="797" spans="5:5" ht="12.75">
      <c r="E797" s="23"/>
    </row>
    <row r="798" spans="5:5" ht="12.75">
      <c r="E798" s="23"/>
    </row>
    <row r="799" spans="5:5" ht="12.75">
      <c r="E799" s="23"/>
    </row>
    <row r="800" spans="5:5" ht="12.75">
      <c r="E800" s="23"/>
    </row>
    <row r="801" spans="5:5" ht="12.75">
      <c r="E801" s="23"/>
    </row>
    <row r="802" spans="5:5" ht="12.75">
      <c r="E802" s="23"/>
    </row>
    <row r="803" spans="5:5" ht="12.75">
      <c r="E803" s="23"/>
    </row>
    <row r="804" spans="5:5" ht="12.75">
      <c r="E804" s="23"/>
    </row>
    <row r="805" spans="5:5" ht="12.75">
      <c r="E805" s="23"/>
    </row>
    <row r="806" spans="5:5" ht="12.75">
      <c r="E806" s="23"/>
    </row>
    <row r="807" spans="5:5" ht="12.75">
      <c r="E807" s="23"/>
    </row>
    <row r="808" spans="5:5" ht="12.75">
      <c r="E808" s="23"/>
    </row>
    <row r="809" spans="5:5" ht="12.75">
      <c r="E809" s="23"/>
    </row>
    <row r="810" spans="5:5" ht="12.75">
      <c r="E810" s="23"/>
    </row>
    <row r="811" spans="5:5" ht="12.75">
      <c r="E811" s="23"/>
    </row>
    <row r="812" spans="5:5" ht="12.75">
      <c r="E812" s="23"/>
    </row>
    <row r="813" spans="5:5" ht="12.75">
      <c r="E813" s="23"/>
    </row>
    <row r="814" spans="5:5" ht="12.75">
      <c r="E814" s="23"/>
    </row>
    <row r="815" spans="5:5" ht="12.75">
      <c r="E815" s="23"/>
    </row>
    <row r="816" spans="5:5" ht="12.75">
      <c r="E816" s="23"/>
    </row>
    <row r="817" spans="5:5" ht="12.75">
      <c r="E817" s="23"/>
    </row>
    <row r="818" spans="5:5" ht="12.75">
      <c r="E818" s="23"/>
    </row>
    <row r="819" spans="5:5" ht="12.75">
      <c r="E819" s="23"/>
    </row>
    <row r="820" spans="5:5" ht="12.75">
      <c r="E820" s="23"/>
    </row>
    <row r="821" spans="5:5" ht="12.75">
      <c r="E821" s="23"/>
    </row>
    <row r="822" spans="5:5" ht="12.75">
      <c r="E822" s="23"/>
    </row>
    <row r="823" spans="5:5" ht="12.75">
      <c r="E823" s="23"/>
    </row>
    <row r="824" spans="5:5" ht="12.75">
      <c r="E824" s="23"/>
    </row>
    <row r="825" spans="5:5" ht="12.75">
      <c r="E825" s="23"/>
    </row>
    <row r="826" spans="5:5" ht="12.75">
      <c r="E826" s="23"/>
    </row>
    <row r="827" spans="5:5" ht="12.75">
      <c r="E827" s="23"/>
    </row>
    <row r="828" spans="5:5" ht="12.75">
      <c r="E828" s="23"/>
    </row>
    <row r="829" spans="5:5" ht="12.75">
      <c r="E829" s="23"/>
    </row>
    <row r="830" spans="5:5" ht="12.75">
      <c r="E830" s="23"/>
    </row>
    <row r="831" spans="5:5" ht="12.75">
      <c r="E831" s="23"/>
    </row>
    <row r="832" spans="5:5" ht="12.75">
      <c r="E832" s="23"/>
    </row>
    <row r="833" spans="5:5" ht="12.75">
      <c r="E833" s="23"/>
    </row>
    <row r="834" spans="5:5" ht="12.75">
      <c r="E834" s="23"/>
    </row>
    <row r="835" spans="5:5" ht="12.75">
      <c r="E835" s="23"/>
    </row>
    <row r="836" spans="5:5" ht="12.75">
      <c r="E836" s="23"/>
    </row>
    <row r="837" spans="5:5" ht="12.75">
      <c r="E837" s="23"/>
    </row>
    <row r="838" spans="5:5" ht="12.75">
      <c r="E838" s="23"/>
    </row>
    <row r="839" spans="5:5" ht="12.75">
      <c r="E839" s="23"/>
    </row>
    <row r="840" spans="5:5" ht="12.75">
      <c r="E840" s="23"/>
    </row>
    <row r="841" spans="5:5" ht="12.75">
      <c r="E841" s="23"/>
    </row>
    <row r="842" spans="5:5" ht="12.75">
      <c r="E842" s="23"/>
    </row>
    <row r="843" spans="5:5" ht="12.75">
      <c r="E843" s="23"/>
    </row>
    <row r="844" spans="5:5" ht="12.75">
      <c r="E844" s="23"/>
    </row>
    <row r="845" spans="5:5" ht="12.75">
      <c r="E845" s="23"/>
    </row>
    <row r="846" spans="5:5" ht="12.75">
      <c r="E846" s="23"/>
    </row>
    <row r="847" spans="5:5" ht="12.75">
      <c r="E847" s="23"/>
    </row>
    <row r="848" spans="5:5" ht="12.75">
      <c r="E848" s="23"/>
    </row>
    <row r="849" spans="5:5" ht="12.75">
      <c r="E849" s="23"/>
    </row>
    <row r="850" spans="5:5" ht="12.75">
      <c r="E850" s="23"/>
    </row>
    <row r="851" spans="5:5" ht="12.75">
      <c r="E851" s="23"/>
    </row>
    <row r="852" spans="5:5" ht="12.75">
      <c r="E852" s="23"/>
    </row>
    <row r="853" spans="5:5" ht="12.75">
      <c r="E853" s="23"/>
    </row>
    <row r="854" spans="5:5" ht="12.75">
      <c r="E854" s="23"/>
    </row>
    <row r="855" spans="5:5" ht="12.75">
      <c r="E855" s="23"/>
    </row>
    <row r="856" spans="5:5" ht="12.75">
      <c r="E856" s="23"/>
    </row>
    <row r="857" spans="5:5" ht="12.75">
      <c r="E857" s="23"/>
    </row>
    <row r="858" spans="5:5" ht="12.75">
      <c r="E858" s="23"/>
    </row>
    <row r="859" spans="5:5" ht="12.75">
      <c r="E859" s="23"/>
    </row>
    <row r="860" spans="5:5" ht="12.75">
      <c r="E860" s="23"/>
    </row>
    <row r="861" spans="5:5" ht="12.75">
      <c r="E861" s="23"/>
    </row>
    <row r="862" spans="5:5" ht="12.75">
      <c r="E862" s="23"/>
    </row>
    <row r="863" spans="5:5" ht="12.75">
      <c r="E863" s="23"/>
    </row>
    <row r="864" spans="5:5" ht="12.75">
      <c r="E864" s="23"/>
    </row>
    <row r="865" spans="5:5" ht="12.75">
      <c r="E865" s="23"/>
    </row>
    <row r="866" spans="5:5" ht="12.75">
      <c r="E866" s="23"/>
    </row>
    <row r="867" spans="5:5" ht="12.75">
      <c r="E867" s="23"/>
    </row>
    <row r="868" spans="5:5" ht="12.75">
      <c r="E868" s="23"/>
    </row>
    <row r="869" spans="5:5" ht="12.75">
      <c r="E869" s="23"/>
    </row>
    <row r="870" spans="5:5" ht="12.75">
      <c r="E870" s="23"/>
    </row>
    <row r="871" spans="5:5" ht="12.75">
      <c r="E871" s="23"/>
    </row>
    <row r="872" spans="5:5" ht="12.75">
      <c r="E872" s="23"/>
    </row>
    <row r="873" spans="5:5" ht="12.75">
      <c r="E873" s="23"/>
    </row>
    <row r="874" spans="5:5" ht="12.75">
      <c r="E874" s="23"/>
    </row>
    <row r="875" spans="5:5" ht="12.75">
      <c r="E875" s="23"/>
    </row>
    <row r="876" spans="5:5" ht="12.75">
      <c r="E876" s="23"/>
    </row>
    <row r="877" spans="5:5" ht="12.75">
      <c r="E877" s="23"/>
    </row>
    <row r="878" spans="5:5" ht="12.75">
      <c r="E878" s="23"/>
    </row>
    <row r="879" spans="5:5" ht="12.75">
      <c r="E879" s="23"/>
    </row>
    <row r="880" spans="5:5" ht="12.75">
      <c r="E880" s="23"/>
    </row>
    <row r="881" spans="5:5" ht="12.75">
      <c r="E881" s="23"/>
    </row>
    <row r="882" spans="5:5" ht="12.75">
      <c r="E882" s="23"/>
    </row>
    <row r="883" spans="5:5" ht="12.75">
      <c r="E883" s="23"/>
    </row>
    <row r="884" spans="5:5" ht="12.75">
      <c r="E884" s="23"/>
    </row>
    <row r="885" spans="5:5" ht="12.75">
      <c r="E885" s="23"/>
    </row>
    <row r="886" spans="5:5" ht="12.75">
      <c r="E886" s="23"/>
    </row>
    <row r="887" spans="5:5" ht="12.75">
      <c r="E887" s="23"/>
    </row>
    <row r="888" spans="5:5" ht="12.75">
      <c r="E888" s="23"/>
    </row>
    <row r="889" spans="5:5" ht="12.75">
      <c r="E889" s="23"/>
    </row>
    <row r="890" spans="5:5" ht="12.75">
      <c r="E890" s="23"/>
    </row>
    <row r="891" spans="5:5" ht="12.75">
      <c r="E891" s="23"/>
    </row>
    <row r="892" spans="5:5" ht="12.75">
      <c r="E892" s="23"/>
    </row>
    <row r="893" spans="5:5" ht="12.75">
      <c r="E893" s="23"/>
    </row>
    <row r="894" spans="5:5" ht="12.75">
      <c r="E894" s="23"/>
    </row>
    <row r="895" spans="5:5" ht="12.75">
      <c r="E895" s="23"/>
    </row>
    <row r="896" spans="5:5" ht="12.75">
      <c r="E896" s="23"/>
    </row>
    <row r="897" spans="5:5" ht="12.75">
      <c r="E897" s="23"/>
    </row>
    <row r="898" spans="5:5" ht="12.75">
      <c r="E898" s="23"/>
    </row>
    <row r="899" spans="5:5" ht="12.75">
      <c r="E899" s="23"/>
    </row>
    <row r="900" spans="5:5" ht="12.75">
      <c r="E900" s="23"/>
    </row>
    <row r="901" spans="5:5" ht="12.75">
      <c r="E901" s="23"/>
    </row>
    <row r="902" spans="5:5" ht="12.75">
      <c r="E902" s="23"/>
    </row>
    <row r="903" spans="5:5" ht="12.75">
      <c r="E903" s="23"/>
    </row>
    <row r="904" spans="5:5" ht="12.75">
      <c r="E904" s="23"/>
    </row>
    <row r="905" spans="5:5" ht="12.75">
      <c r="E905" s="23"/>
    </row>
    <row r="906" spans="5:5" ht="12.75">
      <c r="E906" s="23"/>
    </row>
    <row r="907" spans="5:5" ht="12.75">
      <c r="E907" s="23"/>
    </row>
    <row r="908" spans="5:5" ht="12.75">
      <c r="E908" s="23"/>
    </row>
    <row r="909" spans="5:5" ht="12.75">
      <c r="E909" s="23"/>
    </row>
    <row r="910" spans="5:5" ht="12.75">
      <c r="E910" s="23"/>
    </row>
    <row r="911" spans="5:5" ht="12.75">
      <c r="E911" s="23"/>
    </row>
    <row r="912" spans="5:5" ht="12.75">
      <c r="E912" s="23"/>
    </row>
    <row r="913" spans="5:5" ht="12.75">
      <c r="E913" s="23"/>
    </row>
    <row r="914" spans="5:5" ht="12.75">
      <c r="E914" s="23"/>
    </row>
    <row r="915" spans="5:5" ht="12.75">
      <c r="E915" s="23"/>
    </row>
    <row r="916" spans="5:5" ht="12.75">
      <c r="E916" s="23"/>
    </row>
    <row r="917" spans="5:5" ht="12.75">
      <c r="E917" s="23"/>
    </row>
    <row r="918" spans="5:5" ht="12.75">
      <c r="E918" s="23"/>
    </row>
    <row r="919" spans="5:5" ht="12.75">
      <c r="E919" s="23"/>
    </row>
    <row r="920" spans="5:5" ht="12.75">
      <c r="E920" s="23"/>
    </row>
    <row r="921" spans="5:5" ht="12.75">
      <c r="E921" s="23"/>
    </row>
    <row r="922" spans="5:5" ht="12.75">
      <c r="E922" s="23"/>
    </row>
    <row r="923" spans="5:5" ht="12.75">
      <c r="E923" s="23"/>
    </row>
    <row r="924" spans="5:5" ht="12.75">
      <c r="E924" s="23"/>
    </row>
    <row r="925" spans="5:5" ht="12.75">
      <c r="E925" s="23"/>
    </row>
    <row r="926" spans="5:5" ht="12.75">
      <c r="E926" s="23"/>
    </row>
    <row r="927" spans="5:5" ht="12.75">
      <c r="E927" s="23"/>
    </row>
    <row r="928" spans="5:5" ht="12.75">
      <c r="E928" s="23"/>
    </row>
    <row r="929" spans="5:5" ht="12.75">
      <c r="E929" s="23"/>
    </row>
    <row r="930" spans="5:5" ht="12.75">
      <c r="E930" s="23"/>
    </row>
    <row r="931" spans="5:5" ht="12.75">
      <c r="E931" s="23"/>
    </row>
    <row r="932" spans="5:5" ht="12.75">
      <c r="E932" s="23"/>
    </row>
    <row r="933" spans="5:5" ht="12.75">
      <c r="E933" s="23"/>
    </row>
    <row r="934" spans="5:5" ht="12.75">
      <c r="E934" s="23"/>
    </row>
    <row r="935" spans="5:5" ht="12.75">
      <c r="E935" s="23"/>
    </row>
    <row r="936" spans="5:5" ht="12.75">
      <c r="E936" s="23"/>
    </row>
    <row r="937" spans="5:5" ht="12.75">
      <c r="E937" s="23"/>
    </row>
    <row r="938" spans="5:5" ht="12.75">
      <c r="E938" s="23"/>
    </row>
    <row r="939" spans="5:5" ht="12.75">
      <c r="E939" s="23"/>
    </row>
    <row r="940" spans="5:5" ht="12.75">
      <c r="E940" s="23"/>
    </row>
    <row r="941" spans="5:5" ht="12.75">
      <c r="E941" s="23"/>
    </row>
    <row r="942" spans="5:5" ht="12.75">
      <c r="E942" s="23"/>
    </row>
    <row r="943" spans="5:5" ht="12.75">
      <c r="E943" s="23"/>
    </row>
    <row r="944" spans="5:5" ht="12.75">
      <c r="E944" s="23"/>
    </row>
    <row r="945" spans="5:5" ht="12.75">
      <c r="E945" s="23"/>
    </row>
    <row r="946" spans="5:5" ht="12.75">
      <c r="E946" s="23"/>
    </row>
    <row r="947" spans="5:5" ht="12.75">
      <c r="E947" s="23"/>
    </row>
    <row r="948" spans="5:5" ht="12.75">
      <c r="E948" s="23"/>
    </row>
    <row r="949" spans="5:5" ht="12.75">
      <c r="E949" s="23"/>
    </row>
    <row r="950" spans="5:5" ht="12.75">
      <c r="E950" s="23"/>
    </row>
    <row r="951" spans="5:5" ht="12.75">
      <c r="E951" s="23"/>
    </row>
    <row r="952" spans="5:5" ht="12.75">
      <c r="E952" s="23"/>
    </row>
    <row r="953" spans="5:5" ht="12.75">
      <c r="E953" s="23"/>
    </row>
    <row r="954" spans="5:5" ht="12.75">
      <c r="E954" s="23"/>
    </row>
    <row r="955" spans="5:5" ht="12.75">
      <c r="E955" s="23"/>
    </row>
    <row r="956" spans="5:5" ht="12.75">
      <c r="E956" s="23"/>
    </row>
    <row r="957" spans="5:5" ht="12.75">
      <c r="E957" s="23"/>
    </row>
    <row r="958" spans="5:5" ht="12.75">
      <c r="E958" s="23"/>
    </row>
    <row r="959" spans="5:5" ht="12.75">
      <c r="E959" s="23"/>
    </row>
    <row r="960" spans="5:5" ht="12.75">
      <c r="E960" s="23"/>
    </row>
    <row r="961" spans="5:5" ht="12.75">
      <c r="E961" s="23"/>
    </row>
    <row r="962" spans="5:5" ht="12.75">
      <c r="E962" s="23"/>
    </row>
    <row r="963" spans="5:5" ht="12.75">
      <c r="E963" s="23"/>
    </row>
    <row r="964" spans="5:5" ht="12.75">
      <c r="E964" s="23"/>
    </row>
    <row r="965" spans="5:5" ht="12.75">
      <c r="E965" s="23"/>
    </row>
    <row r="966" spans="5:5" ht="12.75">
      <c r="E966" s="23"/>
    </row>
    <row r="967" spans="5:5" ht="12.75">
      <c r="E967" s="23"/>
    </row>
    <row r="968" spans="5:5" ht="12.75">
      <c r="E968" s="23"/>
    </row>
    <row r="969" spans="5:5" ht="12.75">
      <c r="E969" s="23"/>
    </row>
    <row r="970" spans="5:5" ht="12.75">
      <c r="E970" s="23"/>
    </row>
    <row r="971" spans="5:5" ht="12.75">
      <c r="E971" s="23"/>
    </row>
    <row r="972" spans="5:5" ht="12.75">
      <c r="E972" s="23"/>
    </row>
    <row r="973" spans="5:5" ht="12.75">
      <c r="E973" s="23"/>
    </row>
    <row r="974" spans="5:5" ht="12.75">
      <c r="E974" s="23"/>
    </row>
    <row r="975" spans="5:5" ht="12.75">
      <c r="E975" s="23"/>
    </row>
    <row r="976" spans="5:5" ht="12.75">
      <c r="E976" s="23"/>
    </row>
    <row r="977" spans="5:5" ht="12.75">
      <c r="E977" s="23"/>
    </row>
    <row r="978" spans="5:5" ht="12.75">
      <c r="E978" s="23"/>
    </row>
    <row r="979" spans="5:5" ht="12.75">
      <c r="E979" s="23"/>
    </row>
    <row r="980" spans="5:5" ht="12.75">
      <c r="E980" s="23"/>
    </row>
    <row r="981" spans="5:5" ht="12.75">
      <c r="E981" s="23"/>
    </row>
    <row r="982" spans="5:5" ht="12.75">
      <c r="E982" s="23"/>
    </row>
    <row r="983" spans="5:5" ht="12.75">
      <c r="E983" s="23"/>
    </row>
    <row r="984" spans="5:5" ht="12.75">
      <c r="E984" s="23"/>
    </row>
    <row r="985" spans="5:5" ht="12.75">
      <c r="E985" s="23"/>
    </row>
    <row r="986" spans="5:5" ht="12.75">
      <c r="E986" s="23"/>
    </row>
    <row r="987" spans="5:5" ht="12.75">
      <c r="E987" s="23"/>
    </row>
    <row r="988" spans="5:5" ht="12.75">
      <c r="E988" s="23"/>
    </row>
    <row r="989" spans="5:5" ht="12.75">
      <c r="E989" s="23"/>
    </row>
    <row r="990" spans="5:5" ht="12.75">
      <c r="E990" s="23"/>
    </row>
    <row r="991" spans="5:5" ht="12.75">
      <c r="E991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CALENDARIO</vt:lpstr>
      <vt:lpstr>ENGLISH</vt:lpstr>
      <vt:lpstr>CONFIG</vt:lpstr>
      <vt:lpstr>PALPITES</vt:lpstr>
      <vt:lpstr>RESULTADOS</vt:lpstr>
      <vt:lpstr>RANKING</vt:lpstr>
      <vt:lpstr>HISTORICO</vt:lpstr>
      <vt:lpstr>Página8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Kanoo Uehara</cp:lastModifiedBy>
  <dcterms:created xsi:type="dcterms:W3CDTF">2026-06-06T01:11:54Z</dcterms:created>
  <dcterms:modified xsi:type="dcterms:W3CDTF">2026-06-06T01:11:54Z</dcterms:modified>
</cp:coreProperties>
</file>