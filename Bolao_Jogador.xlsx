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GOS" sheetId="1" r:id="rId5"/>
  </sheets>
  <definedNames/>
  <calcPr/>
</workbook>
</file>

<file path=xl/sharedStrings.xml><?xml version="1.0" encoding="utf-8"?>
<sst xmlns="http://schemas.openxmlformats.org/spreadsheetml/2006/main" count="114" uniqueCount="10">
  <si>
    <t>Jogo</t>
  </si>
  <si>
    <t>Data</t>
  </si>
  <si>
    <t>Hora</t>
  </si>
  <si>
    <t>Time 1</t>
  </si>
  <si>
    <t>Palpite 1</t>
  </si>
  <si>
    <t>x</t>
  </si>
  <si>
    <t>Palpite 2</t>
  </si>
  <si>
    <t>Time 2</t>
  </si>
  <si>
    <t>Grupo</t>
  </si>
  <si>
    <t>Rodada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</si>
</sst>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hh:mm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  <font>
      <color theme="1"/>
      <name val="Arial"/>
      <scheme val="minor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3" fontId="3" numFmtId="0" xfId="0" applyAlignment="1" applyBorder="1" applyFont="1">
      <alignment horizontal="left"/>
    </xf>
    <xf borderId="1" fillId="4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3" fontId="3" numFmtId="0" xfId="0" applyBorder="1" applyFont="1"/>
    <xf borderId="1" fillId="0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1" fillId="5" fontId="3" numFmtId="164" xfId="0" applyAlignment="1" applyBorder="1" applyFont="1" applyNumberFormat="1">
      <alignment horizontal="center"/>
    </xf>
    <xf borderId="1" fillId="5" fontId="3" numFmtId="165" xfId="0" applyAlignment="1" applyBorder="1" applyFont="1" applyNumberFormat="1">
      <alignment horizontal="center"/>
    </xf>
    <xf borderId="1" fillId="5" fontId="3" numFmtId="0" xfId="0" applyAlignment="1" applyBorder="1" applyFont="1">
      <alignment horizontal="left"/>
    </xf>
    <xf borderId="1" fillId="5" fontId="3" numFmtId="0" xfId="0" applyAlignment="1" applyBorder="1" applyFont="1">
      <alignment horizontal="center" readingOrder="0"/>
    </xf>
    <xf borderId="1" fillId="5" fontId="3" numFmtId="0" xfId="0" applyBorder="1" applyFont="1"/>
    <xf borderId="1" fillId="6" fontId="3" numFmtId="0" xfId="0" applyAlignment="1" applyBorder="1" applyFill="1" applyFont="1">
      <alignment horizontal="center"/>
    </xf>
    <xf borderId="1" fillId="6" fontId="3" numFmtId="164" xfId="0" applyAlignment="1" applyBorder="1" applyFont="1" applyNumberFormat="1">
      <alignment horizontal="center"/>
    </xf>
    <xf borderId="1" fillId="6" fontId="3" numFmtId="165" xfId="0" applyAlignment="1" applyBorder="1" applyFont="1" applyNumberFormat="1">
      <alignment horizontal="center"/>
    </xf>
    <xf borderId="1" fillId="6" fontId="3" numFmtId="0" xfId="0" applyAlignment="1" applyBorder="1" applyFont="1">
      <alignment horizontal="left"/>
    </xf>
    <xf borderId="1" fillId="6" fontId="3" numFmtId="0" xfId="0" applyAlignment="1" applyBorder="1" applyFont="1">
      <alignment horizontal="center" readingOrder="0"/>
    </xf>
    <xf borderId="1" fillId="6" fontId="3" numFmtId="0" xfId="0" applyBorder="1" applyFont="1"/>
    <xf borderId="1" fillId="7" fontId="3" numFmtId="0" xfId="0" applyAlignment="1" applyBorder="1" applyFill="1" applyFont="1">
      <alignment horizontal="center"/>
    </xf>
    <xf borderId="1" fillId="7" fontId="3" numFmtId="164" xfId="0" applyAlignment="1" applyBorder="1" applyFont="1" applyNumberFormat="1">
      <alignment horizontal="center"/>
    </xf>
    <xf borderId="1" fillId="7" fontId="3" numFmtId="165" xfId="0" applyAlignment="1" applyBorder="1" applyFont="1" applyNumberFormat="1">
      <alignment horizontal="center"/>
    </xf>
    <xf borderId="1" fillId="7" fontId="3" numFmtId="0" xfId="0" applyAlignment="1" applyBorder="1" applyFont="1">
      <alignment horizontal="left"/>
    </xf>
    <xf borderId="1" fillId="7" fontId="3" numFmtId="0" xfId="0" applyAlignment="1" applyBorder="1" applyFont="1">
      <alignment horizontal="center" readingOrder="0"/>
    </xf>
    <xf borderId="1" fillId="7" fontId="3" numFmtId="0" xfId="0" applyBorder="1" applyFont="1"/>
    <xf borderId="1" fillId="8" fontId="3" numFmtId="0" xfId="0" applyAlignment="1" applyBorder="1" applyFill="1" applyFont="1">
      <alignment horizontal="center"/>
    </xf>
    <xf borderId="1" fillId="8" fontId="3" numFmtId="164" xfId="0" applyAlignment="1" applyBorder="1" applyFont="1" applyNumberFormat="1">
      <alignment horizontal="center"/>
    </xf>
    <xf borderId="1" fillId="8" fontId="3" numFmtId="165" xfId="0" applyAlignment="1" applyBorder="1" applyFont="1" applyNumberFormat="1">
      <alignment horizontal="center"/>
    </xf>
    <xf borderId="1" fillId="8" fontId="3" numFmtId="0" xfId="0" applyAlignment="1" applyBorder="1" applyFont="1">
      <alignment horizontal="left"/>
    </xf>
    <xf borderId="1" fillId="8" fontId="3" numFmtId="0" xfId="0" applyAlignment="1" applyBorder="1" applyFont="1">
      <alignment horizontal="center" readingOrder="0"/>
    </xf>
    <xf borderId="1" fillId="8" fontId="3" numFmtId="0" xfId="0" applyBorder="1" applyFont="1"/>
    <xf borderId="1" fillId="9" fontId="4" numFmtId="0" xfId="0" applyAlignment="1" applyBorder="1" applyFill="1" applyFont="1">
      <alignment horizontal="center"/>
    </xf>
    <xf borderId="1" fillId="9" fontId="4" numFmtId="164" xfId="0" applyAlignment="1" applyBorder="1" applyFont="1" applyNumberFormat="1">
      <alignment horizontal="center"/>
    </xf>
    <xf borderId="1" fillId="9" fontId="4" numFmtId="165" xfId="0" applyAlignment="1" applyBorder="1" applyFont="1" applyNumberFormat="1">
      <alignment horizontal="center"/>
    </xf>
    <xf borderId="1" fillId="9" fontId="4" numFmtId="0" xfId="0" applyAlignment="1" applyBorder="1" applyFont="1">
      <alignment horizontal="left"/>
    </xf>
    <xf borderId="1" fillId="9" fontId="3" numFmtId="0" xfId="0" applyAlignment="1" applyBorder="1" applyFont="1">
      <alignment horizontal="center" readingOrder="0"/>
    </xf>
    <xf borderId="1" fillId="9" fontId="3" numFmtId="0" xfId="0" applyBorder="1" applyFont="1"/>
    <xf borderId="1" fillId="9" fontId="3" numFmtId="0" xfId="0" applyAlignment="1" applyBorder="1" applyFont="1">
      <alignment horizontal="center"/>
    </xf>
    <xf borderId="1" fillId="10" fontId="3" numFmtId="0" xfId="0" applyAlignment="1" applyBorder="1" applyFill="1" applyFont="1">
      <alignment horizontal="center"/>
    </xf>
    <xf borderId="1" fillId="10" fontId="3" numFmtId="164" xfId="0" applyAlignment="1" applyBorder="1" applyFont="1" applyNumberFormat="1">
      <alignment horizontal="center"/>
    </xf>
    <xf borderId="1" fillId="10" fontId="3" numFmtId="165" xfId="0" applyAlignment="1" applyBorder="1" applyFont="1" applyNumberFormat="1">
      <alignment horizontal="center"/>
    </xf>
    <xf borderId="1" fillId="10" fontId="3" numFmtId="0" xfId="0" applyAlignment="1" applyBorder="1" applyFont="1">
      <alignment horizontal="left"/>
    </xf>
    <xf borderId="1" fillId="10" fontId="3" numFmtId="0" xfId="0" applyAlignment="1" applyBorder="1" applyFont="1">
      <alignment horizontal="center" readingOrder="0"/>
    </xf>
    <xf borderId="1" fillId="10" fontId="3" numFmtId="0" xfId="0" applyBorder="1" applyFont="1"/>
    <xf borderId="1" fillId="11" fontId="3" numFmtId="0" xfId="0" applyAlignment="1" applyBorder="1" applyFill="1" applyFont="1">
      <alignment horizontal="center"/>
    </xf>
    <xf borderId="1" fillId="11" fontId="3" numFmtId="164" xfId="0" applyAlignment="1" applyBorder="1" applyFont="1" applyNumberFormat="1">
      <alignment horizontal="center"/>
    </xf>
    <xf borderId="1" fillId="11" fontId="3" numFmtId="165" xfId="0" applyAlignment="1" applyBorder="1" applyFont="1" applyNumberFormat="1">
      <alignment horizontal="center"/>
    </xf>
    <xf borderId="1" fillId="11" fontId="3" numFmtId="0" xfId="0" applyAlignment="1" applyBorder="1" applyFont="1">
      <alignment horizontal="left"/>
    </xf>
    <xf borderId="1" fillId="11" fontId="3" numFmtId="0" xfId="0" applyAlignment="1" applyBorder="1" applyFont="1">
      <alignment horizontal="center" readingOrder="0"/>
    </xf>
    <xf borderId="1" fillId="11" fontId="3" numFmtId="0" xfId="0" applyBorder="1" applyFont="1"/>
    <xf borderId="1" fillId="12" fontId="3" numFmtId="0" xfId="0" applyAlignment="1" applyBorder="1" applyFill="1" applyFont="1">
      <alignment horizontal="center"/>
    </xf>
    <xf borderId="1" fillId="12" fontId="3" numFmtId="164" xfId="0" applyAlignment="1" applyBorder="1" applyFont="1" applyNumberFormat="1">
      <alignment horizontal="center"/>
    </xf>
    <xf borderId="1" fillId="12" fontId="3" numFmtId="165" xfId="0" applyAlignment="1" applyBorder="1" applyFont="1" applyNumberFormat="1">
      <alignment horizontal="center"/>
    </xf>
    <xf borderId="1" fillId="12" fontId="3" numFmtId="0" xfId="0" applyAlignment="1" applyBorder="1" applyFont="1">
      <alignment horizontal="left"/>
    </xf>
    <xf borderId="1" fillId="12" fontId="3" numFmtId="0" xfId="0" applyAlignment="1" applyBorder="1" applyFont="1">
      <alignment horizontal="center" readingOrder="0"/>
    </xf>
    <xf borderId="1" fillId="12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JOGOS-style">
      <tableStyleElement dxfId="1" type="headerRow"/>
      <tableStyleElement dxfId="2" type="firstRowStripe"/>
      <tableStyleElement dxfId="3" type="secondRowStripe"/>
    </tableStyle>
    <tableStyle count="3" pivot="0" name="JOG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1:E105" displayName="Table_1" name="Table_1" id="1">
  <tableColumns count="1">
    <tableColumn name="Palpite 1" id="1"/>
  </tableColumns>
  <tableStyleInfo name="JOGOS-style" showColumnStripes="0" showFirstColumn="1" showLastColumn="1" showRowStripes="1"/>
</table>
</file>

<file path=xl/tables/table2.xml><?xml version="1.0" encoding="utf-8"?>
<table xmlns="http://schemas.openxmlformats.org/spreadsheetml/2006/main" ref="G1:G105" displayName="Table_2" name="Table_2" id="2">
  <tableColumns count="1">
    <tableColumn name="Palpite 2" id="1"/>
  </tableColumns>
  <tableStyleInfo name="JOG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0"/>
    <col customWidth="1" min="8" max="8" width="22.38"/>
    <col customWidth="1" min="10" max="10" width="15.13"/>
  </cols>
  <sheetData>
    <row r="1" ht="26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>
      <c r="A2" s="4">
        <f>IFERROR(__xludf.DUMMYFUNCTION("IMPORTRANGE(""1hr03nSdGiX0hHcMDFj5T909fSQBDyVDDaMkQ48Oqmko"", ""CALENDARIO!A2:D105"")"),1.0)</f>
        <v>1</v>
      </c>
      <c r="B2" s="5">
        <f>IFERROR(__xludf.DUMMYFUNCTION("""COMPUTED_VALUE"""),46184.0)</f>
        <v>46184</v>
      </c>
      <c r="C2" s="6">
        <f>IFERROR(__xludf.DUMMYFUNCTION("""COMPUTED_VALUE"""),0.6666666666666666)</f>
        <v>0.6666666667</v>
      </c>
      <c r="D2" s="7" t="str">
        <f>IFERROR(__xludf.DUMMYFUNCTION("""COMPUTED_VALUE"""),"México")</f>
        <v>México</v>
      </c>
      <c r="E2" s="8"/>
      <c r="F2" s="9" t="s">
        <v>5</v>
      </c>
      <c r="G2" s="10"/>
      <c r="H2" s="11" t="str">
        <f>IFERROR(__xludf.DUMMYFUNCTION("IMPORTRANGE(""1hr03nSdGiX0hHcMDFj5T909fSQBDyVDDaMkQ48Oqmko"", ""CALENDARIO!H2:J105"")"),"África do Sul")</f>
        <v>África do Sul</v>
      </c>
      <c r="I2" s="4" t="str">
        <f>IFERROR(__xludf.DUMMYFUNCTION("""COMPUTED_VALUE"""),"Grupo A")</f>
        <v>Grupo A</v>
      </c>
      <c r="J2" s="4" t="str">
        <f>IFERROR(__xludf.DUMMYFUNCTION("""COMPUTED_VALUE"""),"1ª rodada")</f>
        <v>1ª rodada</v>
      </c>
    </row>
    <row r="3">
      <c r="A3" s="4">
        <f>IFERROR(__xludf.DUMMYFUNCTION("""COMPUTED_VALUE"""),2.0)</f>
        <v>2</v>
      </c>
      <c r="B3" s="5">
        <f>IFERROR(__xludf.DUMMYFUNCTION("""COMPUTED_VALUE"""),46184.0)</f>
        <v>46184</v>
      </c>
      <c r="C3" s="6">
        <f>IFERROR(__xludf.DUMMYFUNCTION("""COMPUTED_VALUE"""),0.9583333333333334)</f>
        <v>0.9583333333</v>
      </c>
      <c r="D3" s="7" t="str">
        <f>IFERROR(__xludf.DUMMYFUNCTION("""COMPUTED_VALUE"""),"República da Coreia")</f>
        <v>República da Coreia</v>
      </c>
      <c r="E3" s="8"/>
      <c r="F3" s="9" t="s">
        <v>5</v>
      </c>
      <c r="G3" s="10"/>
      <c r="H3" s="11" t="str">
        <f>IFERROR(__xludf.DUMMYFUNCTION("""COMPUTED_VALUE"""),"República Tcheca")</f>
        <v>República Tcheca</v>
      </c>
      <c r="I3" s="4" t="str">
        <f>IFERROR(__xludf.DUMMYFUNCTION("""COMPUTED_VALUE"""),"Grupo A")</f>
        <v>Grupo A</v>
      </c>
      <c r="J3" s="4" t="str">
        <f>IFERROR(__xludf.DUMMYFUNCTION("""COMPUTED_VALUE"""),"1ª rodada")</f>
        <v>1ª rodada</v>
      </c>
    </row>
    <row r="4">
      <c r="A4" s="4">
        <f>IFERROR(__xludf.DUMMYFUNCTION("""COMPUTED_VALUE"""),3.0)</f>
        <v>3</v>
      </c>
      <c r="B4" s="5">
        <f>IFERROR(__xludf.DUMMYFUNCTION("""COMPUTED_VALUE"""),46185.0)</f>
        <v>46185</v>
      </c>
      <c r="C4" s="6">
        <f>IFERROR(__xludf.DUMMYFUNCTION("""COMPUTED_VALUE"""),0.6666666666666666)</f>
        <v>0.6666666667</v>
      </c>
      <c r="D4" s="7" t="str">
        <f>IFERROR(__xludf.DUMMYFUNCTION("""COMPUTED_VALUE"""),"Canadá")</f>
        <v>Canadá</v>
      </c>
      <c r="E4" s="8"/>
      <c r="F4" s="9" t="s">
        <v>5</v>
      </c>
      <c r="G4" s="10"/>
      <c r="H4" s="11" t="str">
        <f>IFERROR(__xludf.DUMMYFUNCTION("""COMPUTED_VALUE"""),"Bósnia e Herzegovina")</f>
        <v>Bósnia e Herzegovina</v>
      </c>
      <c r="I4" s="4" t="str">
        <f>IFERROR(__xludf.DUMMYFUNCTION("""COMPUTED_VALUE"""),"Grupo B")</f>
        <v>Grupo B</v>
      </c>
      <c r="J4" s="4" t="str">
        <f>IFERROR(__xludf.DUMMYFUNCTION("""COMPUTED_VALUE"""),"1ª rodada")</f>
        <v>1ª rodada</v>
      </c>
    </row>
    <row r="5">
      <c r="A5" s="4">
        <f>IFERROR(__xludf.DUMMYFUNCTION("""COMPUTED_VALUE"""),4.0)</f>
        <v>4</v>
      </c>
      <c r="B5" s="5">
        <f>IFERROR(__xludf.DUMMYFUNCTION("""COMPUTED_VALUE"""),46185.0)</f>
        <v>46185</v>
      </c>
      <c r="C5" s="6">
        <f>IFERROR(__xludf.DUMMYFUNCTION("""COMPUTED_VALUE"""),0.9166666666666666)</f>
        <v>0.9166666667</v>
      </c>
      <c r="D5" s="7" t="str">
        <f>IFERROR(__xludf.DUMMYFUNCTION("""COMPUTED_VALUE"""),"Estados Unidos")</f>
        <v>Estados Unidos</v>
      </c>
      <c r="E5" s="8"/>
      <c r="F5" s="9" t="s">
        <v>5</v>
      </c>
      <c r="G5" s="10"/>
      <c r="H5" s="11" t="str">
        <f>IFERROR(__xludf.DUMMYFUNCTION("""COMPUTED_VALUE"""),"Paraguai")</f>
        <v>Paraguai</v>
      </c>
      <c r="I5" s="4" t="str">
        <f>IFERROR(__xludf.DUMMYFUNCTION("""COMPUTED_VALUE"""),"Grupo D")</f>
        <v>Grupo D</v>
      </c>
      <c r="J5" s="4" t="str">
        <f>IFERROR(__xludf.DUMMYFUNCTION("""COMPUTED_VALUE"""),"1ª rodada")</f>
        <v>1ª rodada</v>
      </c>
    </row>
    <row r="6">
      <c r="A6" s="4">
        <f>IFERROR(__xludf.DUMMYFUNCTION("""COMPUTED_VALUE"""),5.0)</f>
        <v>5</v>
      </c>
      <c r="B6" s="5">
        <f>IFERROR(__xludf.DUMMYFUNCTION("""COMPUTED_VALUE"""),46186.0)</f>
        <v>46186</v>
      </c>
      <c r="C6" s="6">
        <f>IFERROR(__xludf.DUMMYFUNCTION("""COMPUTED_VALUE"""),0.6666666666666666)</f>
        <v>0.6666666667</v>
      </c>
      <c r="D6" s="7" t="str">
        <f>IFERROR(__xludf.DUMMYFUNCTION("""COMPUTED_VALUE"""),"Catar")</f>
        <v>Catar</v>
      </c>
      <c r="E6" s="8"/>
      <c r="F6" s="9" t="s">
        <v>5</v>
      </c>
      <c r="G6" s="10"/>
      <c r="H6" s="11" t="str">
        <f>IFERROR(__xludf.DUMMYFUNCTION("""COMPUTED_VALUE"""),"Suíça")</f>
        <v>Suíça</v>
      </c>
      <c r="I6" s="4" t="str">
        <f>IFERROR(__xludf.DUMMYFUNCTION("""COMPUTED_VALUE"""),"Grupo B")</f>
        <v>Grupo B</v>
      </c>
      <c r="J6" s="4" t="str">
        <f>IFERROR(__xludf.DUMMYFUNCTION("""COMPUTED_VALUE"""),"1ª rodada")</f>
        <v>1ª rodada</v>
      </c>
    </row>
    <row r="7">
      <c r="A7" s="4">
        <f>IFERROR(__xludf.DUMMYFUNCTION("""COMPUTED_VALUE"""),6.0)</f>
        <v>6</v>
      </c>
      <c r="B7" s="5">
        <f>IFERROR(__xludf.DUMMYFUNCTION("""COMPUTED_VALUE"""),46186.0)</f>
        <v>46186</v>
      </c>
      <c r="C7" s="6">
        <f>IFERROR(__xludf.DUMMYFUNCTION("""COMPUTED_VALUE"""),0.7916666666666666)</f>
        <v>0.7916666667</v>
      </c>
      <c r="D7" s="7" t="str">
        <f>IFERROR(__xludf.DUMMYFUNCTION("""COMPUTED_VALUE"""),"Brasil")</f>
        <v>Brasil</v>
      </c>
      <c r="E7" s="8"/>
      <c r="F7" s="9" t="s">
        <v>5</v>
      </c>
      <c r="G7" s="10"/>
      <c r="H7" s="11" t="str">
        <f>IFERROR(__xludf.DUMMYFUNCTION("""COMPUTED_VALUE"""),"Marrocos")</f>
        <v>Marrocos</v>
      </c>
      <c r="I7" s="4" t="str">
        <f>IFERROR(__xludf.DUMMYFUNCTION("""COMPUTED_VALUE"""),"Grupo C")</f>
        <v>Grupo C</v>
      </c>
      <c r="J7" s="4" t="str">
        <f>IFERROR(__xludf.DUMMYFUNCTION("""COMPUTED_VALUE"""),"1ª rodada")</f>
        <v>1ª rodada</v>
      </c>
    </row>
    <row r="8">
      <c r="A8" s="4">
        <f>IFERROR(__xludf.DUMMYFUNCTION("""COMPUTED_VALUE"""),7.0)</f>
        <v>7</v>
      </c>
      <c r="B8" s="5">
        <f>IFERROR(__xludf.DUMMYFUNCTION("""COMPUTED_VALUE"""),46186.0)</f>
        <v>46186</v>
      </c>
      <c r="C8" s="6">
        <f>IFERROR(__xludf.DUMMYFUNCTION("""COMPUTED_VALUE"""),0.9166666666666666)</f>
        <v>0.9166666667</v>
      </c>
      <c r="D8" s="7" t="str">
        <f>IFERROR(__xludf.DUMMYFUNCTION("""COMPUTED_VALUE"""),"Haiti")</f>
        <v>Haiti</v>
      </c>
      <c r="E8" s="8"/>
      <c r="F8" s="9" t="s">
        <v>5</v>
      </c>
      <c r="G8" s="12"/>
      <c r="H8" s="11" t="str">
        <f>IFERROR(__xludf.DUMMYFUNCTION("""COMPUTED_VALUE"""),"Escócia")</f>
        <v>Escócia</v>
      </c>
      <c r="I8" s="4" t="str">
        <f>IFERROR(__xludf.DUMMYFUNCTION("""COMPUTED_VALUE"""),"Grupo C")</f>
        <v>Grupo C</v>
      </c>
      <c r="J8" s="4" t="str">
        <f>IFERROR(__xludf.DUMMYFUNCTION("""COMPUTED_VALUE"""),"1ª rodada")</f>
        <v>1ª rodada</v>
      </c>
    </row>
    <row r="9">
      <c r="A9" s="4">
        <f>IFERROR(__xludf.DUMMYFUNCTION("""COMPUTED_VALUE"""),8.0)</f>
        <v>8</v>
      </c>
      <c r="B9" s="5">
        <f>IFERROR(__xludf.DUMMYFUNCTION("""COMPUTED_VALUE"""),46187.0)</f>
        <v>46187</v>
      </c>
      <c r="C9" s="6">
        <f>IFERROR(__xludf.DUMMYFUNCTION("""COMPUTED_VALUE"""),0.041666666666666664)</f>
        <v>0.04166666667</v>
      </c>
      <c r="D9" s="7" t="str">
        <f>IFERROR(__xludf.DUMMYFUNCTION("""COMPUTED_VALUE"""),"Austrália")</f>
        <v>Austrália</v>
      </c>
      <c r="E9" s="8"/>
      <c r="F9" s="9" t="s">
        <v>5</v>
      </c>
      <c r="G9" s="10"/>
      <c r="H9" s="11" t="str">
        <f>IFERROR(__xludf.DUMMYFUNCTION("""COMPUTED_VALUE"""),"Turquia")</f>
        <v>Turquia</v>
      </c>
      <c r="I9" s="4" t="str">
        <f>IFERROR(__xludf.DUMMYFUNCTION("""COMPUTED_VALUE"""),"Grupo D")</f>
        <v>Grupo D</v>
      </c>
      <c r="J9" s="4" t="str">
        <f>IFERROR(__xludf.DUMMYFUNCTION("""COMPUTED_VALUE"""),"1ª rodada")</f>
        <v>1ª rodada</v>
      </c>
    </row>
    <row r="10">
      <c r="A10" s="4">
        <f>IFERROR(__xludf.DUMMYFUNCTION("""COMPUTED_VALUE"""),9.0)</f>
        <v>9</v>
      </c>
      <c r="B10" s="5">
        <f>IFERROR(__xludf.DUMMYFUNCTION("""COMPUTED_VALUE"""),46187.0)</f>
        <v>46187</v>
      </c>
      <c r="C10" s="6">
        <f>IFERROR(__xludf.DUMMYFUNCTION("""COMPUTED_VALUE"""),0.5833333333333334)</f>
        <v>0.5833333333</v>
      </c>
      <c r="D10" s="7" t="str">
        <f>IFERROR(__xludf.DUMMYFUNCTION("""COMPUTED_VALUE"""),"Alemanha")</f>
        <v>Alemanha</v>
      </c>
      <c r="E10" s="8"/>
      <c r="F10" s="9" t="s">
        <v>5</v>
      </c>
      <c r="G10" s="10"/>
      <c r="H10" s="11" t="str">
        <f>IFERROR(__xludf.DUMMYFUNCTION("""COMPUTED_VALUE"""),"Curaçau")</f>
        <v>Curaçau</v>
      </c>
      <c r="I10" s="4" t="str">
        <f>IFERROR(__xludf.DUMMYFUNCTION("""COMPUTED_VALUE"""),"Grupo E")</f>
        <v>Grupo E</v>
      </c>
      <c r="J10" s="4" t="str">
        <f>IFERROR(__xludf.DUMMYFUNCTION("""COMPUTED_VALUE"""),"1ª rodada")</f>
        <v>1ª rodada</v>
      </c>
    </row>
    <row r="11">
      <c r="A11" s="4">
        <f>IFERROR(__xludf.DUMMYFUNCTION("""COMPUTED_VALUE"""),10.0)</f>
        <v>10</v>
      </c>
      <c r="B11" s="5">
        <f>IFERROR(__xludf.DUMMYFUNCTION("""COMPUTED_VALUE"""),46187.0)</f>
        <v>46187</v>
      </c>
      <c r="C11" s="6">
        <f>IFERROR(__xludf.DUMMYFUNCTION("""COMPUTED_VALUE"""),0.8333333333333334)</f>
        <v>0.8333333333</v>
      </c>
      <c r="D11" s="7" t="str">
        <f>IFERROR(__xludf.DUMMYFUNCTION("""COMPUTED_VALUE"""),"Costa do Marfim")</f>
        <v>Costa do Marfim</v>
      </c>
      <c r="E11" s="8"/>
      <c r="F11" s="9" t="s">
        <v>5</v>
      </c>
      <c r="G11" s="10"/>
      <c r="H11" s="11" t="str">
        <f>IFERROR(__xludf.DUMMYFUNCTION("""COMPUTED_VALUE"""),"Equador")</f>
        <v>Equador</v>
      </c>
      <c r="I11" s="4" t="str">
        <f>IFERROR(__xludf.DUMMYFUNCTION("""COMPUTED_VALUE"""),"Grupo E")</f>
        <v>Grupo E</v>
      </c>
      <c r="J11" s="4" t="str">
        <f>IFERROR(__xludf.DUMMYFUNCTION("""COMPUTED_VALUE"""),"1ª rodada")</f>
        <v>1ª rodada</v>
      </c>
    </row>
    <row r="12">
      <c r="A12" s="4">
        <f>IFERROR(__xludf.DUMMYFUNCTION("""COMPUTED_VALUE"""),11.0)</f>
        <v>11</v>
      </c>
      <c r="B12" s="5">
        <f>IFERROR(__xludf.DUMMYFUNCTION("""COMPUTED_VALUE"""),46187.0)</f>
        <v>46187</v>
      </c>
      <c r="C12" s="6">
        <f>IFERROR(__xludf.DUMMYFUNCTION("""COMPUTED_VALUE"""),0.7083333333333334)</f>
        <v>0.7083333333</v>
      </c>
      <c r="D12" s="7" t="str">
        <f>IFERROR(__xludf.DUMMYFUNCTION("""COMPUTED_VALUE"""),"Holanda")</f>
        <v>Holanda</v>
      </c>
      <c r="E12" s="8"/>
      <c r="F12" s="9" t="s">
        <v>5</v>
      </c>
      <c r="G12" s="12"/>
      <c r="H12" s="11" t="str">
        <f>IFERROR(__xludf.DUMMYFUNCTION("""COMPUTED_VALUE"""),"Japão")</f>
        <v>Japão</v>
      </c>
      <c r="I12" s="4" t="str">
        <f>IFERROR(__xludf.DUMMYFUNCTION("""COMPUTED_VALUE"""),"Grupo F")</f>
        <v>Grupo F</v>
      </c>
      <c r="J12" s="4" t="str">
        <f>IFERROR(__xludf.DUMMYFUNCTION("""COMPUTED_VALUE"""),"1ª rodada")</f>
        <v>1ª rodada</v>
      </c>
    </row>
    <row r="13">
      <c r="A13" s="4">
        <f>IFERROR(__xludf.DUMMYFUNCTION("""COMPUTED_VALUE"""),12.0)</f>
        <v>12</v>
      </c>
      <c r="B13" s="5">
        <f>IFERROR(__xludf.DUMMYFUNCTION("""COMPUTED_VALUE"""),46187.0)</f>
        <v>46187</v>
      </c>
      <c r="C13" s="6">
        <f>IFERROR(__xludf.DUMMYFUNCTION("""COMPUTED_VALUE"""),0.9583333333333334)</f>
        <v>0.9583333333</v>
      </c>
      <c r="D13" s="7" t="str">
        <f>IFERROR(__xludf.DUMMYFUNCTION("""COMPUTED_VALUE"""),"Suécia")</f>
        <v>Suécia</v>
      </c>
      <c r="E13" s="8"/>
      <c r="F13" s="9" t="s">
        <v>5</v>
      </c>
      <c r="G13" s="12"/>
      <c r="H13" s="11" t="str">
        <f>IFERROR(__xludf.DUMMYFUNCTION("""COMPUTED_VALUE"""),"Tunísia")</f>
        <v>Tunísia</v>
      </c>
      <c r="I13" s="4" t="str">
        <f>IFERROR(__xludf.DUMMYFUNCTION("""COMPUTED_VALUE"""),"Grupo F")</f>
        <v>Grupo F</v>
      </c>
      <c r="J13" s="4" t="str">
        <f>IFERROR(__xludf.DUMMYFUNCTION("""COMPUTED_VALUE"""),"1ª rodada")</f>
        <v>1ª rodada</v>
      </c>
    </row>
    <row r="14">
      <c r="A14" s="4">
        <f>IFERROR(__xludf.DUMMYFUNCTION("""COMPUTED_VALUE"""),13.0)</f>
        <v>13</v>
      </c>
      <c r="B14" s="5">
        <f>IFERROR(__xludf.DUMMYFUNCTION("""COMPUTED_VALUE"""),46188.0)</f>
        <v>46188</v>
      </c>
      <c r="C14" s="6">
        <f>IFERROR(__xludf.DUMMYFUNCTION("""COMPUTED_VALUE"""),0.5416666666666666)</f>
        <v>0.5416666667</v>
      </c>
      <c r="D14" s="7" t="str">
        <f>IFERROR(__xludf.DUMMYFUNCTION("""COMPUTED_VALUE"""),"Espanha")</f>
        <v>Espanha</v>
      </c>
      <c r="E14" s="8"/>
      <c r="F14" s="9" t="s">
        <v>5</v>
      </c>
      <c r="G14" s="12"/>
      <c r="H14" s="11" t="str">
        <f>IFERROR(__xludf.DUMMYFUNCTION("""COMPUTED_VALUE"""),"Cabo Verde")</f>
        <v>Cabo Verde</v>
      </c>
      <c r="I14" s="4" t="str">
        <f>IFERROR(__xludf.DUMMYFUNCTION("""COMPUTED_VALUE"""),"Grupo H")</f>
        <v>Grupo H</v>
      </c>
      <c r="J14" s="4" t="str">
        <f>IFERROR(__xludf.DUMMYFUNCTION("""COMPUTED_VALUE"""),"1ª rodada")</f>
        <v>1ª rodada</v>
      </c>
    </row>
    <row r="15">
      <c r="A15" s="4">
        <f>IFERROR(__xludf.DUMMYFUNCTION("""COMPUTED_VALUE"""),14.0)</f>
        <v>14</v>
      </c>
      <c r="B15" s="5">
        <f>IFERROR(__xludf.DUMMYFUNCTION("""COMPUTED_VALUE"""),46188.0)</f>
        <v>46188</v>
      </c>
      <c r="C15" s="6">
        <f>IFERROR(__xludf.DUMMYFUNCTION("""COMPUTED_VALUE"""),0.7916666666666666)</f>
        <v>0.7916666667</v>
      </c>
      <c r="D15" s="7" t="str">
        <f>IFERROR(__xludf.DUMMYFUNCTION("""COMPUTED_VALUE"""),"Arábia Saudita")</f>
        <v>Arábia Saudita</v>
      </c>
      <c r="E15" s="8"/>
      <c r="F15" s="9" t="s">
        <v>5</v>
      </c>
      <c r="G15" s="12"/>
      <c r="H15" s="11" t="str">
        <f>IFERROR(__xludf.DUMMYFUNCTION("""COMPUTED_VALUE"""),"Uruguai")</f>
        <v>Uruguai</v>
      </c>
      <c r="I15" s="4" t="str">
        <f>IFERROR(__xludf.DUMMYFUNCTION("""COMPUTED_VALUE"""),"Grupo H")</f>
        <v>Grupo H</v>
      </c>
      <c r="J15" s="4" t="str">
        <f>IFERROR(__xludf.DUMMYFUNCTION("""COMPUTED_VALUE"""),"1ª rodada")</f>
        <v>1ª rodada</v>
      </c>
    </row>
    <row r="16">
      <c r="A16" s="4">
        <f>IFERROR(__xludf.DUMMYFUNCTION("""COMPUTED_VALUE"""),15.0)</f>
        <v>15</v>
      </c>
      <c r="B16" s="5">
        <f>IFERROR(__xludf.DUMMYFUNCTION("""COMPUTED_VALUE"""),46188.0)</f>
        <v>46188</v>
      </c>
      <c r="C16" s="6">
        <f>IFERROR(__xludf.DUMMYFUNCTION("""COMPUTED_VALUE"""),0.6666666666666666)</f>
        <v>0.6666666667</v>
      </c>
      <c r="D16" s="7" t="str">
        <f>IFERROR(__xludf.DUMMYFUNCTION("""COMPUTED_VALUE"""),"Bélgica")</f>
        <v>Bélgica</v>
      </c>
      <c r="E16" s="8"/>
      <c r="F16" s="9" t="s">
        <v>5</v>
      </c>
      <c r="G16" s="12"/>
      <c r="H16" s="11" t="str">
        <f>IFERROR(__xludf.DUMMYFUNCTION("""COMPUTED_VALUE"""),"Egito")</f>
        <v>Egito</v>
      </c>
      <c r="I16" s="4" t="str">
        <f>IFERROR(__xludf.DUMMYFUNCTION("""COMPUTED_VALUE"""),"Grupo G")</f>
        <v>Grupo G</v>
      </c>
      <c r="J16" s="4" t="str">
        <f>IFERROR(__xludf.DUMMYFUNCTION("""COMPUTED_VALUE"""),"1ª rodada")</f>
        <v>1ª rodada</v>
      </c>
    </row>
    <row r="17">
      <c r="A17" s="4">
        <f>IFERROR(__xludf.DUMMYFUNCTION("""COMPUTED_VALUE"""),16.0)</f>
        <v>16</v>
      </c>
      <c r="B17" s="5">
        <f>IFERROR(__xludf.DUMMYFUNCTION("""COMPUTED_VALUE"""),46188.0)</f>
        <v>46188</v>
      </c>
      <c r="C17" s="6">
        <f>IFERROR(__xludf.DUMMYFUNCTION("""COMPUTED_VALUE"""),0.9166666666666666)</f>
        <v>0.9166666667</v>
      </c>
      <c r="D17" s="7" t="str">
        <f>IFERROR(__xludf.DUMMYFUNCTION("""COMPUTED_VALUE"""),"Irã")</f>
        <v>Irã</v>
      </c>
      <c r="E17" s="8"/>
      <c r="F17" s="9" t="s">
        <v>5</v>
      </c>
      <c r="G17" s="12"/>
      <c r="H17" s="11" t="str">
        <f>IFERROR(__xludf.DUMMYFUNCTION("""COMPUTED_VALUE"""),"Nova Zelândia")</f>
        <v>Nova Zelândia</v>
      </c>
      <c r="I17" s="4" t="str">
        <f>IFERROR(__xludf.DUMMYFUNCTION("""COMPUTED_VALUE"""),"Grupo G")</f>
        <v>Grupo G</v>
      </c>
      <c r="J17" s="4" t="str">
        <f>IFERROR(__xludf.DUMMYFUNCTION("""COMPUTED_VALUE"""),"1ª rodada")</f>
        <v>1ª rodada</v>
      </c>
    </row>
    <row r="18">
      <c r="A18" s="4">
        <f>IFERROR(__xludf.DUMMYFUNCTION("""COMPUTED_VALUE"""),17.0)</f>
        <v>17</v>
      </c>
      <c r="B18" s="5">
        <f>IFERROR(__xludf.DUMMYFUNCTION("""COMPUTED_VALUE"""),46190.0)</f>
        <v>46190</v>
      </c>
      <c r="C18" s="6">
        <f>IFERROR(__xludf.DUMMYFUNCTION("""COMPUTED_VALUE"""),0.041666666666666664)</f>
        <v>0.04166666667</v>
      </c>
      <c r="D18" s="7" t="str">
        <f>IFERROR(__xludf.DUMMYFUNCTION("""COMPUTED_VALUE"""),"Áustria")</f>
        <v>Áustria</v>
      </c>
      <c r="E18" s="8"/>
      <c r="F18" s="9" t="s">
        <v>5</v>
      </c>
      <c r="G18" s="12"/>
      <c r="H18" s="11" t="str">
        <f>IFERROR(__xludf.DUMMYFUNCTION("""COMPUTED_VALUE"""),"Jordânia")</f>
        <v>Jordânia</v>
      </c>
      <c r="I18" s="4" t="str">
        <f>IFERROR(__xludf.DUMMYFUNCTION("""COMPUTED_VALUE"""),"Grupo J")</f>
        <v>Grupo J</v>
      </c>
      <c r="J18" s="4" t="str">
        <f>IFERROR(__xludf.DUMMYFUNCTION("""COMPUTED_VALUE"""),"1ª rodada")</f>
        <v>1ª rodada</v>
      </c>
    </row>
    <row r="19">
      <c r="A19" s="4">
        <f>IFERROR(__xludf.DUMMYFUNCTION("""COMPUTED_VALUE"""),18.0)</f>
        <v>18</v>
      </c>
      <c r="B19" s="5">
        <f>IFERROR(__xludf.DUMMYFUNCTION("""COMPUTED_VALUE"""),46189.0)</f>
        <v>46189</v>
      </c>
      <c r="C19" s="6">
        <f>IFERROR(__xludf.DUMMYFUNCTION("""COMPUTED_VALUE"""),0.6666666666666666)</f>
        <v>0.6666666667</v>
      </c>
      <c r="D19" s="7" t="str">
        <f>IFERROR(__xludf.DUMMYFUNCTION("""COMPUTED_VALUE"""),"França")</f>
        <v>França</v>
      </c>
      <c r="E19" s="8"/>
      <c r="F19" s="9" t="s">
        <v>5</v>
      </c>
      <c r="G19" s="12"/>
      <c r="H19" s="11" t="str">
        <f>IFERROR(__xludf.DUMMYFUNCTION("""COMPUTED_VALUE"""),"Senegal")</f>
        <v>Senegal</v>
      </c>
      <c r="I19" s="4" t="str">
        <f>IFERROR(__xludf.DUMMYFUNCTION("""COMPUTED_VALUE"""),"Grupo I")</f>
        <v>Grupo I</v>
      </c>
      <c r="J19" s="4" t="str">
        <f>IFERROR(__xludf.DUMMYFUNCTION("""COMPUTED_VALUE"""),"1ª rodada")</f>
        <v>1ª rodada</v>
      </c>
    </row>
    <row r="20">
      <c r="A20" s="4">
        <f>IFERROR(__xludf.DUMMYFUNCTION("""COMPUTED_VALUE"""),19.0)</f>
        <v>19</v>
      </c>
      <c r="B20" s="5">
        <f>IFERROR(__xludf.DUMMYFUNCTION("""COMPUTED_VALUE"""),46189.0)</f>
        <v>46189</v>
      </c>
      <c r="C20" s="6">
        <f>IFERROR(__xludf.DUMMYFUNCTION("""COMPUTED_VALUE"""),0.7916666666666666)</f>
        <v>0.7916666667</v>
      </c>
      <c r="D20" s="7" t="str">
        <f>IFERROR(__xludf.DUMMYFUNCTION("""COMPUTED_VALUE"""),"Iraque")</f>
        <v>Iraque</v>
      </c>
      <c r="E20" s="13"/>
      <c r="F20" s="9" t="s">
        <v>5</v>
      </c>
      <c r="G20" s="12"/>
      <c r="H20" s="11" t="str">
        <f>IFERROR(__xludf.DUMMYFUNCTION("""COMPUTED_VALUE"""),"Noruega")</f>
        <v>Noruega</v>
      </c>
      <c r="I20" s="4" t="str">
        <f>IFERROR(__xludf.DUMMYFUNCTION("""COMPUTED_VALUE"""),"Grupo I")</f>
        <v>Grupo I</v>
      </c>
      <c r="J20" s="4" t="str">
        <f>IFERROR(__xludf.DUMMYFUNCTION("""COMPUTED_VALUE"""),"1ª rodada")</f>
        <v>1ª rodada</v>
      </c>
    </row>
    <row r="21">
      <c r="A21" s="4">
        <f>IFERROR(__xludf.DUMMYFUNCTION("""COMPUTED_VALUE"""),20.0)</f>
        <v>20</v>
      </c>
      <c r="B21" s="5">
        <f>IFERROR(__xludf.DUMMYFUNCTION("""COMPUTED_VALUE"""),46189.0)</f>
        <v>46189</v>
      </c>
      <c r="C21" s="6">
        <f>IFERROR(__xludf.DUMMYFUNCTION("""COMPUTED_VALUE"""),0.9166666666666666)</f>
        <v>0.9166666667</v>
      </c>
      <c r="D21" s="7" t="str">
        <f>IFERROR(__xludf.DUMMYFUNCTION("""COMPUTED_VALUE"""),"Argentina")</f>
        <v>Argentina</v>
      </c>
      <c r="E21" s="13"/>
      <c r="F21" s="9" t="s">
        <v>5</v>
      </c>
      <c r="G21" s="12"/>
      <c r="H21" s="11" t="str">
        <f>IFERROR(__xludf.DUMMYFUNCTION("""COMPUTED_VALUE"""),"Argélia")</f>
        <v>Argélia</v>
      </c>
      <c r="I21" s="4" t="str">
        <f>IFERROR(__xludf.DUMMYFUNCTION("""COMPUTED_VALUE"""),"Grupo J")</f>
        <v>Grupo J</v>
      </c>
      <c r="J21" s="4" t="str">
        <f>IFERROR(__xludf.DUMMYFUNCTION("""COMPUTED_VALUE"""),"1ª rodada")</f>
        <v>1ª rodada</v>
      </c>
    </row>
    <row r="22">
      <c r="A22" s="4">
        <f>IFERROR(__xludf.DUMMYFUNCTION("""COMPUTED_VALUE"""),21.0)</f>
        <v>21</v>
      </c>
      <c r="B22" s="5">
        <f>IFERROR(__xludf.DUMMYFUNCTION("""COMPUTED_VALUE"""),46190.0)</f>
        <v>46190</v>
      </c>
      <c r="C22" s="6">
        <f>IFERROR(__xludf.DUMMYFUNCTION("""COMPUTED_VALUE"""),0.5833333333333334)</f>
        <v>0.5833333333</v>
      </c>
      <c r="D22" s="7" t="str">
        <f>IFERROR(__xludf.DUMMYFUNCTION("""COMPUTED_VALUE"""),"Portugal")</f>
        <v>Portugal</v>
      </c>
      <c r="E22" s="13"/>
      <c r="F22" s="9" t="s">
        <v>5</v>
      </c>
      <c r="G22" s="12"/>
      <c r="H22" s="11" t="str">
        <f>IFERROR(__xludf.DUMMYFUNCTION("""COMPUTED_VALUE"""),"Rep. Dem. do Congo")</f>
        <v>Rep. Dem. do Congo</v>
      </c>
      <c r="I22" s="4" t="str">
        <f>IFERROR(__xludf.DUMMYFUNCTION("""COMPUTED_VALUE"""),"Grupo K")</f>
        <v>Grupo K</v>
      </c>
      <c r="J22" s="4" t="str">
        <f>IFERROR(__xludf.DUMMYFUNCTION("""COMPUTED_VALUE"""),"1ª rodada")</f>
        <v>1ª rodada</v>
      </c>
    </row>
    <row r="23">
      <c r="A23" s="4">
        <f>IFERROR(__xludf.DUMMYFUNCTION("""COMPUTED_VALUE"""),22.0)</f>
        <v>22</v>
      </c>
      <c r="B23" s="5">
        <f>IFERROR(__xludf.DUMMYFUNCTION("""COMPUTED_VALUE"""),46190.0)</f>
        <v>46190</v>
      </c>
      <c r="C23" s="6">
        <f>IFERROR(__xludf.DUMMYFUNCTION("""COMPUTED_VALUE"""),0.7083333333333334)</f>
        <v>0.7083333333</v>
      </c>
      <c r="D23" s="7" t="str">
        <f>IFERROR(__xludf.DUMMYFUNCTION("""COMPUTED_VALUE"""),"Inglaterra")</f>
        <v>Inglaterra</v>
      </c>
      <c r="E23" s="13"/>
      <c r="F23" s="9" t="s">
        <v>5</v>
      </c>
      <c r="G23" s="12"/>
      <c r="H23" s="11" t="str">
        <f>IFERROR(__xludf.DUMMYFUNCTION("""COMPUTED_VALUE"""),"Croácia")</f>
        <v>Croácia</v>
      </c>
      <c r="I23" s="4" t="str">
        <f>IFERROR(__xludf.DUMMYFUNCTION("""COMPUTED_VALUE"""),"Grupo L")</f>
        <v>Grupo L</v>
      </c>
      <c r="J23" s="4" t="str">
        <f>IFERROR(__xludf.DUMMYFUNCTION("""COMPUTED_VALUE"""),"1ª rodada")</f>
        <v>1ª rodada</v>
      </c>
    </row>
    <row r="24">
      <c r="A24" s="4">
        <f>IFERROR(__xludf.DUMMYFUNCTION("""COMPUTED_VALUE"""),23.0)</f>
        <v>23</v>
      </c>
      <c r="B24" s="5">
        <f>IFERROR(__xludf.DUMMYFUNCTION("""COMPUTED_VALUE"""),46190.0)</f>
        <v>46190</v>
      </c>
      <c r="C24" s="6">
        <f>IFERROR(__xludf.DUMMYFUNCTION("""COMPUTED_VALUE"""),0.8333333333333334)</f>
        <v>0.8333333333</v>
      </c>
      <c r="D24" s="7" t="str">
        <f>IFERROR(__xludf.DUMMYFUNCTION("""COMPUTED_VALUE"""),"Gana")</f>
        <v>Gana</v>
      </c>
      <c r="E24" s="13"/>
      <c r="F24" s="9" t="s">
        <v>5</v>
      </c>
      <c r="G24" s="12"/>
      <c r="H24" s="11" t="str">
        <f>IFERROR(__xludf.DUMMYFUNCTION("""COMPUTED_VALUE"""),"Panamá")</f>
        <v>Panamá</v>
      </c>
      <c r="I24" s="4" t="str">
        <f>IFERROR(__xludf.DUMMYFUNCTION("""COMPUTED_VALUE"""),"Grupo L")</f>
        <v>Grupo L</v>
      </c>
      <c r="J24" s="4" t="str">
        <f>IFERROR(__xludf.DUMMYFUNCTION("""COMPUTED_VALUE"""),"1ª rodada")</f>
        <v>1ª rodada</v>
      </c>
    </row>
    <row r="25">
      <c r="A25" s="4">
        <f>IFERROR(__xludf.DUMMYFUNCTION("""COMPUTED_VALUE"""),24.0)</f>
        <v>24</v>
      </c>
      <c r="B25" s="5">
        <f>IFERROR(__xludf.DUMMYFUNCTION("""COMPUTED_VALUE"""),46190.0)</f>
        <v>46190</v>
      </c>
      <c r="C25" s="6">
        <f>IFERROR(__xludf.DUMMYFUNCTION("""COMPUTED_VALUE"""),0.875)</f>
        <v>0.875</v>
      </c>
      <c r="D25" s="7" t="str">
        <f>IFERROR(__xludf.DUMMYFUNCTION("""COMPUTED_VALUE"""),"Uzbequistão")</f>
        <v>Uzbequistão</v>
      </c>
      <c r="E25" s="13"/>
      <c r="F25" s="9" t="s">
        <v>5</v>
      </c>
      <c r="G25" s="12"/>
      <c r="H25" s="11" t="str">
        <f>IFERROR(__xludf.DUMMYFUNCTION("""COMPUTED_VALUE"""),"Colômbia")</f>
        <v>Colômbia</v>
      </c>
      <c r="I25" s="4" t="str">
        <f>IFERROR(__xludf.DUMMYFUNCTION("""COMPUTED_VALUE"""),"Grupo K")</f>
        <v>Grupo K</v>
      </c>
      <c r="J25" s="4" t="str">
        <f>IFERROR(__xludf.DUMMYFUNCTION("""COMPUTED_VALUE"""),"1ª rodada")</f>
        <v>1ª rodada</v>
      </c>
    </row>
    <row r="26">
      <c r="A26" s="14">
        <f>IFERROR(__xludf.DUMMYFUNCTION("""COMPUTED_VALUE"""),25.0)</f>
        <v>25</v>
      </c>
      <c r="B26" s="15">
        <f>IFERROR(__xludf.DUMMYFUNCTION("""COMPUTED_VALUE"""),46191.0)</f>
        <v>46191</v>
      </c>
      <c r="C26" s="16">
        <f>IFERROR(__xludf.DUMMYFUNCTION("""COMPUTED_VALUE"""),0.5416666666666666)</f>
        <v>0.5416666667</v>
      </c>
      <c r="D26" s="17" t="str">
        <f>IFERROR(__xludf.DUMMYFUNCTION("""COMPUTED_VALUE"""),"República Tcheca")</f>
        <v>República Tcheca</v>
      </c>
      <c r="E26" s="12"/>
      <c r="F26" s="18" t="s">
        <v>5</v>
      </c>
      <c r="G26" s="12"/>
      <c r="H26" s="19" t="str">
        <f>IFERROR(__xludf.DUMMYFUNCTION("""COMPUTED_VALUE"""),"África do Sul")</f>
        <v>África do Sul</v>
      </c>
      <c r="I26" s="14" t="str">
        <f>IFERROR(__xludf.DUMMYFUNCTION("""COMPUTED_VALUE"""),"Grupo A")</f>
        <v>Grupo A</v>
      </c>
      <c r="J26" s="14" t="str">
        <f>IFERROR(__xludf.DUMMYFUNCTION("""COMPUTED_VALUE"""),"2ª rodada")</f>
        <v>2ª rodada</v>
      </c>
    </row>
    <row r="27">
      <c r="A27" s="14">
        <f>IFERROR(__xludf.DUMMYFUNCTION("""COMPUTED_VALUE"""),26.0)</f>
        <v>26</v>
      </c>
      <c r="B27" s="15">
        <f>IFERROR(__xludf.DUMMYFUNCTION("""COMPUTED_VALUE"""),46191.0)</f>
        <v>46191</v>
      </c>
      <c r="C27" s="16">
        <f>IFERROR(__xludf.DUMMYFUNCTION("""COMPUTED_VALUE"""),0.6666666666666666)</f>
        <v>0.6666666667</v>
      </c>
      <c r="D27" s="17" t="str">
        <f>IFERROR(__xludf.DUMMYFUNCTION("""COMPUTED_VALUE"""),"Suíça")</f>
        <v>Suíça</v>
      </c>
      <c r="E27" s="12"/>
      <c r="F27" s="18" t="s">
        <v>5</v>
      </c>
      <c r="G27" s="12"/>
      <c r="H27" s="19" t="str">
        <f>IFERROR(__xludf.DUMMYFUNCTION("""COMPUTED_VALUE"""),"Bósnia e Herzegovina")</f>
        <v>Bósnia e Herzegovina</v>
      </c>
      <c r="I27" s="14" t="str">
        <f>IFERROR(__xludf.DUMMYFUNCTION("""COMPUTED_VALUE"""),"Grupo B")</f>
        <v>Grupo B</v>
      </c>
      <c r="J27" s="14" t="str">
        <f>IFERROR(__xludf.DUMMYFUNCTION("""COMPUTED_VALUE"""),"2ª rodada")</f>
        <v>2ª rodada</v>
      </c>
    </row>
    <row r="28">
      <c r="A28" s="14">
        <f>IFERROR(__xludf.DUMMYFUNCTION("""COMPUTED_VALUE"""),27.0)</f>
        <v>27</v>
      </c>
      <c r="B28" s="15">
        <f>IFERROR(__xludf.DUMMYFUNCTION("""COMPUTED_VALUE"""),46191.0)</f>
        <v>46191</v>
      </c>
      <c r="C28" s="16">
        <f>IFERROR(__xludf.DUMMYFUNCTION("""COMPUTED_VALUE"""),0.7916666666666666)</f>
        <v>0.7916666667</v>
      </c>
      <c r="D28" s="17" t="str">
        <f>IFERROR(__xludf.DUMMYFUNCTION("""COMPUTED_VALUE"""),"Canadá")</f>
        <v>Canadá</v>
      </c>
      <c r="E28" s="12"/>
      <c r="F28" s="18" t="s">
        <v>5</v>
      </c>
      <c r="G28" s="12"/>
      <c r="H28" s="19" t="str">
        <f>IFERROR(__xludf.DUMMYFUNCTION("""COMPUTED_VALUE"""),"Catar")</f>
        <v>Catar</v>
      </c>
      <c r="I28" s="14" t="str">
        <f>IFERROR(__xludf.DUMMYFUNCTION("""COMPUTED_VALUE"""),"Grupo B")</f>
        <v>Grupo B</v>
      </c>
      <c r="J28" s="14" t="str">
        <f>IFERROR(__xludf.DUMMYFUNCTION("""COMPUTED_VALUE"""),"2ª rodada")</f>
        <v>2ª rodada</v>
      </c>
    </row>
    <row r="29">
      <c r="A29" s="14">
        <f>IFERROR(__xludf.DUMMYFUNCTION("""COMPUTED_VALUE"""),28.0)</f>
        <v>28</v>
      </c>
      <c r="B29" s="15">
        <f>IFERROR(__xludf.DUMMYFUNCTION("""COMPUTED_VALUE"""),46191.0)</f>
        <v>46191</v>
      </c>
      <c r="C29" s="16">
        <f>IFERROR(__xludf.DUMMYFUNCTION("""COMPUTED_VALUE"""),0.9166666666666666)</f>
        <v>0.9166666667</v>
      </c>
      <c r="D29" s="17" t="str">
        <f>IFERROR(__xludf.DUMMYFUNCTION("""COMPUTED_VALUE"""),"México")</f>
        <v>México</v>
      </c>
      <c r="E29" s="12"/>
      <c r="F29" s="18" t="s">
        <v>5</v>
      </c>
      <c r="G29" s="12"/>
      <c r="H29" s="19" t="str">
        <f>IFERROR(__xludf.DUMMYFUNCTION("""COMPUTED_VALUE"""),"República da Coreia")</f>
        <v>República da Coreia</v>
      </c>
      <c r="I29" s="14" t="str">
        <f>IFERROR(__xludf.DUMMYFUNCTION("""COMPUTED_VALUE"""),"Grupo A")</f>
        <v>Grupo A</v>
      </c>
      <c r="J29" s="14" t="str">
        <f>IFERROR(__xludf.DUMMYFUNCTION("""COMPUTED_VALUE"""),"2ª rodada")</f>
        <v>2ª rodada</v>
      </c>
    </row>
    <row r="30">
      <c r="A30" s="14">
        <f>IFERROR(__xludf.DUMMYFUNCTION("""COMPUTED_VALUE"""),29.0)</f>
        <v>29</v>
      </c>
      <c r="B30" s="15">
        <f>IFERROR(__xludf.DUMMYFUNCTION("""COMPUTED_VALUE"""),46192.0)</f>
        <v>46192</v>
      </c>
      <c r="C30" s="16">
        <f>IFERROR(__xludf.DUMMYFUNCTION("""COMPUTED_VALUE"""),0.0)</f>
        <v>0</v>
      </c>
      <c r="D30" s="17" t="str">
        <f>IFERROR(__xludf.DUMMYFUNCTION("""COMPUTED_VALUE"""),"Turquia")</f>
        <v>Turquia</v>
      </c>
      <c r="E30" s="12"/>
      <c r="F30" s="18" t="s">
        <v>5</v>
      </c>
      <c r="G30" s="12"/>
      <c r="H30" s="19" t="str">
        <f>IFERROR(__xludf.DUMMYFUNCTION("""COMPUTED_VALUE"""),"Paraguai")</f>
        <v>Paraguai</v>
      </c>
      <c r="I30" s="14" t="str">
        <f>IFERROR(__xludf.DUMMYFUNCTION("""COMPUTED_VALUE"""),"Grupo D")</f>
        <v>Grupo D</v>
      </c>
      <c r="J30" s="14" t="str">
        <f>IFERROR(__xludf.DUMMYFUNCTION("""COMPUTED_VALUE"""),"2ª rodada")</f>
        <v>2ª rodada</v>
      </c>
    </row>
    <row r="31">
      <c r="A31" s="14">
        <f>IFERROR(__xludf.DUMMYFUNCTION("""COMPUTED_VALUE"""),30.0)</f>
        <v>30</v>
      </c>
      <c r="B31" s="15">
        <f>IFERROR(__xludf.DUMMYFUNCTION("""COMPUTED_VALUE"""),46192.0)</f>
        <v>46192</v>
      </c>
      <c r="C31" s="16">
        <f>IFERROR(__xludf.DUMMYFUNCTION("""COMPUTED_VALUE"""),0.6666666666666666)</f>
        <v>0.6666666667</v>
      </c>
      <c r="D31" s="17" t="str">
        <f>IFERROR(__xludf.DUMMYFUNCTION("""COMPUTED_VALUE"""),"Estados Unidos")</f>
        <v>Estados Unidos</v>
      </c>
      <c r="E31" s="12"/>
      <c r="F31" s="18" t="s">
        <v>5</v>
      </c>
      <c r="G31" s="12"/>
      <c r="H31" s="19" t="str">
        <f>IFERROR(__xludf.DUMMYFUNCTION("""COMPUTED_VALUE"""),"Austrália")</f>
        <v>Austrália</v>
      </c>
      <c r="I31" s="14" t="str">
        <f>IFERROR(__xludf.DUMMYFUNCTION("""COMPUTED_VALUE"""),"Grupo D")</f>
        <v>Grupo D</v>
      </c>
      <c r="J31" s="14" t="str">
        <f>IFERROR(__xludf.DUMMYFUNCTION("""COMPUTED_VALUE"""),"2ª rodada")</f>
        <v>2ª rodada</v>
      </c>
    </row>
    <row r="32">
      <c r="A32" s="14">
        <f>IFERROR(__xludf.DUMMYFUNCTION("""COMPUTED_VALUE"""),31.0)</f>
        <v>31</v>
      </c>
      <c r="B32" s="15">
        <f>IFERROR(__xludf.DUMMYFUNCTION("""COMPUTED_VALUE"""),46192.0)</f>
        <v>46192</v>
      </c>
      <c r="C32" s="16">
        <f>IFERROR(__xludf.DUMMYFUNCTION("""COMPUTED_VALUE"""),0.7916666666666666)</f>
        <v>0.7916666667</v>
      </c>
      <c r="D32" s="17" t="str">
        <f>IFERROR(__xludf.DUMMYFUNCTION("""COMPUTED_VALUE"""),"Escócia")</f>
        <v>Escócia</v>
      </c>
      <c r="E32" s="12"/>
      <c r="F32" s="18" t="s">
        <v>5</v>
      </c>
      <c r="G32" s="12"/>
      <c r="H32" s="19" t="str">
        <f>IFERROR(__xludf.DUMMYFUNCTION("""COMPUTED_VALUE"""),"Marrocos")</f>
        <v>Marrocos</v>
      </c>
      <c r="I32" s="14" t="str">
        <f>IFERROR(__xludf.DUMMYFUNCTION("""COMPUTED_VALUE"""),"Grupo C")</f>
        <v>Grupo C</v>
      </c>
      <c r="J32" s="14" t="str">
        <f>IFERROR(__xludf.DUMMYFUNCTION("""COMPUTED_VALUE"""),"2ª rodada")</f>
        <v>2ª rodada</v>
      </c>
    </row>
    <row r="33">
      <c r="A33" s="14">
        <f>IFERROR(__xludf.DUMMYFUNCTION("""COMPUTED_VALUE"""),32.0)</f>
        <v>32</v>
      </c>
      <c r="B33" s="15">
        <f>IFERROR(__xludf.DUMMYFUNCTION("""COMPUTED_VALUE"""),46192.0)</f>
        <v>46192</v>
      </c>
      <c r="C33" s="16">
        <f>IFERROR(__xludf.DUMMYFUNCTION("""COMPUTED_VALUE"""),0.8958333333333334)</f>
        <v>0.8958333333</v>
      </c>
      <c r="D33" s="17" t="str">
        <f>IFERROR(__xludf.DUMMYFUNCTION("""COMPUTED_VALUE"""),"Brasil")</f>
        <v>Brasil</v>
      </c>
      <c r="E33" s="12"/>
      <c r="F33" s="18" t="s">
        <v>5</v>
      </c>
      <c r="G33" s="12"/>
      <c r="H33" s="19" t="str">
        <f>IFERROR(__xludf.DUMMYFUNCTION("""COMPUTED_VALUE"""),"Haiti")</f>
        <v>Haiti</v>
      </c>
      <c r="I33" s="14" t="str">
        <f>IFERROR(__xludf.DUMMYFUNCTION("""COMPUTED_VALUE"""),"Grupo C")</f>
        <v>Grupo C</v>
      </c>
      <c r="J33" s="14" t="str">
        <f>IFERROR(__xludf.DUMMYFUNCTION("""COMPUTED_VALUE"""),"2ª rodada")</f>
        <v>2ª rodada</v>
      </c>
    </row>
    <row r="34">
      <c r="A34" s="14">
        <f>IFERROR(__xludf.DUMMYFUNCTION("""COMPUTED_VALUE"""),33.0)</f>
        <v>33</v>
      </c>
      <c r="B34" s="15">
        <f>IFERROR(__xludf.DUMMYFUNCTION("""COMPUTED_VALUE"""),46193.0)</f>
        <v>46193</v>
      </c>
      <c r="C34" s="16">
        <f>IFERROR(__xludf.DUMMYFUNCTION("""COMPUTED_VALUE"""),0.9583333333333334)</f>
        <v>0.9583333333</v>
      </c>
      <c r="D34" s="17" t="str">
        <f>IFERROR(__xludf.DUMMYFUNCTION("""COMPUTED_VALUE"""),"Tunísia")</f>
        <v>Tunísia</v>
      </c>
      <c r="E34" s="12"/>
      <c r="F34" s="18" t="s">
        <v>5</v>
      </c>
      <c r="G34" s="12"/>
      <c r="H34" s="19" t="str">
        <f>IFERROR(__xludf.DUMMYFUNCTION("""COMPUTED_VALUE"""),"Japão")</f>
        <v>Japão</v>
      </c>
      <c r="I34" s="14" t="str">
        <f>IFERROR(__xludf.DUMMYFUNCTION("""COMPUTED_VALUE"""),"Grupo F")</f>
        <v>Grupo F</v>
      </c>
      <c r="J34" s="14" t="str">
        <f>IFERROR(__xludf.DUMMYFUNCTION("""COMPUTED_VALUE"""),"2ª rodada")</f>
        <v>2ª rodada</v>
      </c>
    </row>
    <row r="35">
      <c r="A35" s="14">
        <f>IFERROR(__xludf.DUMMYFUNCTION("""COMPUTED_VALUE"""),34.0)</f>
        <v>34</v>
      </c>
      <c r="B35" s="15">
        <f>IFERROR(__xludf.DUMMYFUNCTION("""COMPUTED_VALUE"""),46193.0)</f>
        <v>46193</v>
      </c>
      <c r="C35" s="16">
        <f>IFERROR(__xludf.DUMMYFUNCTION("""COMPUTED_VALUE"""),0.5833333333333334)</f>
        <v>0.5833333333</v>
      </c>
      <c r="D35" s="17" t="str">
        <f>IFERROR(__xludf.DUMMYFUNCTION("""COMPUTED_VALUE"""),"Holanda")</f>
        <v>Holanda</v>
      </c>
      <c r="E35" s="12"/>
      <c r="F35" s="18" t="s">
        <v>5</v>
      </c>
      <c r="G35" s="12"/>
      <c r="H35" s="19" t="str">
        <f>IFERROR(__xludf.DUMMYFUNCTION("""COMPUTED_VALUE"""),"Suécia")</f>
        <v>Suécia</v>
      </c>
      <c r="I35" s="14" t="str">
        <f>IFERROR(__xludf.DUMMYFUNCTION("""COMPUTED_VALUE"""),"Grupo F")</f>
        <v>Grupo F</v>
      </c>
      <c r="J35" s="14" t="str">
        <f>IFERROR(__xludf.DUMMYFUNCTION("""COMPUTED_VALUE"""),"2ª rodada")</f>
        <v>2ª rodada</v>
      </c>
    </row>
    <row r="36">
      <c r="A36" s="14">
        <f>IFERROR(__xludf.DUMMYFUNCTION("""COMPUTED_VALUE"""),35.0)</f>
        <v>35</v>
      </c>
      <c r="B36" s="15">
        <f>IFERROR(__xludf.DUMMYFUNCTION("""COMPUTED_VALUE"""),46193.0)</f>
        <v>46193</v>
      </c>
      <c r="C36" s="16">
        <f>IFERROR(__xludf.DUMMYFUNCTION("""COMPUTED_VALUE"""),0.7083333333333334)</f>
        <v>0.7083333333</v>
      </c>
      <c r="D36" s="17" t="str">
        <f>IFERROR(__xludf.DUMMYFUNCTION("""COMPUTED_VALUE"""),"Alemanha")</f>
        <v>Alemanha</v>
      </c>
      <c r="E36" s="12"/>
      <c r="F36" s="18" t="s">
        <v>5</v>
      </c>
      <c r="G36" s="12"/>
      <c r="H36" s="19" t="str">
        <f>IFERROR(__xludf.DUMMYFUNCTION("""COMPUTED_VALUE"""),"Costa do Marfim")</f>
        <v>Costa do Marfim</v>
      </c>
      <c r="I36" s="14" t="str">
        <f>IFERROR(__xludf.DUMMYFUNCTION("""COMPUTED_VALUE"""),"Grupo E")</f>
        <v>Grupo E</v>
      </c>
      <c r="J36" s="14" t="str">
        <f>IFERROR(__xludf.DUMMYFUNCTION("""COMPUTED_VALUE"""),"2ª rodada")</f>
        <v>2ª rodada</v>
      </c>
    </row>
    <row r="37">
      <c r="A37" s="14">
        <f>IFERROR(__xludf.DUMMYFUNCTION("""COMPUTED_VALUE"""),36.0)</f>
        <v>36</v>
      </c>
      <c r="B37" s="15">
        <f>IFERROR(__xludf.DUMMYFUNCTION("""COMPUTED_VALUE"""),46193.0)</f>
        <v>46193</v>
      </c>
      <c r="C37" s="16">
        <f>IFERROR(__xludf.DUMMYFUNCTION("""COMPUTED_VALUE"""),0.875)</f>
        <v>0.875</v>
      </c>
      <c r="D37" s="17" t="str">
        <f>IFERROR(__xludf.DUMMYFUNCTION("""COMPUTED_VALUE"""),"Equador")</f>
        <v>Equador</v>
      </c>
      <c r="E37" s="12"/>
      <c r="F37" s="18" t="s">
        <v>5</v>
      </c>
      <c r="G37" s="12"/>
      <c r="H37" s="19" t="str">
        <f>IFERROR(__xludf.DUMMYFUNCTION("""COMPUTED_VALUE"""),"Curaçau")</f>
        <v>Curaçau</v>
      </c>
      <c r="I37" s="14" t="str">
        <f>IFERROR(__xludf.DUMMYFUNCTION("""COMPUTED_VALUE"""),"Grupo E")</f>
        <v>Grupo E</v>
      </c>
      <c r="J37" s="14" t="str">
        <f>IFERROR(__xludf.DUMMYFUNCTION("""COMPUTED_VALUE"""),"2ª rodada")</f>
        <v>2ª rodada</v>
      </c>
    </row>
    <row r="38">
      <c r="A38" s="14">
        <f>IFERROR(__xludf.DUMMYFUNCTION("""COMPUTED_VALUE"""),37.0)</f>
        <v>37</v>
      </c>
      <c r="B38" s="15">
        <f>IFERROR(__xludf.DUMMYFUNCTION("""COMPUTED_VALUE"""),46194.0)</f>
        <v>46194</v>
      </c>
      <c r="C38" s="16">
        <f>IFERROR(__xludf.DUMMYFUNCTION("""COMPUTED_VALUE"""),0.5416666666666666)</f>
        <v>0.5416666667</v>
      </c>
      <c r="D38" s="17" t="str">
        <f>IFERROR(__xludf.DUMMYFUNCTION("""COMPUTED_VALUE"""),"Espanha")</f>
        <v>Espanha</v>
      </c>
      <c r="E38" s="12"/>
      <c r="F38" s="18" t="s">
        <v>5</v>
      </c>
      <c r="G38" s="12"/>
      <c r="H38" s="19" t="str">
        <f>IFERROR(__xludf.DUMMYFUNCTION("""COMPUTED_VALUE"""),"Arábia Saudita")</f>
        <v>Arábia Saudita</v>
      </c>
      <c r="I38" s="14" t="str">
        <f>IFERROR(__xludf.DUMMYFUNCTION("""COMPUTED_VALUE"""),"Grupo H")</f>
        <v>Grupo H</v>
      </c>
      <c r="J38" s="14" t="str">
        <f>IFERROR(__xludf.DUMMYFUNCTION("""COMPUTED_VALUE"""),"2ª rodada")</f>
        <v>2ª rodada</v>
      </c>
    </row>
    <row r="39">
      <c r="A39" s="14">
        <f>IFERROR(__xludf.DUMMYFUNCTION("""COMPUTED_VALUE"""),38.0)</f>
        <v>38</v>
      </c>
      <c r="B39" s="15">
        <f>IFERROR(__xludf.DUMMYFUNCTION("""COMPUTED_VALUE"""),46194.0)</f>
        <v>46194</v>
      </c>
      <c r="C39" s="16">
        <f>IFERROR(__xludf.DUMMYFUNCTION("""COMPUTED_VALUE"""),0.6666666666666666)</f>
        <v>0.6666666667</v>
      </c>
      <c r="D39" s="17" t="str">
        <f>IFERROR(__xludf.DUMMYFUNCTION("""COMPUTED_VALUE"""),"Bélgica")</f>
        <v>Bélgica</v>
      </c>
      <c r="E39" s="12"/>
      <c r="F39" s="18" t="s">
        <v>5</v>
      </c>
      <c r="G39" s="12"/>
      <c r="H39" s="19" t="str">
        <f>IFERROR(__xludf.DUMMYFUNCTION("""COMPUTED_VALUE"""),"Irã")</f>
        <v>Irã</v>
      </c>
      <c r="I39" s="14" t="str">
        <f>IFERROR(__xludf.DUMMYFUNCTION("""COMPUTED_VALUE"""),"Grupo G")</f>
        <v>Grupo G</v>
      </c>
      <c r="J39" s="14" t="str">
        <f>IFERROR(__xludf.DUMMYFUNCTION("""COMPUTED_VALUE"""),"2ª rodada")</f>
        <v>2ª rodada</v>
      </c>
    </row>
    <row r="40">
      <c r="A40" s="14">
        <f>IFERROR(__xludf.DUMMYFUNCTION("""COMPUTED_VALUE"""),39.0)</f>
        <v>39</v>
      </c>
      <c r="B40" s="15">
        <f>IFERROR(__xludf.DUMMYFUNCTION("""COMPUTED_VALUE"""),46194.0)</f>
        <v>46194</v>
      </c>
      <c r="C40" s="16">
        <f>IFERROR(__xludf.DUMMYFUNCTION("""COMPUTED_VALUE"""),0.7916666666666666)</f>
        <v>0.7916666667</v>
      </c>
      <c r="D40" s="17" t="str">
        <f>IFERROR(__xludf.DUMMYFUNCTION("""COMPUTED_VALUE"""),"Uruguai")</f>
        <v>Uruguai</v>
      </c>
      <c r="E40" s="12"/>
      <c r="F40" s="18" t="s">
        <v>5</v>
      </c>
      <c r="G40" s="12"/>
      <c r="H40" s="19" t="str">
        <f>IFERROR(__xludf.DUMMYFUNCTION("""COMPUTED_VALUE"""),"Cabo Verde")</f>
        <v>Cabo Verde</v>
      </c>
      <c r="I40" s="14" t="str">
        <f>IFERROR(__xludf.DUMMYFUNCTION("""COMPUTED_VALUE"""),"Grupo H")</f>
        <v>Grupo H</v>
      </c>
      <c r="J40" s="14" t="str">
        <f>IFERROR(__xludf.DUMMYFUNCTION("""COMPUTED_VALUE"""),"2ª rodada")</f>
        <v>2ª rodada</v>
      </c>
    </row>
    <row r="41">
      <c r="A41" s="14">
        <f>IFERROR(__xludf.DUMMYFUNCTION("""COMPUTED_VALUE"""),40.0)</f>
        <v>40</v>
      </c>
      <c r="B41" s="15">
        <f>IFERROR(__xludf.DUMMYFUNCTION("""COMPUTED_VALUE"""),46194.0)</f>
        <v>46194</v>
      </c>
      <c r="C41" s="16">
        <f>IFERROR(__xludf.DUMMYFUNCTION("""COMPUTED_VALUE"""),0.9166666666666666)</f>
        <v>0.9166666667</v>
      </c>
      <c r="D41" s="17" t="str">
        <f>IFERROR(__xludf.DUMMYFUNCTION("""COMPUTED_VALUE"""),"Nova Zelândia")</f>
        <v>Nova Zelândia</v>
      </c>
      <c r="E41" s="12"/>
      <c r="F41" s="18" t="s">
        <v>5</v>
      </c>
      <c r="G41" s="12"/>
      <c r="H41" s="19" t="str">
        <f>IFERROR(__xludf.DUMMYFUNCTION("""COMPUTED_VALUE"""),"Egito")</f>
        <v>Egito</v>
      </c>
      <c r="I41" s="14" t="str">
        <f>IFERROR(__xludf.DUMMYFUNCTION("""COMPUTED_VALUE"""),"Grupo G")</f>
        <v>Grupo G</v>
      </c>
      <c r="J41" s="14" t="str">
        <f>IFERROR(__xludf.DUMMYFUNCTION("""COMPUTED_VALUE"""),"2ª rodada")</f>
        <v>2ª rodada</v>
      </c>
    </row>
    <row r="42">
      <c r="A42" s="14">
        <f>IFERROR(__xludf.DUMMYFUNCTION("""COMPUTED_VALUE"""),41.0)</f>
        <v>41</v>
      </c>
      <c r="B42" s="15">
        <f>IFERROR(__xludf.DUMMYFUNCTION("""COMPUTED_VALUE"""),46195.0)</f>
        <v>46195</v>
      </c>
      <c r="C42" s="16">
        <f>IFERROR(__xludf.DUMMYFUNCTION("""COMPUTED_VALUE"""),0.5833333333333334)</f>
        <v>0.5833333333</v>
      </c>
      <c r="D42" s="17" t="str">
        <f>IFERROR(__xludf.DUMMYFUNCTION("""COMPUTED_VALUE"""),"Argentina")</f>
        <v>Argentina</v>
      </c>
      <c r="E42" s="12"/>
      <c r="F42" s="18" t="s">
        <v>5</v>
      </c>
      <c r="G42" s="12"/>
      <c r="H42" s="19" t="str">
        <f>IFERROR(__xludf.DUMMYFUNCTION("""COMPUTED_VALUE"""),"Áustria")</f>
        <v>Áustria</v>
      </c>
      <c r="I42" s="14" t="str">
        <f>IFERROR(__xludf.DUMMYFUNCTION("""COMPUTED_VALUE"""),"Grupo J")</f>
        <v>Grupo J</v>
      </c>
      <c r="J42" s="14" t="str">
        <f>IFERROR(__xludf.DUMMYFUNCTION("""COMPUTED_VALUE"""),"2ª rodada")</f>
        <v>2ª rodada</v>
      </c>
    </row>
    <row r="43">
      <c r="A43" s="14">
        <f>IFERROR(__xludf.DUMMYFUNCTION("""COMPUTED_VALUE"""),42.0)</f>
        <v>42</v>
      </c>
      <c r="B43" s="15">
        <f>IFERROR(__xludf.DUMMYFUNCTION("""COMPUTED_VALUE"""),46195.0)</f>
        <v>46195</v>
      </c>
      <c r="C43" s="16">
        <f>IFERROR(__xludf.DUMMYFUNCTION("""COMPUTED_VALUE"""),0.75)</f>
        <v>0.75</v>
      </c>
      <c r="D43" s="17" t="str">
        <f>IFERROR(__xludf.DUMMYFUNCTION("""COMPUTED_VALUE"""),"França")</f>
        <v>França</v>
      </c>
      <c r="E43" s="12"/>
      <c r="F43" s="18" t="s">
        <v>5</v>
      </c>
      <c r="G43" s="12"/>
      <c r="H43" s="19" t="str">
        <f>IFERROR(__xludf.DUMMYFUNCTION("""COMPUTED_VALUE"""),"Iraque")</f>
        <v>Iraque</v>
      </c>
      <c r="I43" s="14" t="str">
        <f>IFERROR(__xludf.DUMMYFUNCTION("""COMPUTED_VALUE"""),"Grupo I")</f>
        <v>Grupo I</v>
      </c>
      <c r="J43" s="14" t="str">
        <f>IFERROR(__xludf.DUMMYFUNCTION("""COMPUTED_VALUE"""),"2ª rodada")</f>
        <v>2ª rodada</v>
      </c>
    </row>
    <row r="44">
      <c r="A44" s="14">
        <f>IFERROR(__xludf.DUMMYFUNCTION("""COMPUTED_VALUE"""),43.0)</f>
        <v>43</v>
      </c>
      <c r="B44" s="15">
        <f>IFERROR(__xludf.DUMMYFUNCTION("""COMPUTED_VALUE"""),46195.0)</f>
        <v>46195</v>
      </c>
      <c r="C44" s="16">
        <f>IFERROR(__xludf.DUMMYFUNCTION("""COMPUTED_VALUE"""),0.875)</f>
        <v>0.875</v>
      </c>
      <c r="D44" s="17" t="str">
        <f>IFERROR(__xludf.DUMMYFUNCTION("""COMPUTED_VALUE"""),"Noruega")</f>
        <v>Noruega</v>
      </c>
      <c r="E44" s="12"/>
      <c r="F44" s="18" t="s">
        <v>5</v>
      </c>
      <c r="G44" s="12"/>
      <c r="H44" s="19" t="str">
        <f>IFERROR(__xludf.DUMMYFUNCTION("""COMPUTED_VALUE"""),"Senegal")</f>
        <v>Senegal</v>
      </c>
      <c r="I44" s="14" t="str">
        <f>IFERROR(__xludf.DUMMYFUNCTION("""COMPUTED_VALUE"""),"Grupo I")</f>
        <v>Grupo I</v>
      </c>
      <c r="J44" s="14" t="str">
        <f>IFERROR(__xludf.DUMMYFUNCTION("""COMPUTED_VALUE"""),"2ª rodada")</f>
        <v>2ª rodada</v>
      </c>
    </row>
    <row r="45">
      <c r="A45" s="14">
        <f>IFERROR(__xludf.DUMMYFUNCTION("""COMPUTED_VALUE"""),44.0)</f>
        <v>44</v>
      </c>
      <c r="B45" s="15">
        <f>IFERROR(__xludf.DUMMYFUNCTION("""COMPUTED_VALUE"""),46196.0)</f>
        <v>46196</v>
      </c>
      <c r="C45" s="16">
        <f>IFERROR(__xludf.DUMMYFUNCTION("""COMPUTED_VALUE"""),0.0)</f>
        <v>0</v>
      </c>
      <c r="D45" s="17" t="str">
        <f>IFERROR(__xludf.DUMMYFUNCTION("""COMPUTED_VALUE"""),"Jordânia")</f>
        <v>Jordânia</v>
      </c>
      <c r="E45" s="12"/>
      <c r="F45" s="18" t="s">
        <v>5</v>
      </c>
      <c r="G45" s="12"/>
      <c r="H45" s="19" t="str">
        <f>IFERROR(__xludf.DUMMYFUNCTION("""COMPUTED_VALUE"""),"Argélia")</f>
        <v>Argélia</v>
      </c>
      <c r="I45" s="14" t="str">
        <f>IFERROR(__xludf.DUMMYFUNCTION("""COMPUTED_VALUE"""),"Grupo J")</f>
        <v>Grupo J</v>
      </c>
      <c r="J45" s="14" t="str">
        <f>IFERROR(__xludf.DUMMYFUNCTION("""COMPUTED_VALUE"""),"2ª rodada")</f>
        <v>2ª rodada</v>
      </c>
    </row>
    <row r="46">
      <c r="A46" s="14">
        <f>IFERROR(__xludf.DUMMYFUNCTION("""COMPUTED_VALUE"""),45.0)</f>
        <v>45</v>
      </c>
      <c r="B46" s="15">
        <f>IFERROR(__xludf.DUMMYFUNCTION("""COMPUTED_VALUE"""),46196.0)</f>
        <v>46196</v>
      </c>
      <c r="C46" s="16">
        <f>IFERROR(__xludf.DUMMYFUNCTION("""COMPUTED_VALUE"""),0.5833333333333334)</f>
        <v>0.5833333333</v>
      </c>
      <c r="D46" s="17" t="str">
        <f>IFERROR(__xludf.DUMMYFUNCTION("""COMPUTED_VALUE"""),"Portugal")</f>
        <v>Portugal</v>
      </c>
      <c r="E46" s="12"/>
      <c r="F46" s="18" t="s">
        <v>5</v>
      </c>
      <c r="G46" s="12"/>
      <c r="H46" s="19" t="str">
        <f>IFERROR(__xludf.DUMMYFUNCTION("""COMPUTED_VALUE"""),"Uzbequistão")</f>
        <v>Uzbequistão</v>
      </c>
      <c r="I46" s="14" t="str">
        <f>IFERROR(__xludf.DUMMYFUNCTION("""COMPUTED_VALUE"""),"Grupo K")</f>
        <v>Grupo K</v>
      </c>
      <c r="J46" s="14" t="str">
        <f>IFERROR(__xludf.DUMMYFUNCTION("""COMPUTED_VALUE"""),"2ª rodada")</f>
        <v>2ª rodada</v>
      </c>
    </row>
    <row r="47">
      <c r="A47" s="14">
        <f>IFERROR(__xludf.DUMMYFUNCTION("""COMPUTED_VALUE"""),46.0)</f>
        <v>46</v>
      </c>
      <c r="B47" s="15">
        <f>IFERROR(__xludf.DUMMYFUNCTION("""COMPUTED_VALUE"""),46196.0)</f>
        <v>46196</v>
      </c>
      <c r="C47" s="16">
        <f>IFERROR(__xludf.DUMMYFUNCTION("""COMPUTED_VALUE"""),0.7083333333333334)</f>
        <v>0.7083333333</v>
      </c>
      <c r="D47" s="17" t="str">
        <f>IFERROR(__xludf.DUMMYFUNCTION("""COMPUTED_VALUE"""),"Inglaterra")</f>
        <v>Inglaterra</v>
      </c>
      <c r="E47" s="12"/>
      <c r="F47" s="18" t="s">
        <v>5</v>
      </c>
      <c r="G47" s="12"/>
      <c r="H47" s="19" t="str">
        <f>IFERROR(__xludf.DUMMYFUNCTION("""COMPUTED_VALUE"""),"Gana")</f>
        <v>Gana</v>
      </c>
      <c r="I47" s="14" t="str">
        <f>IFERROR(__xludf.DUMMYFUNCTION("""COMPUTED_VALUE"""),"Grupo L")</f>
        <v>Grupo L</v>
      </c>
      <c r="J47" s="14" t="str">
        <f>IFERROR(__xludf.DUMMYFUNCTION("""COMPUTED_VALUE"""),"2ª rodada")</f>
        <v>2ª rodada</v>
      </c>
    </row>
    <row r="48">
      <c r="A48" s="14">
        <f>IFERROR(__xludf.DUMMYFUNCTION("""COMPUTED_VALUE"""),47.0)</f>
        <v>47</v>
      </c>
      <c r="B48" s="15">
        <f>IFERROR(__xludf.DUMMYFUNCTION("""COMPUTED_VALUE"""),46196.0)</f>
        <v>46196</v>
      </c>
      <c r="C48" s="16">
        <f>IFERROR(__xludf.DUMMYFUNCTION("""COMPUTED_VALUE"""),0.8333333333333334)</f>
        <v>0.8333333333</v>
      </c>
      <c r="D48" s="17" t="str">
        <f>IFERROR(__xludf.DUMMYFUNCTION("""COMPUTED_VALUE"""),"Panamá")</f>
        <v>Panamá</v>
      </c>
      <c r="E48" s="12"/>
      <c r="F48" s="18" t="s">
        <v>5</v>
      </c>
      <c r="G48" s="12"/>
      <c r="H48" s="19" t="str">
        <f>IFERROR(__xludf.DUMMYFUNCTION("""COMPUTED_VALUE"""),"Croácia")</f>
        <v>Croácia</v>
      </c>
      <c r="I48" s="14" t="str">
        <f>IFERROR(__xludf.DUMMYFUNCTION("""COMPUTED_VALUE"""),"Grupo L")</f>
        <v>Grupo L</v>
      </c>
      <c r="J48" s="14" t="str">
        <f>IFERROR(__xludf.DUMMYFUNCTION("""COMPUTED_VALUE"""),"2ª rodada")</f>
        <v>2ª rodada</v>
      </c>
    </row>
    <row r="49">
      <c r="A49" s="14">
        <f>IFERROR(__xludf.DUMMYFUNCTION("""COMPUTED_VALUE"""),48.0)</f>
        <v>48</v>
      </c>
      <c r="B49" s="15">
        <f>IFERROR(__xludf.DUMMYFUNCTION("""COMPUTED_VALUE"""),46196.0)</f>
        <v>46196</v>
      </c>
      <c r="C49" s="16">
        <f>IFERROR(__xludf.DUMMYFUNCTION("""COMPUTED_VALUE"""),0.9583333333333334)</f>
        <v>0.9583333333</v>
      </c>
      <c r="D49" s="17" t="str">
        <f>IFERROR(__xludf.DUMMYFUNCTION("""COMPUTED_VALUE"""),"Colômbia")</f>
        <v>Colômbia</v>
      </c>
      <c r="E49" s="12"/>
      <c r="F49" s="18" t="s">
        <v>5</v>
      </c>
      <c r="G49" s="12"/>
      <c r="H49" s="19" t="str">
        <f>IFERROR(__xludf.DUMMYFUNCTION("""COMPUTED_VALUE"""),"Rep. Dem. do Congo")</f>
        <v>Rep. Dem. do Congo</v>
      </c>
      <c r="I49" s="14" t="str">
        <f>IFERROR(__xludf.DUMMYFUNCTION("""COMPUTED_VALUE"""),"Grupo K")</f>
        <v>Grupo K</v>
      </c>
      <c r="J49" s="14" t="str">
        <f>IFERROR(__xludf.DUMMYFUNCTION("""COMPUTED_VALUE"""),"2ª rodada")</f>
        <v>2ª rodada</v>
      </c>
    </row>
    <row r="50">
      <c r="A50" s="20">
        <f>IFERROR(__xludf.DUMMYFUNCTION("""COMPUTED_VALUE"""),49.0)</f>
        <v>49</v>
      </c>
      <c r="B50" s="21">
        <f>IFERROR(__xludf.DUMMYFUNCTION("""COMPUTED_VALUE"""),46197.0)</f>
        <v>46197</v>
      </c>
      <c r="C50" s="22">
        <f>IFERROR(__xludf.DUMMYFUNCTION("""COMPUTED_VALUE"""),0.6666666666666666)</f>
        <v>0.6666666667</v>
      </c>
      <c r="D50" s="23" t="str">
        <f>IFERROR(__xludf.DUMMYFUNCTION("""COMPUTED_VALUE"""),"Suíça")</f>
        <v>Suíça</v>
      </c>
      <c r="E50" s="12"/>
      <c r="F50" s="24" t="s">
        <v>5</v>
      </c>
      <c r="G50" s="12"/>
      <c r="H50" s="25" t="str">
        <f>IFERROR(__xludf.DUMMYFUNCTION("""COMPUTED_VALUE"""),"Canadá")</f>
        <v>Canadá</v>
      </c>
      <c r="I50" s="20" t="str">
        <f>IFERROR(__xludf.DUMMYFUNCTION("""COMPUTED_VALUE"""),"Grupo B")</f>
        <v>Grupo B</v>
      </c>
      <c r="J50" s="20" t="str">
        <f>IFERROR(__xludf.DUMMYFUNCTION("""COMPUTED_VALUE"""),"3ª rodada")</f>
        <v>3ª rodada</v>
      </c>
    </row>
    <row r="51">
      <c r="A51" s="20">
        <f>IFERROR(__xludf.DUMMYFUNCTION("""COMPUTED_VALUE"""),50.0)</f>
        <v>50</v>
      </c>
      <c r="B51" s="21">
        <f>IFERROR(__xludf.DUMMYFUNCTION("""COMPUTED_VALUE"""),46197.0)</f>
        <v>46197</v>
      </c>
      <c r="C51" s="22">
        <f>IFERROR(__xludf.DUMMYFUNCTION("""COMPUTED_VALUE"""),0.6666666666666666)</f>
        <v>0.6666666667</v>
      </c>
      <c r="D51" s="23" t="str">
        <f>IFERROR(__xludf.DUMMYFUNCTION("""COMPUTED_VALUE"""),"Bósnia e Herzegovina")</f>
        <v>Bósnia e Herzegovina</v>
      </c>
      <c r="E51" s="12"/>
      <c r="F51" s="24" t="s">
        <v>5</v>
      </c>
      <c r="G51" s="12"/>
      <c r="H51" s="25" t="str">
        <f>IFERROR(__xludf.DUMMYFUNCTION("""COMPUTED_VALUE"""),"Catar")</f>
        <v>Catar</v>
      </c>
      <c r="I51" s="20" t="str">
        <f>IFERROR(__xludf.DUMMYFUNCTION("""COMPUTED_VALUE"""),"Grupo B")</f>
        <v>Grupo B</v>
      </c>
      <c r="J51" s="20" t="str">
        <f>IFERROR(__xludf.DUMMYFUNCTION("""COMPUTED_VALUE"""),"3ª rodada")</f>
        <v>3ª rodada</v>
      </c>
    </row>
    <row r="52">
      <c r="A52" s="20">
        <f>IFERROR(__xludf.DUMMYFUNCTION("""COMPUTED_VALUE"""),51.0)</f>
        <v>51</v>
      </c>
      <c r="B52" s="21">
        <f>IFERROR(__xludf.DUMMYFUNCTION("""COMPUTED_VALUE"""),46197.0)</f>
        <v>46197</v>
      </c>
      <c r="C52" s="22">
        <f>IFERROR(__xludf.DUMMYFUNCTION("""COMPUTED_VALUE"""),0.7916666666666666)</f>
        <v>0.7916666667</v>
      </c>
      <c r="D52" s="23" t="str">
        <f>IFERROR(__xludf.DUMMYFUNCTION("""COMPUTED_VALUE"""),"Escócia")</f>
        <v>Escócia</v>
      </c>
      <c r="E52" s="12"/>
      <c r="F52" s="24" t="s">
        <v>5</v>
      </c>
      <c r="G52" s="12"/>
      <c r="H52" s="25" t="str">
        <f>IFERROR(__xludf.DUMMYFUNCTION("""COMPUTED_VALUE"""),"Brasil")</f>
        <v>Brasil</v>
      </c>
      <c r="I52" s="20" t="str">
        <f>IFERROR(__xludf.DUMMYFUNCTION("""COMPUTED_VALUE"""),"Grupo C")</f>
        <v>Grupo C</v>
      </c>
      <c r="J52" s="20" t="str">
        <f>IFERROR(__xludf.DUMMYFUNCTION("""COMPUTED_VALUE"""),"3ª rodada")</f>
        <v>3ª rodada</v>
      </c>
    </row>
    <row r="53">
      <c r="A53" s="20">
        <f>IFERROR(__xludf.DUMMYFUNCTION("""COMPUTED_VALUE"""),52.0)</f>
        <v>52</v>
      </c>
      <c r="B53" s="21">
        <f>IFERROR(__xludf.DUMMYFUNCTION("""COMPUTED_VALUE"""),46197.0)</f>
        <v>46197</v>
      </c>
      <c r="C53" s="22">
        <f>IFERROR(__xludf.DUMMYFUNCTION("""COMPUTED_VALUE"""),0.7916666666666666)</f>
        <v>0.7916666667</v>
      </c>
      <c r="D53" s="23" t="str">
        <f>IFERROR(__xludf.DUMMYFUNCTION("""COMPUTED_VALUE"""),"Marrocos")</f>
        <v>Marrocos</v>
      </c>
      <c r="E53" s="12"/>
      <c r="F53" s="24" t="s">
        <v>5</v>
      </c>
      <c r="G53" s="12"/>
      <c r="H53" s="25" t="str">
        <f>IFERROR(__xludf.DUMMYFUNCTION("""COMPUTED_VALUE"""),"Haiti")</f>
        <v>Haiti</v>
      </c>
      <c r="I53" s="20" t="str">
        <f>IFERROR(__xludf.DUMMYFUNCTION("""COMPUTED_VALUE"""),"Grupo C")</f>
        <v>Grupo C</v>
      </c>
      <c r="J53" s="20" t="str">
        <f>IFERROR(__xludf.DUMMYFUNCTION("""COMPUTED_VALUE"""),"3ª rodada")</f>
        <v>3ª rodada</v>
      </c>
    </row>
    <row r="54">
      <c r="A54" s="20">
        <f>IFERROR(__xludf.DUMMYFUNCTION("""COMPUTED_VALUE"""),53.0)</f>
        <v>53</v>
      </c>
      <c r="B54" s="21">
        <f>IFERROR(__xludf.DUMMYFUNCTION("""COMPUTED_VALUE"""),46197.0)</f>
        <v>46197</v>
      </c>
      <c r="C54" s="22">
        <f>IFERROR(__xludf.DUMMYFUNCTION("""COMPUTED_VALUE"""),0.9166666666666666)</f>
        <v>0.9166666667</v>
      </c>
      <c r="D54" s="23" t="str">
        <f>IFERROR(__xludf.DUMMYFUNCTION("""COMPUTED_VALUE"""),"República Tcheca")</f>
        <v>República Tcheca</v>
      </c>
      <c r="E54" s="12"/>
      <c r="F54" s="24" t="s">
        <v>5</v>
      </c>
      <c r="G54" s="12"/>
      <c r="H54" s="25" t="str">
        <f>IFERROR(__xludf.DUMMYFUNCTION("""COMPUTED_VALUE"""),"México")</f>
        <v>México</v>
      </c>
      <c r="I54" s="20" t="str">
        <f>IFERROR(__xludf.DUMMYFUNCTION("""COMPUTED_VALUE"""),"Grupo A")</f>
        <v>Grupo A</v>
      </c>
      <c r="J54" s="20" t="str">
        <f>IFERROR(__xludf.DUMMYFUNCTION("""COMPUTED_VALUE"""),"3ª rodada")</f>
        <v>3ª rodada</v>
      </c>
    </row>
    <row r="55">
      <c r="A55" s="20">
        <f>IFERROR(__xludf.DUMMYFUNCTION("""COMPUTED_VALUE"""),54.0)</f>
        <v>54</v>
      </c>
      <c r="B55" s="21">
        <f>IFERROR(__xludf.DUMMYFUNCTION("""COMPUTED_VALUE"""),46197.0)</f>
        <v>46197</v>
      </c>
      <c r="C55" s="22">
        <f>IFERROR(__xludf.DUMMYFUNCTION("""COMPUTED_VALUE"""),0.9166666666666666)</f>
        <v>0.9166666667</v>
      </c>
      <c r="D55" s="23" t="str">
        <f>IFERROR(__xludf.DUMMYFUNCTION("""COMPUTED_VALUE"""),"África do Sul")</f>
        <v>África do Sul</v>
      </c>
      <c r="E55" s="12"/>
      <c r="F55" s="24" t="s">
        <v>5</v>
      </c>
      <c r="G55" s="12"/>
      <c r="H55" s="25" t="str">
        <f>IFERROR(__xludf.DUMMYFUNCTION("""COMPUTED_VALUE"""),"República da Coreia")</f>
        <v>República da Coreia</v>
      </c>
      <c r="I55" s="20" t="str">
        <f>IFERROR(__xludf.DUMMYFUNCTION("""COMPUTED_VALUE"""),"Grupo A")</f>
        <v>Grupo A</v>
      </c>
      <c r="J55" s="20" t="str">
        <f>IFERROR(__xludf.DUMMYFUNCTION("""COMPUTED_VALUE"""),"3ª rodada")</f>
        <v>3ª rodada</v>
      </c>
    </row>
    <row r="56">
      <c r="A56" s="20">
        <f>IFERROR(__xludf.DUMMYFUNCTION("""COMPUTED_VALUE"""),55.0)</f>
        <v>55</v>
      </c>
      <c r="B56" s="21">
        <f>IFERROR(__xludf.DUMMYFUNCTION("""COMPUTED_VALUE"""),46198.0)</f>
        <v>46198</v>
      </c>
      <c r="C56" s="22">
        <f>IFERROR(__xludf.DUMMYFUNCTION("""COMPUTED_VALUE"""),0.7083333333333334)</f>
        <v>0.7083333333</v>
      </c>
      <c r="D56" s="23" t="str">
        <f>IFERROR(__xludf.DUMMYFUNCTION("""COMPUTED_VALUE"""),"Equador")</f>
        <v>Equador</v>
      </c>
      <c r="E56" s="12"/>
      <c r="F56" s="24" t="s">
        <v>5</v>
      </c>
      <c r="G56" s="12"/>
      <c r="H56" s="25" t="str">
        <f>IFERROR(__xludf.DUMMYFUNCTION("""COMPUTED_VALUE"""),"Alemanha")</f>
        <v>Alemanha</v>
      </c>
      <c r="I56" s="20" t="str">
        <f>IFERROR(__xludf.DUMMYFUNCTION("""COMPUTED_VALUE"""),"Grupo E")</f>
        <v>Grupo E</v>
      </c>
      <c r="J56" s="20" t="str">
        <f>IFERROR(__xludf.DUMMYFUNCTION("""COMPUTED_VALUE"""),"3ª rodada")</f>
        <v>3ª rodada</v>
      </c>
    </row>
    <row r="57">
      <c r="A57" s="20">
        <f>IFERROR(__xludf.DUMMYFUNCTION("""COMPUTED_VALUE"""),56.0)</f>
        <v>56</v>
      </c>
      <c r="B57" s="21">
        <f>IFERROR(__xludf.DUMMYFUNCTION("""COMPUTED_VALUE"""),46198.0)</f>
        <v>46198</v>
      </c>
      <c r="C57" s="22">
        <f>IFERROR(__xludf.DUMMYFUNCTION("""COMPUTED_VALUE"""),0.7083333333333334)</f>
        <v>0.7083333333</v>
      </c>
      <c r="D57" s="23" t="str">
        <f>IFERROR(__xludf.DUMMYFUNCTION("""COMPUTED_VALUE"""),"Curaçau")</f>
        <v>Curaçau</v>
      </c>
      <c r="E57" s="12"/>
      <c r="F57" s="24" t="s">
        <v>5</v>
      </c>
      <c r="G57" s="12"/>
      <c r="H57" s="25" t="str">
        <f>IFERROR(__xludf.DUMMYFUNCTION("""COMPUTED_VALUE"""),"Costa do Marfim")</f>
        <v>Costa do Marfim</v>
      </c>
      <c r="I57" s="20" t="str">
        <f>IFERROR(__xludf.DUMMYFUNCTION("""COMPUTED_VALUE"""),"Grupo E")</f>
        <v>Grupo E</v>
      </c>
      <c r="J57" s="20" t="str">
        <f>IFERROR(__xludf.DUMMYFUNCTION("""COMPUTED_VALUE"""),"3ª rodada")</f>
        <v>3ª rodada</v>
      </c>
    </row>
    <row r="58">
      <c r="A58" s="20">
        <f>IFERROR(__xludf.DUMMYFUNCTION("""COMPUTED_VALUE"""),57.0)</f>
        <v>57</v>
      </c>
      <c r="B58" s="21">
        <f>IFERROR(__xludf.DUMMYFUNCTION("""COMPUTED_VALUE"""),46198.0)</f>
        <v>46198</v>
      </c>
      <c r="C58" s="22">
        <f>IFERROR(__xludf.DUMMYFUNCTION("""COMPUTED_VALUE"""),0.8333333333333334)</f>
        <v>0.8333333333</v>
      </c>
      <c r="D58" s="23" t="str">
        <f>IFERROR(__xludf.DUMMYFUNCTION("""COMPUTED_VALUE"""),"Japão")</f>
        <v>Japão</v>
      </c>
      <c r="E58" s="12"/>
      <c r="F58" s="24" t="s">
        <v>5</v>
      </c>
      <c r="G58" s="12"/>
      <c r="H58" s="25" t="str">
        <f>IFERROR(__xludf.DUMMYFUNCTION("""COMPUTED_VALUE"""),"Suécia")</f>
        <v>Suécia</v>
      </c>
      <c r="I58" s="20" t="str">
        <f>IFERROR(__xludf.DUMMYFUNCTION("""COMPUTED_VALUE"""),"Grupo F")</f>
        <v>Grupo F</v>
      </c>
      <c r="J58" s="20" t="str">
        <f>IFERROR(__xludf.DUMMYFUNCTION("""COMPUTED_VALUE"""),"3ª rodada")</f>
        <v>3ª rodada</v>
      </c>
    </row>
    <row r="59">
      <c r="A59" s="20">
        <f>IFERROR(__xludf.DUMMYFUNCTION("""COMPUTED_VALUE"""),58.0)</f>
        <v>58</v>
      </c>
      <c r="B59" s="21">
        <f>IFERROR(__xludf.DUMMYFUNCTION("""COMPUTED_VALUE"""),46198.0)</f>
        <v>46198</v>
      </c>
      <c r="C59" s="22">
        <f>IFERROR(__xludf.DUMMYFUNCTION("""COMPUTED_VALUE"""),0.8333333333333334)</f>
        <v>0.8333333333</v>
      </c>
      <c r="D59" s="23" t="str">
        <f>IFERROR(__xludf.DUMMYFUNCTION("""COMPUTED_VALUE"""),"Tunísia")</f>
        <v>Tunísia</v>
      </c>
      <c r="E59" s="12"/>
      <c r="F59" s="24" t="s">
        <v>5</v>
      </c>
      <c r="G59" s="12"/>
      <c r="H59" s="25" t="str">
        <f>IFERROR(__xludf.DUMMYFUNCTION("""COMPUTED_VALUE"""),"Holanda")</f>
        <v>Holanda</v>
      </c>
      <c r="I59" s="20" t="str">
        <f>IFERROR(__xludf.DUMMYFUNCTION("""COMPUTED_VALUE"""),"Grupo F")</f>
        <v>Grupo F</v>
      </c>
      <c r="J59" s="20" t="str">
        <f>IFERROR(__xludf.DUMMYFUNCTION("""COMPUTED_VALUE"""),"3ª rodada")</f>
        <v>3ª rodada</v>
      </c>
    </row>
    <row r="60">
      <c r="A60" s="20">
        <f>IFERROR(__xludf.DUMMYFUNCTION("""COMPUTED_VALUE"""),59.0)</f>
        <v>59</v>
      </c>
      <c r="B60" s="21">
        <f>IFERROR(__xludf.DUMMYFUNCTION("""COMPUTED_VALUE"""),46198.0)</f>
        <v>46198</v>
      </c>
      <c r="C60" s="22">
        <f>IFERROR(__xludf.DUMMYFUNCTION("""COMPUTED_VALUE"""),0.9583333333333334)</f>
        <v>0.9583333333</v>
      </c>
      <c r="D60" s="23" t="str">
        <f>IFERROR(__xludf.DUMMYFUNCTION("""COMPUTED_VALUE"""),"Turquia")</f>
        <v>Turquia</v>
      </c>
      <c r="E60" s="12"/>
      <c r="F60" s="24" t="s">
        <v>5</v>
      </c>
      <c r="G60" s="12"/>
      <c r="H60" s="25" t="str">
        <f>IFERROR(__xludf.DUMMYFUNCTION("""COMPUTED_VALUE"""),"Estados Unidos")</f>
        <v>Estados Unidos</v>
      </c>
      <c r="I60" s="20" t="str">
        <f>IFERROR(__xludf.DUMMYFUNCTION("""COMPUTED_VALUE"""),"Grupo D")</f>
        <v>Grupo D</v>
      </c>
      <c r="J60" s="20" t="str">
        <f>IFERROR(__xludf.DUMMYFUNCTION("""COMPUTED_VALUE"""),"3ª rodada")</f>
        <v>3ª rodada</v>
      </c>
    </row>
    <row r="61">
      <c r="A61" s="20">
        <f>IFERROR(__xludf.DUMMYFUNCTION("""COMPUTED_VALUE"""),60.0)</f>
        <v>60</v>
      </c>
      <c r="B61" s="21">
        <f>IFERROR(__xludf.DUMMYFUNCTION("""COMPUTED_VALUE"""),46198.0)</f>
        <v>46198</v>
      </c>
      <c r="C61" s="22">
        <f>IFERROR(__xludf.DUMMYFUNCTION("""COMPUTED_VALUE"""),0.9583333333333334)</f>
        <v>0.9583333333</v>
      </c>
      <c r="D61" s="23" t="str">
        <f>IFERROR(__xludf.DUMMYFUNCTION("""COMPUTED_VALUE"""),"Paraguai")</f>
        <v>Paraguai</v>
      </c>
      <c r="E61" s="12"/>
      <c r="F61" s="24" t="s">
        <v>5</v>
      </c>
      <c r="G61" s="12"/>
      <c r="H61" s="25" t="str">
        <f>IFERROR(__xludf.DUMMYFUNCTION("""COMPUTED_VALUE"""),"Austrália")</f>
        <v>Austrália</v>
      </c>
      <c r="I61" s="20" t="str">
        <f>IFERROR(__xludf.DUMMYFUNCTION("""COMPUTED_VALUE"""),"Grupo D")</f>
        <v>Grupo D</v>
      </c>
      <c r="J61" s="20" t="str">
        <f>IFERROR(__xludf.DUMMYFUNCTION("""COMPUTED_VALUE"""),"3ª rodada")</f>
        <v>3ª rodada</v>
      </c>
    </row>
    <row r="62">
      <c r="A62" s="20">
        <f>IFERROR(__xludf.DUMMYFUNCTION("""COMPUTED_VALUE"""),61.0)</f>
        <v>61</v>
      </c>
      <c r="B62" s="21">
        <f>IFERROR(__xludf.DUMMYFUNCTION("""COMPUTED_VALUE"""),46199.0)</f>
        <v>46199</v>
      </c>
      <c r="C62" s="22">
        <f>IFERROR(__xludf.DUMMYFUNCTION("""COMPUTED_VALUE"""),0.6666666666666666)</f>
        <v>0.6666666667</v>
      </c>
      <c r="D62" s="23" t="str">
        <f>IFERROR(__xludf.DUMMYFUNCTION("""COMPUTED_VALUE"""),"Noruega")</f>
        <v>Noruega</v>
      </c>
      <c r="E62" s="12"/>
      <c r="F62" s="24" t="s">
        <v>5</v>
      </c>
      <c r="G62" s="12"/>
      <c r="H62" s="25" t="str">
        <f>IFERROR(__xludf.DUMMYFUNCTION("""COMPUTED_VALUE"""),"França")</f>
        <v>França</v>
      </c>
      <c r="I62" s="20" t="str">
        <f>IFERROR(__xludf.DUMMYFUNCTION("""COMPUTED_VALUE"""),"Grupo I")</f>
        <v>Grupo I</v>
      </c>
      <c r="J62" s="20" t="str">
        <f>IFERROR(__xludf.DUMMYFUNCTION("""COMPUTED_VALUE"""),"3ª rodada")</f>
        <v>3ª rodada</v>
      </c>
    </row>
    <row r="63">
      <c r="A63" s="20">
        <f>IFERROR(__xludf.DUMMYFUNCTION("""COMPUTED_VALUE"""),62.0)</f>
        <v>62</v>
      </c>
      <c r="B63" s="21">
        <f>IFERROR(__xludf.DUMMYFUNCTION("""COMPUTED_VALUE"""),46199.0)</f>
        <v>46199</v>
      </c>
      <c r="C63" s="22">
        <f>IFERROR(__xludf.DUMMYFUNCTION("""COMPUTED_VALUE"""),0.6666666666666666)</f>
        <v>0.6666666667</v>
      </c>
      <c r="D63" s="23" t="str">
        <f>IFERROR(__xludf.DUMMYFUNCTION("""COMPUTED_VALUE"""),"Senegal")</f>
        <v>Senegal</v>
      </c>
      <c r="E63" s="12"/>
      <c r="F63" s="24" t="s">
        <v>5</v>
      </c>
      <c r="G63" s="12"/>
      <c r="H63" s="25" t="str">
        <f>IFERROR(__xludf.DUMMYFUNCTION("""COMPUTED_VALUE"""),"Iraque")</f>
        <v>Iraque</v>
      </c>
      <c r="I63" s="20" t="str">
        <f>IFERROR(__xludf.DUMMYFUNCTION("""COMPUTED_VALUE"""),"Grupo I")</f>
        <v>Grupo I</v>
      </c>
      <c r="J63" s="20" t="str">
        <f>IFERROR(__xludf.DUMMYFUNCTION("""COMPUTED_VALUE"""),"3ª rodada")</f>
        <v>3ª rodada</v>
      </c>
    </row>
    <row r="64">
      <c r="A64" s="20">
        <f>IFERROR(__xludf.DUMMYFUNCTION("""COMPUTED_VALUE"""),63.0)</f>
        <v>63</v>
      </c>
      <c r="B64" s="21">
        <f>IFERROR(__xludf.DUMMYFUNCTION("""COMPUTED_VALUE"""),46199.0)</f>
        <v>46199</v>
      </c>
      <c r="C64" s="22">
        <f>IFERROR(__xludf.DUMMYFUNCTION("""COMPUTED_VALUE"""),0.875)</f>
        <v>0.875</v>
      </c>
      <c r="D64" s="23" t="str">
        <f>IFERROR(__xludf.DUMMYFUNCTION("""COMPUTED_VALUE"""),"Cabo Verde")</f>
        <v>Cabo Verde</v>
      </c>
      <c r="E64" s="12"/>
      <c r="F64" s="24" t="s">
        <v>5</v>
      </c>
      <c r="G64" s="12"/>
      <c r="H64" s="25" t="str">
        <f>IFERROR(__xludf.DUMMYFUNCTION("""COMPUTED_VALUE"""),"Arábia Saudita")</f>
        <v>Arábia Saudita</v>
      </c>
      <c r="I64" s="20" t="str">
        <f>IFERROR(__xludf.DUMMYFUNCTION("""COMPUTED_VALUE"""),"Grupo H")</f>
        <v>Grupo H</v>
      </c>
      <c r="J64" s="20" t="str">
        <f>IFERROR(__xludf.DUMMYFUNCTION("""COMPUTED_VALUE"""),"3ª rodada")</f>
        <v>3ª rodada</v>
      </c>
    </row>
    <row r="65">
      <c r="A65" s="20">
        <f>IFERROR(__xludf.DUMMYFUNCTION("""COMPUTED_VALUE"""),64.0)</f>
        <v>64</v>
      </c>
      <c r="B65" s="21">
        <f>IFERROR(__xludf.DUMMYFUNCTION("""COMPUTED_VALUE"""),46199.0)</f>
        <v>46199</v>
      </c>
      <c r="C65" s="22">
        <f>IFERROR(__xludf.DUMMYFUNCTION("""COMPUTED_VALUE"""),0.875)</f>
        <v>0.875</v>
      </c>
      <c r="D65" s="23" t="str">
        <f>IFERROR(__xludf.DUMMYFUNCTION("""COMPUTED_VALUE"""),"Uruguai")</f>
        <v>Uruguai</v>
      </c>
      <c r="E65" s="12"/>
      <c r="F65" s="24" t="s">
        <v>5</v>
      </c>
      <c r="G65" s="12"/>
      <c r="H65" s="25" t="str">
        <f>IFERROR(__xludf.DUMMYFUNCTION("""COMPUTED_VALUE"""),"Espanha")</f>
        <v>Espanha</v>
      </c>
      <c r="I65" s="20" t="str">
        <f>IFERROR(__xludf.DUMMYFUNCTION("""COMPUTED_VALUE"""),"Grupo H")</f>
        <v>Grupo H</v>
      </c>
      <c r="J65" s="20" t="str">
        <f>IFERROR(__xludf.DUMMYFUNCTION("""COMPUTED_VALUE"""),"3ª rodada")</f>
        <v>3ª rodada</v>
      </c>
    </row>
    <row r="66">
      <c r="A66" s="20">
        <f>IFERROR(__xludf.DUMMYFUNCTION("""COMPUTED_VALUE"""),65.0)</f>
        <v>65</v>
      </c>
      <c r="B66" s="21">
        <f>IFERROR(__xludf.DUMMYFUNCTION("""COMPUTED_VALUE"""),46200.0)</f>
        <v>46200</v>
      </c>
      <c r="C66" s="22">
        <f>IFERROR(__xludf.DUMMYFUNCTION("""COMPUTED_VALUE"""),0.0)</f>
        <v>0</v>
      </c>
      <c r="D66" s="23" t="str">
        <f>IFERROR(__xludf.DUMMYFUNCTION("""COMPUTED_VALUE"""),"Egito")</f>
        <v>Egito</v>
      </c>
      <c r="E66" s="12"/>
      <c r="F66" s="24" t="s">
        <v>5</v>
      </c>
      <c r="G66" s="12"/>
      <c r="H66" s="25" t="str">
        <f>IFERROR(__xludf.DUMMYFUNCTION("""COMPUTED_VALUE"""),"Irã")</f>
        <v>Irã</v>
      </c>
      <c r="I66" s="20" t="str">
        <f>IFERROR(__xludf.DUMMYFUNCTION("""COMPUTED_VALUE"""),"Grupo G")</f>
        <v>Grupo G</v>
      </c>
      <c r="J66" s="20" t="str">
        <f>IFERROR(__xludf.DUMMYFUNCTION("""COMPUTED_VALUE"""),"3ª rodada")</f>
        <v>3ª rodada</v>
      </c>
    </row>
    <row r="67">
      <c r="A67" s="20">
        <f>IFERROR(__xludf.DUMMYFUNCTION("""COMPUTED_VALUE"""),66.0)</f>
        <v>66</v>
      </c>
      <c r="B67" s="21">
        <f>IFERROR(__xludf.DUMMYFUNCTION("""COMPUTED_VALUE"""),46200.0)</f>
        <v>46200</v>
      </c>
      <c r="C67" s="22">
        <f>IFERROR(__xludf.DUMMYFUNCTION("""COMPUTED_VALUE"""),0.0)</f>
        <v>0</v>
      </c>
      <c r="D67" s="23" t="str">
        <f>IFERROR(__xludf.DUMMYFUNCTION("""COMPUTED_VALUE"""),"Nova Zelândia")</f>
        <v>Nova Zelândia</v>
      </c>
      <c r="E67" s="12"/>
      <c r="F67" s="24" t="s">
        <v>5</v>
      </c>
      <c r="G67" s="12"/>
      <c r="H67" s="25" t="str">
        <f>IFERROR(__xludf.DUMMYFUNCTION("""COMPUTED_VALUE"""),"Bélgica")</f>
        <v>Bélgica</v>
      </c>
      <c r="I67" s="20" t="str">
        <f>IFERROR(__xludf.DUMMYFUNCTION("""COMPUTED_VALUE"""),"Grupo G")</f>
        <v>Grupo G</v>
      </c>
      <c r="J67" s="20" t="str">
        <f>IFERROR(__xludf.DUMMYFUNCTION("""COMPUTED_VALUE"""),"3ª rodada")</f>
        <v>3ª rodada</v>
      </c>
    </row>
    <row r="68">
      <c r="A68" s="20">
        <f>IFERROR(__xludf.DUMMYFUNCTION("""COMPUTED_VALUE"""),67.0)</f>
        <v>67</v>
      </c>
      <c r="B68" s="21">
        <f>IFERROR(__xludf.DUMMYFUNCTION("""COMPUTED_VALUE"""),46200.0)</f>
        <v>46200</v>
      </c>
      <c r="C68" s="22">
        <f>IFERROR(__xludf.DUMMYFUNCTION("""COMPUTED_VALUE"""),0.75)</f>
        <v>0.75</v>
      </c>
      <c r="D68" s="23" t="str">
        <f>IFERROR(__xludf.DUMMYFUNCTION("""COMPUTED_VALUE"""),"Panamá")</f>
        <v>Panamá</v>
      </c>
      <c r="E68" s="12"/>
      <c r="F68" s="24" t="s">
        <v>5</v>
      </c>
      <c r="G68" s="12"/>
      <c r="H68" s="25" t="str">
        <f>IFERROR(__xludf.DUMMYFUNCTION("""COMPUTED_VALUE"""),"Inglaterra")</f>
        <v>Inglaterra</v>
      </c>
      <c r="I68" s="20" t="str">
        <f>IFERROR(__xludf.DUMMYFUNCTION("""COMPUTED_VALUE"""),"Grupo L")</f>
        <v>Grupo L</v>
      </c>
      <c r="J68" s="20" t="str">
        <f>IFERROR(__xludf.DUMMYFUNCTION("""COMPUTED_VALUE"""),"3ª rodada")</f>
        <v>3ª rodada</v>
      </c>
    </row>
    <row r="69">
      <c r="A69" s="20">
        <f>IFERROR(__xludf.DUMMYFUNCTION("""COMPUTED_VALUE"""),68.0)</f>
        <v>68</v>
      </c>
      <c r="B69" s="21">
        <f>IFERROR(__xludf.DUMMYFUNCTION("""COMPUTED_VALUE"""),46200.0)</f>
        <v>46200</v>
      </c>
      <c r="C69" s="22">
        <f>IFERROR(__xludf.DUMMYFUNCTION("""COMPUTED_VALUE"""),0.75)</f>
        <v>0.75</v>
      </c>
      <c r="D69" s="23" t="str">
        <f>IFERROR(__xludf.DUMMYFUNCTION("""COMPUTED_VALUE"""),"Croácia")</f>
        <v>Croácia</v>
      </c>
      <c r="E69" s="12"/>
      <c r="F69" s="24" t="s">
        <v>5</v>
      </c>
      <c r="G69" s="12"/>
      <c r="H69" s="25" t="str">
        <f>IFERROR(__xludf.DUMMYFUNCTION("""COMPUTED_VALUE"""),"Gana")</f>
        <v>Gana</v>
      </c>
      <c r="I69" s="20" t="str">
        <f>IFERROR(__xludf.DUMMYFUNCTION("""COMPUTED_VALUE"""),"Grupo L")</f>
        <v>Grupo L</v>
      </c>
      <c r="J69" s="20" t="str">
        <f>IFERROR(__xludf.DUMMYFUNCTION("""COMPUTED_VALUE"""),"3ª rodada")</f>
        <v>3ª rodada</v>
      </c>
    </row>
    <row r="70">
      <c r="A70" s="20">
        <f>IFERROR(__xludf.DUMMYFUNCTION("""COMPUTED_VALUE"""),69.0)</f>
        <v>69</v>
      </c>
      <c r="B70" s="21">
        <f>IFERROR(__xludf.DUMMYFUNCTION("""COMPUTED_VALUE"""),46200.0)</f>
        <v>46200</v>
      </c>
      <c r="C70" s="22">
        <f>IFERROR(__xludf.DUMMYFUNCTION("""COMPUTED_VALUE"""),0.8541666666666666)</f>
        <v>0.8541666667</v>
      </c>
      <c r="D70" s="23" t="str">
        <f>IFERROR(__xludf.DUMMYFUNCTION("""COMPUTED_VALUE"""),"Colômbia")</f>
        <v>Colômbia</v>
      </c>
      <c r="E70" s="12"/>
      <c r="F70" s="24" t="s">
        <v>5</v>
      </c>
      <c r="G70" s="12"/>
      <c r="H70" s="25" t="str">
        <f>IFERROR(__xludf.DUMMYFUNCTION("""COMPUTED_VALUE"""),"Portugal")</f>
        <v>Portugal</v>
      </c>
      <c r="I70" s="20" t="str">
        <f>IFERROR(__xludf.DUMMYFUNCTION("""COMPUTED_VALUE"""),"Grupo K")</f>
        <v>Grupo K</v>
      </c>
      <c r="J70" s="20" t="str">
        <f>IFERROR(__xludf.DUMMYFUNCTION("""COMPUTED_VALUE"""),"3ª rodada")</f>
        <v>3ª rodada</v>
      </c>
    </row>
    <row r="71">
      <c r="A71" s="20">
        <f>IFERROR(__xludf.DUMMYFUNCTION("""COMPUTED_VALUE"""),70.0)</f>
        <v>70</v>
      </c>
      <c r="B71" s="21">
        <f>IFERROR(__xludf.DUMMYFUNCTION("""COMPUTED_VALUE"""),46200.0)</f>
        <v>46200</v>
      </c>
      <c r="C71" s="22">
        <f>IFERROR(__xludf.DUMMYFUNCTION("""COMPUTED_VALUE"""),0.8541666666666666)</f>
        <v>0.8541666667</v>
      </c>
      <c r="D71" s="23" t="str">
        <f>IFERROR(__xludf.DUMMYFUNCTION("""COMPUTED_VALUE"""),"Rep. Dem. do Congo")</f>
        <v>Rep. Dem. do Congo</v>
      </c>
      <c r="E71" s="12"/>
      <c r="F71" s="24" t="s">
        <v>5</v>
      </c>
      <c r="G71" s="12"/>
      <c r="H71" s="25" t="str">
        <f>IFERROR(__xludf.DUMMYFUNCTION("""COMPUTED_VALUE"""),"Uzbequistão")</f>
        <v>Uzbequistão</v>
      </c>
      <c r="I71" s="20" t="str">
        <f>IFERROR(__xludf.DUMMYFUNCTION("""COMPUTED_VALUE"""),"Grupo K")</f>
        <v>Grupo K</v>
      </c>
      <c r="J71" s="20" t="str">
        <f>IFERROR(__xludf.DUMMYFUNCTION("""COMPUTED_VALUE"""),"3ª rodada")</f>
        <v>3ª rodada</v>
      </c>
    </row>
    <row r="72">
      <c r="A72" s="20">
        <f>IFERROR(__xludf.DUMMYFUNCTION("""COMPUTED_VALUE"""),71.0)</f>
        <v>71</v>
      </c>
      <c r="B72" s="21">
        <f>IFERROR(__xludf.DUMMYFUNCTION("""COMPUTED_VALUE"""),46200.0)</f>
        <v>46200</v>
      </c>
      <c r="C72" s="22">
        <f>IFERROR(__xludf.DUMMYFUNCTION("""COMPUTED_VALUE"""),0.9583333333333334)</f>
        <v>0.9583333333</v>
      </c>
      <c r="D72" s="23" t="str">
        <f>IFERROR(__xludf.DUMMYFUNCTION("""COMPUTED_VALUE"""),"Argélia")</f>
        <v>Argélia</v>
      </c>
      <c r="E72" s="12"/>
      <c r="F72" s="24" t="s">
        <v>5</v>
      </c>
      <c r="G72" s="12"/>
      <c r="H72" s="25" t="str">
        <f>IFERROR(__xludf.DUMMYFUNCTION("""COMPUTED_VALUE"""),"Áustria")</f>
        <v>Áustria</v>
      </c>
      <c r="I72" s="20" t="str">
        <f>IFERROR(__xludf.DUMMYFUNCTION("""COMPUTED_VALUE"""),"Grupo J")</f>
        <v>Grupo J</v>
      </c>
      <c r="J72" s="20" t="str">
        <f>IFERROR(__xludf.DUMMYFUNCTION("""COMPUTED_VALUE"""),"3ª rodada")</f>
        <v>3ª rodada</v>
      </c>
    </row>
    <row r="73">
      <c r="A73" s="20">
        <f>IFERROR(__xludf.DUMMYFUNCTION("""COMPUTED_VALUE"""),72.0)</f>
        <v>72</v>
      </c>
      <c r="B73" s="21">
        <f>IFERROR(__xludf.DUMMYFUNCTION("""COMPUTED_VALUE"""),46200.0)</f>
        <v>46200</v>
      </c>
      <c r="C73" s="22">
        <f>IFERROR(__xludf.DUMMYFUNCTION("""COMPUTED_VALUE"""),0.9583333333333334)</f>
        <v>0.9583333333</v>
      </c>
      <c r="D73" s="23" t="str">
        <f>IFERROR(__xludf.DUMMYFUNCTION("""COMPUTED_VALUE"""),"Jordânia")</f>
        <v>Jordânia</v>
      </c>
      <c r="E73" s="12"/>
      <c r="F73" s="24" t="s">
        <v>5</v>
      </c>
      <c r="G73" s="12"/>
      <c r="H73" s="25" t="str">
        <f>IFERROR(__xludf.DUMMYFUNCTION("""COMPUTED_VALUE"""),"Argentina")</f>
        <v>Argentina</v>
      </c>
      <c r="I73" s="20" t="str">
        <f>IFERROR(__xludf.DUMMYFUNCTION("""COMPUTED_VALUE"""),"Grupo J")</f>
        <v>Grupo J</v>
      </c>
      <c r="J73" s="20" t="str">
        <f>IFERROR(__xludf.DUMMYFUNCTION("""COMPUTED_VALUE"""),"3ª rodada")</f>
        <v>3ª rodada</v>
      </c>
    </row>
    <row r="74">
      <c r="A74" s="26">
        <f>IFERROR(__xludf.DUMMYFUNCTION("""COMPUTED_VALUE"""),73.0)</f>
        <v>73</v>
      </c>
      <c r="B74" s="27">
        <f>IFERROR(__xludf.DUMMYFUNCTION("""COMPUTED_VALUE"""),46201.0)</f>
        <v>46201</v>
      </c>
      <c r="C74" s="28">
        <f>IFERROR(__xludf.DUMMYFUNCTION("""COMPUTED_VALUE"""),0.6666666666666666)</f>
        <v>0.6666666667</v>
      </c>
      <c r="D74" s="29" t="str">
        <f>IFERROR(__xludf.DUMMYFUNCTION("""COMPUTED_VALUE"""),"2º colocado Grupo A")</f>
        <v>2º colocado Grupo A</v>
      </c>
      <c r="E74" s="12"/>
      <c r="F74" s="30" t="s">
        <v>5</v>
      </c>
      <c r="G74" s="12"/>
      <c r="H74" s="31" t="str">
        <f>IFERROR(__xludf.DUMMYFUNCTION("""COMPUTED_VALUE"""),"2º colocado Grupo B")</f>
        <v>2º colocado Grupo B</v>
      </c>
      <c r="I74" s="26" t="str">
        <f>IFERROR(__xludf.DUMMYFUNCTION("""COMPUTED_VALUE"""),"N/A")</f>
        <v>N/A</v>
      </c>
      <c r="J74" s="26" t="str">
        <f>IFERROR(__xludf.DUMMYFUNCTION("""COMPUTED_VALUE"""),"fase de 32-avos")</f>
        <v>fase de 32-avos</v>
      </c>
    </row>
    <row r="75">
      <c r="A75" s="26">
        <f>IFERROR(__xludf.DUMMYFUNCTION("""COMPUTED_VALUE"""),74.0)</f>
        <v>74</v>
      </c>
      <c r="B75" s="27">
        <f>IFERROR(__xludf.DUMMYFUNCTION("""COMPUTED_VALUE"""),46202.0)</f>
        <v>46202</v>
      </c>
      <c r="C75" s="28">
        <f>IFERROR(__xludf.DUMMYFUNCTION("""COMPUTED_VALUE"""),0.7291666666666666)</f>
        <v>0.7291666667</v>
      </c>
      <c r="D75" s="29" t="str">
        <f>IFERROR(__xludf.DUMMYFUNCTION("""COMPUTED_VALUE"""),"Vencedor Grupo E")</f>
        <v>Vencedor Grupo E</v>
      </c>
      <c r="E75" s="12"/>
      <c r="F75" s="30" t="s">
        <v>5</v>
      </c>
      <c r="G75" s="12"/>
      <c r="H75" s="31" t="str">
        <f>IFERROR(__xludf.DUMMYFUNCTION("""COMPUTED_VALUE"""),"3º colocado Grupos A/B/C/D/F")</f>
        <v>3º colocado Grupos A/B/C/D/F</v>
      </c>
      <c r="I75" s="26" t="str">
        <f>IFERROR(__xludf.DUMMYFUNCTION("""COMPUTED_VALUE"""),"N/A")</f>
        <v>N/A</v>
      </c>
      <c r="J75" s="26" t="str">
        <f>IFERROR(__xludf.DUMMYFUNCTION("""COMPUTED_VALUE"""),"fase de 32-avos")</f>
        <v>fase de 32-avos</v>
      </c>
    </row>
    <row r="76">
      <c r="A76" s="26">
        <f>IFERROR(__xludf.DUMMYFUNCTION("""COMPUTED_VALUE"""),75.0)</f>
        <v>75</v>
      </c>
      <c r="B76" s="27">
        <f>IFERROR(__xludf.DUMMYFUNCTION("""COMPUTED_VALUE"""),46202.0)</f>
        <v>46202</v>
      </c>
      <c r="C76" s="28">
        <f>IFERROR(__xludf.DUMMYFUNCTION("""COMPUTED_VALUE"""),0.9166666666666666)</f>
        <v>0.9166666667</v>
      </c>
      <c r="D76" s="29" t="str">
        <f>IFERROR(__xludf.DUMMYFUNCTION("""COMPUTED_VALUE"""),"Vencedor Grupo F")</f>
        <v>Vencedor Grupo F</v>
      </c>
      <c r="E76" s="12"/>
      <c r="F76" s="30" t="s">
        <v>5</v>
      </c>
      <c r="G76" s="12"/>
      <c r="H76" s="31" t="str">
        <f>IFERROR(__xludf.DUMMYFUNCTION("""COMPUTED_VALUE"""),"2º colocado Grupo C")</f>
        <v>2º colocado Grupo C</v>
      </c>
      <c r="I76" s="26" t="str">
        <f>IFERROR(__xludf.DUMMYFUNCTION("""COMPUTED_VALUE"""),"N/A")</f>
        <v>N/A</v>
      </c>
      <c r="J76" s="26" t="str">
        <f>IFERROR(__xludf.DUMMYFUNCTION("""COMPUTED_VALUE"""),"fase de 32-avos")</f>
        <v>fase de 32-avos</v>
      </c>
    </row>
    <row r="77">
      <c r="A77" s="26">
        <f>IFERROR(__xludf.DUMMYFUNCTION("""COMPUTED_VALUE"""),76.0)</f>
        <v>76</v>
      </c>
      <c r="B77" s="27">
        <f>IFERROR(__xludf.DUMMYFUNCTION("""COMPUTED_VALUE"""),46202.0)</f>
        <v>46202</v>
      </c>
      <c r="C77" s="28">
        <f>IFERROR(__xludf.DUMMYFUNCTION("""COMPUTED_VALUE"""),0.5833333333333334)</f>
        <v>0.5833333333</v>
      </c>
      <c r="D77" s="29" t="str">
        <f>IFERROR(__xludf.DUMMYFUNCTION("""COMPUTED_VALUE"""),"Vencedor Grupo C")</f>
        <v>Vencedor Grupo C</v>
      </c>
      <c r="E77" s="12"/>
      <c r="F77" s="30" t="s">
        <v>5</v>
      </c>
      <c r="G77" s="12"/>
      <c r="H77" s="31" t="str">
        <f>IFERROR(__xludf.DUMMYFUNCTION("""COMPUTED_VALUE"""),"2º colocado Grupo F")</f>
        <v>2º colocado Grupo F</v>
      </c>
      <c r="I77" s="26" t="str">
        <f>IFERROR(__xludf.DUMMYFUNCTION("""COMPUTED_VALUE"""),"N/A")</f>
        <v>N/A</v>
      </c>
      <c r="J77" s="26" t="str">
        <f>IFERROR(__xludf.DUMMYFUNCTION("""COMPUTED_VALUE"""),"fase de 32-avos")</f>
        <v>fase de 32-avos</v>
      </c>
    </row>
    <row r="78">
      <c r="A78" s="26">
        <f>IFERROR(__xludf.DUMMYFUNCTION("""COMPUTED_VALUE"""),77.0)</f>
        <v>77</v>
      </c>
      <c r="B78" s="27">
        <f>IFERROR(__xludf.DUMMYFUNCTION("""COMPUTED_VALUE"""),46203.0)</f>
        <v>46203</v>
      </c>
      <c r="C78" s="28">
        <f>IFERROR(__xludf.DUMMYFUNCTION("""COMPUTED_VALUE"""),0.75)</f>
        <v>0.75</v>
      </c>
      <c r="D78" s="29" t="str">
        <f>IFERROR(__xludf.DUMMYFUNCTION("""COMPUTED_VALUE"""),"Vencedor Grupo I")</f>
        <v>Vencedor Grupo I</v>
      </c>
      <c r="E78" s="12"/>
      <c r="F78" s="30" t="s">
        <v>5</v>
      </c>
      <c r="G78" s="12"/>
      <c r="H78" s="31" t="str">
        <f>IFERROR(__xludf.DUMMYFUNCTION("""COMPUTED_VALUE"""),"3º colocado Grupos C/D/F/G/H")</f>
        <v>3º colocado Grupos C/D/F/G/H</v>
      </c>
      <c r="I78" s="26" t="str">
        <f>IFERROR(__xludf.DUMMYFUNCTION("""COMPUTED_VALUE"""),"N/A")</f>
        <v>N/A</v>
      </c>
      <c r="J78" s="26" t="str">
        <f>IFERROR(__xludf.DUMMYFUNCTION("""COMPUTED_VALUE"""),"fase de 32-avos")</f>
        <v>fase de 32-avos</v>
      </c>
    </row>
    <row r="79">
      <c r="A79" s="26">
        <f>IFERROR(__xludf.DUMMYFUNCTION("""COMPUTED_VALUE"""),78.0)</f>
        <v>78</v>
      </c>
      <c r="B79" s="27">
        <f>IFERROR(__xludf.DUMMYFUNCTION("""COMPUTED_VALUE"""),46203.0)</f>
        <v>46203</v>
      </c>
      <c r="C79" s="28">
        <f>IFERROR(__xludf.DUMMYFUNCTION("""COMPUTED_VALUE"""),0.5833333333333334)</f>
        <v>0.5833333333</v>
      </c>
      <c r="D79" s="29" t="str">
        <f>IFERROR(__xludf.DUMMYFUNCTION("""COMPUTED_VALUE"""),"2º colocado Grupo E")</f>
        <v>2º colocado Grupo E</v>
      </c>
      <c r="E79" s="12"/>
      <c r="F79" s="30" t="s">
        <v>5</v>
      </c>
      <c r="G79" s="12"/>
      <c r="H79" s="31" t="str">
        <f>IFERROR(__xludf.DUMMYFUNCTION("""COMPUTED_VALUE"""),"2º colocado Grupo I")</f>
        <v>2º colocado Grupo I</v>
      </c>
      <c r="I79" s="26" t="str">
        <f>IFERROR(__xludf.DUMMYFUNCTION("""COMPUTED_VALUE"""),"N/A")</f>
        <v>N/A</v>
      </c>
      <c r="J79" s="26" t="str">
        <f>IFERROR(__xludf.DUMMYFUNCTION("""COMPUTED_VALUE"""),"fase de 32-avos")</f>
        <v>fase de 32-avos</v>
      </c>
    </row>
    <row r="80">
      <c r="A80" s="26">
        <f>IFERROR(__xludf.DUMMYFUNCTION("""COMPUTED_VALUE"""),79.0)</f>
        <v>79</v>
      </c>
      <c r="B80" s="27">
        <f>IFERROR(__xludf.DUMMYFUNCTION("""COMPUTED_VALUE"""),46203.0)</f>
        <v>46203</v>
      </c>
      <c r="C80" s="28">
        <f>IFERROR(__xludf.DUMMYFUNCTION("""COMPUTED_VALUE"""),0.9166666666666666)</f>
        <v>0.9166666667</v>
      </c>
      <c r="D80" s="29" t="str">
        <f>IFERROR(__xludf.DUMMYFUNCTION("""COMPUTED_VALUE"""),"Vencedor Grupo A")</f>
        <v>Vencedor Grupo A</v>
      </c>
      <c r="E80" s="12"/>
      <c r="F80" s="30" t="s">
        <v>5</v>
      </c>
      <c r="G80" s="12"/>
      <c r="H80" s="31" t="str">
        <f>IFERROR(__xludf.DUMMYFUNCTION("""COMPUTED_VALUE"""),"3º colocado Grupos C/E/F/H/I")</f>
        <v>3º colocado Grupos C/E/F/H/I</v>
      </c>
      <c r="I80" s="26" t="str">
        <f>IFERROR(__xludf.DUMMYFUNCTION("""COMPUTED_VALUE"""),"N/A")</f>
        <v>N/A</v>
      </c>
      <c r="J80" s="26" t="str">
        <f>IFERROR(__xludf.DUMMYFUNCTION("""COMPUTED_VALUE"""),"fase de 32-avos")</f>
        <v>fase de 32-avos</v>
      </c>
    </row>
    <row r="81">
      <c r="A81" s="26">
        <f>IFERROR(__xludf.DUMMYFUNCTION("""COMPUTED_VALUE"""),80.0)</f>
        <v>80</v>
      </c>
      <c r="B81" s="27">
        <f>IFERROR(__xludf.DUMMYFUNCTION("""COMPUTED_VALUE"""),46204.0)</f>
        <v>46204</v>
      </c>
      <c r="C81" s="28">
        <f>IFERROR(__xludf.DUMMYFUNCTION("""COMPUTED_VALUE"""),0.5416666666666666)</f>
        <v>0.5416666667</v>
      </c>
      <c r="D81" s="29" t="str">
        <f>IFERROR(__xludf.DUMMYFUNCTION("""COMPUTED_VALUE"""),"Vencedor Grupo L")</f>
        <v>Vencedor Grupo L</v>
      </c>
      <c r="E81" s="12"/>
      <c r="F81" s="30" t="s">
        <v>5</v>
      </c>
      <c r="G81" s="12"/>
      <c r="H81" s="31" t="str">
        <f>IFERROR(__xludf.DUMMYFUNCTION("""COMPUTED_VALUE"""),"3º colocado Grupos E/H/I/J/K")</f>
        <v>3º colocado Grupos E/H/I/J/K</v>
      </c>
      <c r="I81" s="26" t="str">
        <f>IFERROR(__xludf.DUMMYFUNCTION("""COMPUTED_VALUE"""),"N/A")</f>
        <v>N/A</v>
      </c>
      <c r="J81" s="26" t="str">
        <f>IFERROR(__xludf.DUMMYFUNCTION("""COMPUTED_VALUE"""),"fase de 32-avos")</f>
        <v>fase de 32-avos</v>
      </c>
    </row>
    <row r="82">
      <c r="A82" s="26">
        <f>IFERROR(__xludf.DUMMYFUNCTION("""COMPUTED_VALUE"""),81.0)</f>
        <v>81</v>
      </c>
      <c r="B82" s="27">
        <f>IFERROR(__xludf.DUMMYFUNCTION("""COMPUTED_VALUE"""),46204.0)</f>
        <v>46204</v>
      </c>
      <c r="C82" s="28">
        <f>IFERROR(__xludf.DUMMYFUNCTION("""COMPUTED_VALUE"""),0.875)</f>
        <v>0.875</v>
      </c>
      <c r="D82" s="29" t="str">
        <f>IFERROR(__xludf.DUMMYFUNCTION("""COMPUTED_VALUE"""),"Vencedor Grupo D")</f>
        <v>Vencedor Grupo D</v>
      </c>
      <c r="E82" s="12"/>
      <c r="F82" s="30" t="s">
        <v>5</v>
      </c>
      <c r="G82" s="12"/>
      <c r="H82" s="31" t="str">
        <f>IFERROR(__xludf.DUMMYFUNCTION("""COMPUTED_VALUE"""),"3º colocado Grupos B/E/F/I/J")</f>
        <v>3º colocado Grupos B/E/F/I/J</v>
      </c>
      <c r="I82" s="26" t="str">
        <f>IFERROR(__xludf.DUMMYFUNCTION("""COMPUTED_VALUE"""),"N/A")</f>
        <v>N/A</v>
      </c>
      <c r="J82" s="26" t="str">
        <f>IFERROR(__xludf.DUMMYFUNCTION("""COMPUTED_VALUE"""),"fase de 32-avos")</f>
        <v>fase de 32-avos</v>
      </c>
    </row>
    <row r="83">
      <c r="A83" s="26">
        <f>IFERROR(__xludf.DUMMYFUNCTION("""COMPUTED_VALUE"""),82.0)</f>
        <v>82</v>
      </c>
      <c r="B83" s="27">
        <f>IFERROR(__xludf.DUMMYFUNCTION("""COMPUTED_VALUE"""),46204.0)</f>
        <v>46204</v>
      </c>
      <c r="C83" s="28">
        <f>IFERROR(__xludf.DUMMYFUNCTION("""COMPUTED_VALUE"""),0.7083333333333334)</f>
        <v>0.7083333333</v>
      </c>
      <c r="D83" s="29" t="str">
        <f>IFERROR(__xludf.DUMMYFUNCTION("""COMPUTED_VALUE"""),"Vencedor Grupo G")</f>
        <v>Vencedor Grupo G</v>
      </c>
      <c r="E83" s="12"/>
      <c r="F83" s="30" t="s">
        <v>5</v>
      </c>
      <c r="G83" s="12"/>
      <c r="H83" s="31" t="str">
        <f>IFERROR(__xludf.DUMMYFUNCTION("""COMPUTED_VALUE"""),"3º colocado Grupos A/E/H/I/J")</f>
        <v>3º colocado Grupos A/E/H/I/J</v>
      </c>
      <c r="I83" s="26" t="str">
        <f>IFERROR(__xludf.DUMMYFUNCTION("""COMPUTED_VALUE"""),"N/A")</f>
        <v>N/A</v>
      </c>
      <c r="J83" s="26" t="str">
        <f>IFERROR(__xludf.DUMMYFUNCTION("""COMPUTED_VALUE"""),"fase de 32-avos")</f>
        <v>fase de 32-avos</v>
      </c>
    </row>
    <row r="84">
      <c r="A84" s="26">
        <f>IFERROR(__xludf.DUMMYFUNCTION("""COMPUTED_VALUE"""),83.0)</f>
        <v>83</v>
      </c>
      <c r="B84" s="27">
        <f>IFERROR(__xludf.DUMMYFUNCTION("""COMPUTED_VALUE"""),46205.0)</f>
        <v>46205</v>
      </c>
      <c r="C84" s="28">
        <f>IFERROR(__xludf.DUMMYFUNCTION("""COMPUTED_VALUE"""),0.8333333333333334)</f>
        <v>0.8333333333</v>
      </c>
      <c r="D84" s="29" t="str">
        <f>IFERROR(__xludf.DUMMYFUNCTION("""COMPUTED_VALUE"""),"2º colocado Grupo K")</f>
        <v>2º colocado Grupo K</v>
      </c>
      <c r="E84" s="12"/>
      <c r="F84" s="30" t="s">
        <v>5</v>
      </c>
      <c r="G84" s="12"/>
      <c r="H84" s="31" t="str">
        <f>IFERROR(__xludf.DUMMYFUNCTION("""COMPUTED_VALUE"""),"2º colocado Grupo L")</f>
        <v>2º colocado Grupo L</v>
      </c>
      <c r="I84" s="26" t="str">
        <f>IFERROR(__xludf.DUMMYFUNCTION("""COMPUTED_VALUE"""),"N/A")</f>
        <v>N/A</v>
      </c>
      <c r="J84" s="26" t="str">
        <f>IFERROR(__xludf.DUMMYFUNCTION("""COMPUTED_VALUE"""),"fase de 32-avos")</f>
        <v>fase de 32-avos</v>
      </c>
    </row>
    <row r="85">
      <c r="A85" s="26">
        <f>IFERROR(__xludf.DUMMYFUNCTION("""COMPUTED_VALUE"""),84.0)</f>
        <v>84</v>
      </c>
      <c r="B85" s="27">
        <f>IFERROR(__xludf.DUMMYFUNCTION("""COMPUTED_VALUE"""),46205.0)</f>
        <v>46205</v>
      </c>
      <c r="C85" s="28">
        <f>IFERROR(__xludf.DUMMYFUNCTION("""COMPUTED_VALUE"""),0.6666666666666666)</f>
        <v>0.6666666667</v>
      </c>
      <c r="D85" s="29" t="str">
        <f>IFERROR(__xludf.DUMMYFUNCTION("""COMPUTED_VALUE"""),"Vencedor Grupo H")</f>
        <v>Vencedor Grupo H</v>
      </c>
      <c r="E85" s="12"/>
      <c r="F85" s="30" t="s">
        <v>5</v>
      </c>
      <c r="G85" s="12"/>
      <c r="H85" s="31" t="str">
        <f>IFERROR(__xludf.DUMMYFUNCTION("""COMPUTED_VALUE"""),"2º colocado Grupo J")</f>
        <v>2º colocado Grupo J</v>
      </c>
      <c r="I85" s="26" t="str">
        <f>IFERROR(__xludf.DUMMYFUNCTION("""COMPUTED_VALUE"""),"N/A")</f>
        <v>N/A</v>
      </c>
      <c r="J85" s="26" t="str">
        <f>IFERROR(__xludf.DUMMYFUNCTION("""COMPUTED_VALUE"""),"fase de 32-avos")</f>
        <v>fase de 32-avos</v>
      </c>
    </row>
    <row r="86">
      <c r="A86" s="26">
        <f>IFERROR(__xludf.DUMMYFUNCTION("""COMPUTED_VALUE"""),85.0)</f>
        <v>85</v>
      </c>
      <c r="B86" s="27">
        <f>IFERROR(__xludf.DUMMYFUNCTION("""COMPUTED_VALUE"""),46205.0)</f>
        <v>46205</v>
      </c>
      <c r="C86" s="28">
        <f>IFERROR(__xludf.DUMMYFUNCTION("""COMPUTED_VALUE"""),0.0)</f>
        <v>0</v>
      </c>
      <c r="D86" s="29" t="str">
        <f>IFERROR(__xludf.DUMMYFUNCTION("""COMPUTED_VALUE"""),"Vencedor Grupo B")</f>
        <v>Vencedor Grupo B</v>
      </c>
      <c r="E86" s="12"/>
      <c r="F86" s="30" t="s">
        <v>5</v>
      </c>
      <c r="G86" s="12"/>
      <c r="H86" s="31" t="str">
        <f>IFERROR(__xludf.DUMMYFUNCTION("""COMPUTED_VALUE"""),"3º colocado Grupos E/F/G/I/J")</f>
        <v>3º colocado Grupos E/F/G/I/J</v>
      </c>
      <c r="I86" s="26" t="str">
        <f>IFERROR(__xludf.DUMMYFUNCTION("""COMPUTED_VALUE"""),"N/A")</f>
        <v>N/A</v>
      </c>
      <c r="J86" s="26" t="str">
        <f>IFERROR(__xludf.DUMMYFUNCTION("""COMPUTED_VALUE"""),"fase de 32-avos")</f>
        <v>fase de 32-avos</v>
      </c>
    </row>
    <row r="87">
      <c r="A87" s="26">
        <f>IFERROR(__xludf.DUMMYFUNCTION("""COMPUTED_VALUE"""),86.0)</f>
        <v>86</v>
      </c>
      <c r="B87" s="27">
        <f>IFERROR(__xludf.DUMMYFUNCTION("""COMPUTED_VALUE"""),46206.0)</f>
        <v>46206</v>
      </c>
      <c r="C87" s="28">
        <f>IFERROR(__xludf.DUMMYFUNCTION("""COMPUTED_VALUE"""),0.7916666666666666)</f>
        <v>0.7916666667</v>
      </c>
      <c r="D87" s="29" t="str">
        <f>IFERROR(__xludf.DUMMYFUNCTION("""COMPUTED_VALUE"""),"Vencedor Grupo J")</f>
        <v>Vencedor Grupo J</v>
      </c>
      <c r="E87" s="12"/>
      <c r="F87" s="30" t="s">
        <v>5</v>
      </c>
      <c r="G87" s="12"/>
      <c r="H87" s="31" t="str">
        <f>IFERROR(__xludf.DUMMYFUNCTION("""COMPUTED_VALUE"""),"2º colocado Grupo H")</f>
        <v>2º colocado Grupo H</v>
      </c>
      <c r="I87" s="26" t="str">
        <f>IFERROR(__xludf.DUMMYFUNCTION("""COMPUTED_VALUE"""),"N/A")</f>
        <v>N/A</v>
      </c>
      <c r="J87" s="26" t="str">
        <f>IFERROR(__xludf.DUMMYFUNCTION("""COMPUTED_VALUE"""),"fase de 32-avos")</f>
        <v>fase de 32-avos</v>
      </c>
    </row>
    <row r="88">
      <c r="A88" s="26">
        <f>IFERROR(__xludf.DUMMYFUNCTION("""COMPUTED_VALUE"""),87.0)</f>
        <v>87</v>
      </c>
      <c r="B88" s="27">
        <f>IFERROR(__xludf.DUMMYFUNCTION("""COMPUTED_VALUE"""),46206.0)</f>
        <v>46206</v>
      </c>
      <c r="C88" s="28">
        <f>IFERROR(__xludf.DUMMYFUNCTION("""COMPUTED_VALUE"""),0.9375)</f>
        <v>0.9375</v>
      </c>
      <c r="D88" s="29" t="str">
        <f>IFERROR(__xludf.DUMMYFUNCTION("""COMPUTED_VALUE"""),"Vencedor Grupo K")</f>
        <v>Vencedor Grupo K</v>
      </c>
      <c r="E88" s="12"/>
      <c r="F88" s="30" t="s">
        <v>5</v>
      </c>
      <c r="G88" s="12"/>
      <c r="H88" s="31" t="str">
        <f>IFERROR(__xludf.DUMMYFUNCTION("""COMPUTED_VALUE"""),"3º colocado Grupos D/E/I/J/L")</f>
        <v>3º colocado Grupos D/E/I/J/L</v>
      </c>
      <c r="I88" s="26" t="str">
        <f>IFERROR(__xludf.DUMMYFUNCTION("""COMPUTED_VALUE"""),"N/A")</f>
        <v>N/A</v>
      </c>
      <c r="J88" s="26" t="str">
        <f>IFERROR(__xludf.DUMMYFUNCTION("""COMPUTED_VALUE"""),"fase de 32-avos")</f>
        <v>fase de 32-avos</v>
      </c>
    </row>
    <row r="89">
      <c r="A89" s="26">
        <f>IFERROR(__xludf.DUMMYFUNCTION("""COMPUTED_VALUE"""),88.0)</f>
        <v>88</v>
      </c>
      <c r="B89" s="27">
        <f>IFERROR(__xludf.DUMMYFUNCTION("""COMPUTED_VALUE"""),46206.0)</f>
        <v>46206</v>
      </c>
      <c r="C89" s="28">
        <f>IFERROR(__xludf.DUMMYFUNCTION("""COMPUTED_VALUE"""),0.625)</f>
        <v>0.625</v>
      </c>
      <c r="D89" s="29" t="str">
        <f>IFERROR(__xludf.DUMMYFUNCTION("""COMPUTED_VALUE"""),"2º colocado Grupo D")</f>
        <v>2º colocado Grupo D</v>
      </c>
      <c r="E89" s="10"/>
      <c r="F89" s="30" t="s">
        <v>5</v>
      </c>
      <c r="G89" s="12"/>
      <c r="H89" s="31" t="str">
        <f>IFERROR(__xludf.DUMMYFUNCTION("""COMPUTED_VALUE"""),"2º colocado Grupo G")</f>
        <v>2º colocado Grupo G</v>
      </c>
      <c r="I89" s="26" t="str">
        <f>IFERROR(__xludf.DUMMYFUNCTION("""COMPUTED_VALUE"""),"N/A")</f>
        <v>N/A</v>
      </c>
      <c r="J89" s="26" t="str">
        <f>IFERROR(__xludf.DUMMYFUNCTION("""COMPUTED_VALUE"""),"fase de 32-avos")</f>
        <v>fase de 32-avos</v>
      </c>
    </row>
    <row r="90">
      <c r="A90" s="32">
        <f>IFERROR(__xludf.DUMMYFUNCTION("""COMPUTED_VALUE"""),89.0)</f>
        <v>89</v>
      </c>
      <c r="B90" s="33">
        <f>IFERROR(__xludf.DUMMYFUNCTION("""COMPUTED_VALUE"""),46207.0)</f>
        <v>46207</v>
      </c>
      <c r="C90" s="34">
        <f>IFERROR(__xludf.DUMMYFUNCTION("""COMPUTED_VALUE"""),0.75)</f>
        <v>0.75</v>
      </c>
      <c r="D90" s="35" t="str">
        <f>IFERROR(__xludf.DUMMYFUNCTION("""COMPUTED_VALUE"""),"Vencedor jogo 74")</f>
        <v>Vencedor jogo 74</v>
      </c>
      <c r="E90" s="12"/>
      <c r="F90" s="36" t="s">
        <v>5</v>
      </c>
      <c r="G90" s="12"/>
      <c r="H90" s="37" t="str">
        <f>IFERROR(__xludf.DUMMYFUNCTION("""COMPUTED_VALUE"""),"Vencedor jogo 77")</f>
        <v>Vencedor jogo 77</v>
      </c>
      <c r="I90" s="32" t="str">
        <f>IFERROR(__xludf.DUMMYFUNCTION("""COMPUTED_VALUE"""),"N/A")</f>
        <v>N/A</v>
      </c>
      <c r="J90" s="32" t="str">
        <f>IFERROR(__xludf.DUMMYFUNCTION("""COMPUTED_VALUE"""),"Oitavas de final")</f>
        <v>Oitavas de final</v>
      </c>
    </row>
    <row r="91">
      <c r="A91" s="32">
        <f>IFERROR(__xludf.DUMMYFUNCTION("""COMPUTED_VALUE"""),90.0)</f>
        <v>90</v>
      </c>
      <c r="B91" s="33">
        <f>IFERROR(__xludf.DUMMYFUNCTION("""COMPUTED_VALUE"""),46207.0)</f>
        <v>46207</v>
      </c>
      <c r="C91" s="34">
        <f>IFERROR(__xludf.DUMMYFUNCTION("""COMPUTED_VALUE"""),0.5833333333333334)</f>
        <v>0.5833333333</v>
      </c>
      <c r="D91" s="35" t="str">
        <f>IFERROR(__xludf.DUMMYFUNCTION("""COMPUTED_VALUE"""),"Vencedor jogo 73")</f>
        <v>Vencedor jogo 73</v>
      </c>
      <c r="E91" s="12"/>
      <c r="F91" s="36" t="s">
        <v>5</v>
      </c>
      <c r="G91" s="12"/>
      <c r="H91" s="37" t="str">
        <f>IFERROR(__xludf.DUMMYFUNCTION("""COMPUTED_VALUE"""),"Vencedor jogo 75")</f>
        <v>Vencedor jogo 75</v>
      </c>
      <c r="I91" s="32" t="str">
        <f>IFERROR(__xludf.DUMMYFUNCTION("""COMPUTED_VALUE"""),"N/A")</f>
        <v>N/A</v>
      </c>
      <c r="J91" s="32" t="str">
        <f>IFERROR(__xludf.DUMMYFUNCTION("""COMPUTED_VALUE"""),"Oitavas de final")</f>
        <v>Oitavas de final</v>
      </c>
    </row>
    <row r="92">
      <c r="A92" s="32">
        <f>IFERROR(__xludf.DUMMYFUNCTION("""COMPUTED_VALUE"""),91.0)</f>
        <v>91</v>
      </c>
      <c r="B92" s="33">
        <f>IFERROR(__xludf.DUMMYFUNCTION("""COMPUTED_VALUE"""),46208.0)</f>
        <v>46208</v>
      </c>
      <c r="C92" s="34">
        <f>IFERROR(__xludf.DUMMYFUNCTION("""COMPUTED_VALUE"""),0.7083333333333334)</f>
        <v>0.7083333333</v>
      </c>
      <c r="D92" s="35" t="str">
        <f>IFERROR(__xludf.DUMMYFUNCTION("""COMPUTED_VALUE"""),"Vencedor jogo 76")</f>
        <v>Vencedor jogo 76</v>
      </c>
      <c r="E92" s="12"/>
      <c r="F92" s="36" t="s">
        <v>5</v>
      </c>
      <c r="G92" s="12"/>
      <c r="H92" s="37" t="str">
        <f>IFERROR(__xludf.DUMMYFUNCTION("""COMPUTED_VALUE"""),"Vencedor jogo 78")</f>
        <v>Vencedor jogo 78</v>
      </c>
      <c r="I92" s="32" t="str">
        <f>IFERROR(__xludf.DUMMYFUNCTION("""COMPUTED_VALUE"""),"N/A")</f>
        <v>N/A</v>
      </c>
      <c r="J92" s="32" t="str">
        <f>IFERROR(__xludf.DUMMYFUNCTION("""COMPUTED_VALUE"""),"Oitavas de final")</f>
        <v>Oitavas de final</v>
      </c>
    </row>
    <row r="93">
      <c r="A93" s="32">
        <f>IFERROR(__xludf.DUMMYFUNCTION("""COMPUTED_VALUE"""),92.0)</f>
        <v>92</v>
      </c>
      <c r="B93" s="33">
        <f>IFERROR(__xludf.DUMMYFUNCTION("""COMPUTED_VALUE"""),46208.0)</f>
        <v>46208</v>
      </c>
      <c r="C93" s="34">
        <f>IFERROR(__xludf.DUMMYFUNCTION("""COMPUTED_VALUE"""),0.875)</f>
        <v>0.875</v>
      </c>
      <c r="D93" s="35" t="str">
        <f>IFERROR(__xludf.DUMMYFUNCTION("""COMPUTED_VALUE"""),"Vencedor jogo 79")</f>
        <v>Vencedor jogo 79</v>
      </c>
      <c r="E93" s="12"/>
      <c r="F93" s="36" t="s">
        <v>5</v>
      </c>
      <c r="G93" s="12"/>
      <c r="H93" s="37" t="str">
        <f>IFERROR(__xludf.DUMMYFUNCTION("""COMPUTED_VALUE"""),"Vencedor jogo 80")</f>
        <v>Vencedor jogo 80</v>
      </c>
      <c r="I93" s="32" t="str">
        <f>IFERROR(__xludf.DUMMYFUNCTION("""COMPUTED_VALUE"""),"N/A")</f>
        <v>N/A</v>
      </c>
      <c r="J93" s="32" t="str">
        <f>IFERROR(__xludf.DUMMYFUNCTION("""COMPUTED_VALUE"""),"Oitavas de final")</f>
        <v>Oitavas de final</v>
      </c>
    </row>
    <row r="94">
      <c r="A94" s="32">
        <f>IFERROR(__xludf.DUMMYFUNCTION("""COMPUTED_VALUE"""),93.0)</f>
        <v>93</v>
      </c>
      <c r="B94" s="33">
        <f>IFERROR(__xludf.DUMMYFUNCTION("""COMPUTED_VALUE"""),46209.0)</f>
        <v>46209</v>
      </c>
      <c r="C94" s="34">
        <f>IFERROR(__xludf.DUMMYFUNCTION("""COMPUTED_VALUE"""),0.6666666666666666)</f>
        <v>0.6666666667</v>
      </c>
      <c r="D94" s="35" t="str">
        <f>IFERROR(__xludf.DUMMYFUNCTION("""COMPUTED_VALUE"""),"Vencedor jogo 83")</f>
        <v>Vencedor jogo 83</v>
      </c>
      <c r="E94" s="12"/>
      <c r="F94" s="36" t="s">
        <v>5</v>
      </c>
      <c r="G94" s="12"/>
      <c r="H94" s="37" t="str">
        <f>IFERROR(__xludf.DUMMYFUNCTION("""COMPUTED_VALUE"""),"Vencedor jogo 84")</f>
        <v>Vencedor jogo 84</v>
      </c>
      <c r="I94" s="32" t="str">
        <f>IFERROR(__xludf.DUMMYFUNCTION("""COMPUTED_VALUE"""),"N/A")</f>
        <v>N/A</v>
      </c>
      <c r="J94" s="32" t="str">
        <f>IFERROR(__xludf.DUMMYFUNCTION("""COMPUTED_VALUE"""),"Oitavas de final")</f>
        <v>Oitavas de final</v>
      </c>
    </row>
    <row r="95">
      <c r="A95" s="32">
        <f>IFERROR(__xludf.DUMMYFUNCTION("""COMPUTED_VALUE"""),94.0)</f>
        <v>94</v>
      </c>
      <c r="B95" s="33">
        <f>IFERROR(__xludf.DUMMYFUNCTION("""COMPUTED_VALUE"""),46209.0)</f>
        <v>46209</v>
      </c>
      <c r="C95" s="34">
        <f>IFERROR(__xludf.DUMMYFUNCTION("""COMPUTED_VALUE"""),0.875)</f>
        <v>0.875</v>
      </c>
      <c r="D95" s="35" t="str">
        <f>IFERROR(__xludf.DUMMYFUNCTION("""COMPUTED_VALUE"""),"Vencedor jogo 81")</f>
        <v>Vencedor jogo 81</v>
      </c>
      <c r="E95" s="12"/>
      <c r="F95" s="36" t="s">
        <v>5</v>
      </c>
      <c r="G95" s="12"/>
      <c r="H95" s="37" t="str">
        <f>IFERROR(__xludf.DUMMYFUNCTION("""COMPUTED_VALUE"""),"Vencedor jogo 82")</f>
        <v>Vencedor jogo 82</v>
      </c>
      <c r="I95" s="32" t="str">
        <f>IFERROR(__xludf.DUMMYFUNCTION("""COMPUTED_VALUE"""),"N/A")</f>
        <v>N/A</v>
      </c>
      <c r="J95" s="32" t="str">
        <f>IFERROR(__xludf.DUMMYFUNCTION("""COMPUTED_VALUE"""),"Oitavas de final")</f>
        <v>Oitavas de final</v>
      </c>
    </row>
    <row r="96">
      <c r="A96" s="32">
        <f>IFERROR(__xludf.DUMMYFUNCTION("""COMPUTED_VALUE"""),95.0)</f>
        <v>95</v>
      </c>
      <c r="B96" s="33">
        <f>IFERROR(__xludf.DUMMYFUNCTION("""COMPUTED_VALUE"""),46210.0)</f>
        <v>46210</v>
      </c>
      <c r="C96" s="34">
        <f>IFERROR(__xludf.DUMMYFUNCTION("""COMPUTED_VALUE"""),0.5416666666666666)</f>
        <v>0.5416666667</v>
      </c>
      <c r="D96" s="35" t="str">
        <f>IFERROR(__xludf.DUMMYFUNCTION("""COMPUTED_VALUE"""),"Vencedor jogo 86")</f>
        <v>Vencedor jogo 86</v>
      </c>
      <c r="E96" s="12"/>
      <c r="F96" s="36" t="s">
        <v>5</v>
      </c>
      <c r="G96" s="12"/>
      <c r="H96" s="37" t="str">
        <f>IFERROR(__xludf.DUMMYFUNCTION("""COMPUTED_VALUE"""),"Vencedor jogo 88")</f>
        <v>Vencedor jogo 88</v>
      </c>
      <c r="I96" s="32" t="str">
        <f>IFERROR(__xludf.DUMMYFUNCTION("""COMPUTED_VALUE"""),"N/A")</f>
        <v>N/A</v>
      </c>
      <c r="J96" s="32" t="str">
        <f>IFERROR(__xludf.DUMMYFUNCTION("""COMPUTED_VALUE"""),"Oitavas de final")</f>
        <v>Oitavas de final</v>
      </c>
    </row>
    <row r="97">
      <c r="A97" s="32">
        <f>IFERROR(__xludf.DUMMYFUNCTION("""COMPUTED_VALUE"""),96.0)</f>
        <v>96</v>
      </c>
      <c r="B97" s="33">
        <f>IFERROR(__xludf.DUMMYFUNCTION("""COMPUTED_VALUE"""),46210.0)</f>
        <v>46210</v>
      </c>
      <c r="C97" s="34">
        <f>IFERROR(__xludf.DUMMYFUNCTION("""COMPUTED_VALUE"""),0.7083333333333334)</f>
        <v>0.7083333333</v>
      </c>
      <c r="D97" s="35" t="str">
        <f>IFERROR(__xludf.DUMMYFUNCTION("""COMPUTED_VALUE"""),"Vencedor jogo 85")</f>
        <v>Vencedor jogo 85</v>
      </c>
      <c r="E97" s="12"/>
      <c r="F97" s="36" t="s">
        <v>5</v>
      </c>
      <c r="G97" s="12"/>
      <c r="H97" s="37" t="str">
        <f>IFERROR(__xludf.DUMMYFUNCTION("""COMPUTED_VALUE"""),"Vencedor jogo 87")</f>
        <v>Vencedor jogo 87</v>
      </c>
      <c r="I97" s="32" t="str">
        <f>IFERROR(__xludf.DUMMYFUNCTION("""COMPUTED_VALUE"""),"N/A")</f>
        <v>N/A</v>
      </c>
      <c r="J97" s="32" t="str">
        <f>IFERROR(__xludf.DUMMYFUNCTION("""COMPUTED_VALUE"""),"Oitavas de final")</f>
        <v>Oitavas de final</v>
      </c>
    </row>
    <row r="98">
      <c r="A98" s="38">
        <f>IFERROR(__xludf.DUMMYFUNCTION("""COMPUTED_VALUE"""),97.0)</f>
        <v>97</v>
      </c>
      <c r="B98" s="39">
        <f>IFERROR(__xludf.DUMMYFUNCTION("""COMPUTED_VALUE"""),46212.0)</f>
        <v>46212</v>
      </c>
      <c r="C98" s="40">
        <f>IFERROR(__xludf.DUMMYFUNCTION("""COMPUTED_VALUE"""),0.7083333333333334)</f>
        <v>0.7083333333</v>
      </c>
      <c r="D98" s="41" t="str">
        <f>IFERROR(__xludf.DUMMYFUNCTION("""COMPUTED_VALUE"""),"Vencedor jogo 89")</f>
        <v>Vencedor jogo 89</v>
      </c>
      <c r="E98" s="12"/>
      <c r="F98" s="42" t="s">
        <v>5</v>
      </c>
      <c r="G98" s="12"/>
      <c r="H98" s="43" t="str">
        <f>IFERROR(__xludf.DUMMYFUNCTION("""COMPUTED_VALUE"""),"Vencedor jogo 90")</f>
        <v>Vencedor jogo 90</v>
      </c>
      <c r="I98" s="44" t="str">
        <f>IFERROR(__xludf.DUMMYFUNCTION("""COMPUTED_VALUE"""),"N/A")</f>
        <v>N/A</v>
      </c>
      <c r="J98" s="44" t="str">
        <f>IFERROR(__xludf.DUMMYFUNCTION("""COMPUTED_VALUE"""),"Quartas de final")</f>
        <v>Quartas de final</v>
      </c>
    </row>
    <row r="99">
      <c r="A99" s="38">
        <f>IFERROR(__xludf.DUMMYFUNCTION("""COMPUTED_VALUE"""),98.0)</f>
        <v>98</v>
      </c>
      <c r="B99" s="39">
        <f>IFERROR(__xludf.DUMMYFUNCTION("""COMPUTED_VALUE"""),46213.0)</f>
        <v>46213</v>
      </c>
      <c r="C99" s="40">
        <f>IFERROR(__xludf.DUMMYFUNCTION("""COMPUTED_VALUE"""),0.6666666666666666)</f>
        <v>0.6666666667</v>
      </c>
      <c r="D99" s="41" t="str">
        <f>IFERROR(__xludf.DUMMYFUNCTION("""COMPUTED_VALUE"""),"Vencedor jogo 93")</f>
        <v>Vencedor jogo 93</v>
      </c>
      <c r="E99" s="12"/>
      <c r="F99" s="42" t="s">
        <v>5</v>
      </c>
      <c r="G99" s="12"/>
      <c r="H99" s="43" t="str">
        <f>IFERROR(__xludf.DUMMYFUNCTION("""COMPUTED_VALUE"""),"Vencedor jogo 94")</f>
        <v>Vencedor jogo 94</v>
      </c>
      <c r="I99" s="44" t="str">
        <f>IFERROR(__xludf.DUMMYFUNCTION("""COMPUTED_VALUE"""),"N/A")</f>
        <v>N/A</v>
      </c>
      <c r="J99" s="44" t="str">
        <f>IFERROR(__xludf.DUMMYFUNCTION("""COMPUTED_VALUE"""),"Quartas de final")</f>
        <v>Quartas de final</v>
      </c>
    </row>
    <row r="100">
      <c r="A100" s="38">
        <f>IFERROR(__xludf.DUMMYFUNCTION("""COMPUTED_VALUE"""),99.0)</f>
        <v>99</v>
      </c>
      <c r="B100" s="39">
        <f>IFERROR(__xludf.DUMMYFUNCTION("""COMPUTED_VALUE"""),46215.0)</f>
        <v>46215</v>
      </c>
      <c r="C100" s="40">
        <f>IFERROR(__xludf.DUMMYFUNCTION("""COMPUTED_VALUE"""),0.75)</f>
        <v>0.75</v>
      </c>
      <c r="D100" s="41" t="str">
        <f>IFERROR(__xludf.DUMMYFUNCTION("""COMPUTED_VALUE"""),"Vencedor jogo 91")</f>
        <v>Vencedor jogo 91</v>
      </c>
      <c r="E100" s="12"/>
      <c r="F100" s="42" t="s">
        <v>5</v>
      </c>
      <c r="G100" s="12"/>
      <c r="H100" s="43" t="str">
        <f>IFERROR(__xludf.DUMMYFUNCTION("""COMPUTED_VALUE"""),"Vencedor jogo 92")</f>
        <v>Vencedor jogo 92</v>
      </c>
      <c r="I100" s="44" t="str">
        <f>IFERROR(__xludf.DUMMYFUNCTION("""COMPUTED_VALUE"""),"N/A")</f>
        <v>N/A</v>
      </c>
      <c r="J100" s="44" t="str">
        <f>IFERROR(__xludf.DUMMYFUNCTION("""COMPUTED_VALUE"""),"Quartas de final")</f>
        <v>Quartas de final</v>
      </c>
    </row>
    <row r="101">
      <c r="A101" s="38">
        <f>IFERROR(__xludf.DUMMYFUNCTION("""COMPUTED_VALUE"""),100.0)</f>
        <v>100</v>
      </c>
      <c r="B101" s="39">
        <f>IFERROR(__xludf.DUMMYFUNCTION("""COMPUTED_VALUE"""),46215.0)</f>
        <v>46215</v>
      </c>
      <c r="C101" s="40">
        <f>IFERROR(__xludf.DUMMYFUNCTION("""COMPUTED_VALUE"""),0.9166666666666666)</f>
        <v>0.9166666667</v>
      </c>
      <c r="D101" s="41" t="str">
        <f>IFERROR(__xludf.DUMMYFUNCTION("""COMPUTED_VALUE"""),"Vencedor jogo 95")</f>
        <v>Vencedor jogo 95</v>
      </c>
      <c r="E101" s="12"/>
      <c r="F101" s="42" t="s">
        <v>5</v>
      </c>
      <c r="G101" s="12"/>
      <c r="H101" s="43" t="str">
        <f>IFERROR(__xludf.DUMMYFUNCTION("""COMPUTED_VALUE"""),"Vencedor jogo 96")</f>
        <v>Vencedor jogo 96</v>
      </c>
      <c r="I101" s="44" t="str">
        <f>IFERROR(__xludf.DUMMYFUNCTION("""COMPUTED_VALUE"""),"N/A")</f>
        <v>N/A</v>
      </c>
      <c r="J101" s="44" t="str">
        <f>IFERROR(__xludf.DUMMYFUNCTION("""COMPUTED_VALUE"""),"Quartas de final")</f>
        <v>Quartas de final</v>
      </c>
    </row>
    <row r="102">
      <c r="A102" s="45">
        <f>IFERROR(__xludf.DUMMYFUNCTION("""COMPUTED_VALUE"""),101.0)</f>
        <v>101</v>
      </c>
      <c r="B102" s="46">
        <f>IFERROR(__xludf.DUMMYFUNCTION("""COMPUTED_VALUE"""),46217.0)</f>
        <v>46217</v>
      </c>
      <c r="C102" s="47">
        <f>IFERROR(__xludf.DUMMYFUNCTION("""COMPUTED_VALUE"""),0.6666666666666666)</f>
        <v>0.6666666667</v>
      </c>
      <c r="D102" s="48" t="str">
        <f>IFERROR(__xludf.DUMMYFUNCTION("""COMPUTED_VALUE"""),"Vencedor jogo 97")</f>
        <v>Vencedor jogo 97</v>
      </c>
      <c r="E102" s="10"/>
      <c r="F102" s="49" t="s">
        <v>5</v>
      </c>
      <c r="G102" s="12"/>
      <c r="H102" s="50" t="str">
        <f>IFERROR(__xludf.DUMMYFUNCTION("""COMPUTED_VALUE"""),"Vencedor jogo 98")</f>
        <v>Vencedor jogo 98</v>
      </c>
      <c r="I102" s="45" t="str">
        <f>IFERROR(__xludf.DUMMYFUNCTION("""COMPUTED_VALUE"""),"N/A")</f>
        <v>N/A</v>
      </c>
      <c r="J102" s="45" t="str">
        <f>IFERROR(__xludf.DUMMYFUNCTION("""COMPUTED_VALUE"""),"Semifinais")</f>
        <v>Semifinais</v>
      </c>
    </row>
    <row r="103">
      <c r="A103" s="45">
        <f>IFERROR(__xludf.DUMMYFUNCTION("""COMPUTED_VALUE"""),102.0)</f>
        <v>102</v>
      </c>
      <c r="B103" s="46">
        <f>IFERROR(__xludf.DUMMYFUNCTION("""COMPUTED_VALUE"""),46218.0)</f>
        <v>46218</v>
      </c>
      <c r="C103" s="47">
        <f>IFERROR(__xludf.DUMMYFUNCTION("""COMPUTED_VALUE"""),0.6666666666666666)</f>
        <v>0.6666666667</v>
      </c>
      <c r="D103" s="48" t="str">
        <f>IFERROR(__xludf.DUMMYFUNCTION("""COMPUTED_VALUE"""),"Vencedor jogo 99")</f>
        <v>Vencedor jogo 99</v>
      </c>
      <c r="E103" s="12"/>
      <c r="F103" s="49" t="s">
        <v>5</v>
      </c>
      <c r="G103" s="12"/>
      <c r="H103" s="50" t="str">
        <f>IFERROR(__xludf.DUMMYFUNCTION("""COMPUTED_VALUE"""),"Vencedor jogo 100")</f>
        <v>Vencedor jogo 100</v>
      </c>
      <c r="I103" s="45" t="str">
        <f>IFERROR(__xludf.DUMMYFUNCTION("""COMPUTED_VALUE"""),"N/A")</f>
        <v>N/A</v>
      </c>
      <c r="J103" s="45" t="str">
        <f>IFERROR(__xludf.DUMMYFUNCTION("""COMPUTED_VALUE"""),"Semifinais")</f>
        <v>Semifinais</v>
      </c>
    </row>
    <row r="104">
      <c r="A104" s="51">
        <f>IFERROR(__xludf.DUMMYFUNCTION("""COMPUTED_VALUE"""),103.0)</f>
        <v>103</v>
      </c>
      <c r="B104" s="52">
        <f>IFERROR(__xludf.DUMMYFUNCTION("""COMPUTED_VALUE"""),46221.0)</f>
        <v>46221</v>
      </c>
      <c r="C104" s="53">
        <f>IFERROR(__xludf.DUMMYFUNCTION("""COMPUTED_VALUE"""),0.75)</f>
        <v>0.75</v>
      </c>
      <c r="D104" s="54" t="str">
        <f>IFERROR(__xludf.DUMMYFUNCTION("""COMPUTED_VALUE"""),"Perdedor jogo 101")</f>
        <v>Perdedor jogo 101</v>
      </c>
      <c r="E104" s="12"/>
      <c r="F104" s="55" t="s">
        <v>5</v>
      </c>
      <c r="G104" s="10"/>
      <c r="H104" s="56" t="str">
        <f>IFERROR(__xludf.DUMMYFUNCTION("""COMPUTED_VALUE"""),"Perdedor jogo 102")</f>
        <v>Perdedor jogo 102</v>
      </c>
      <c r="I104" s="51" t="str">
        <f>IFERROR(__xludf.DUMMYFUNCTION("""COMPUTED_VALUE"""),"N/A")</f>
        <v>N/A</v>
      </c>
      <c r="J104" s="51" t="str">
        <f>IFERROR(__xludf.DUMMYFUNCTION("""COMPUTED_VALUE"""),"Disputa do 3º lugar")</f>
        <v>Disputa do 3º lugar</v>
      </c>
    </row>
    <row r="105">
      <c r="A105" s="57">
        <f>IFERROR(__xludf.DUMMYFUNCTION("""COMPUTED_VALUE"""),104.0)</f>
        <v>104</v>
      </c>
      <c r="B105" s="58">
        <f>IFERROR(__xludf.DUMMYFUNCTION("""COMPUTED_VALUE"""),46222.0)</f>
        <v>46222</v>
      </c>
      <c r="C105" s="59">
        <f>IFERROR(__xludf.DUMMYFUNCTION("""COMPUTED_VALUE"""),0.6666666666666666)</f>
        <v>0.6666666667</v>
      </c>
      <c r="D105" s="60" t="str">
        <f>IFERROR(__xludf.DUMMYFUNCTION("""COMPUTED_VALUE"""),"Vencedor jogo 101")</f>
        <v>Vencedor jogo 101</v>
      </c>
      <c r="E105" s="12"/>
      <c r="F105" s="61" t="s">
        <v>5</v>
      </c>
      <c r="G105" s="12"/>
      <c r="H105" s="62" t="str">
        <f>IFERROR(__xludf.DUMMYFUNCTION("""COMPUTED_VALUE"""),"Vencedor jogo 102")</f>
        <v>Vencedor jogo 102</v>
      </c>
      <c r="I105" s="57" t="str">
        <f>IFERROR(__xludf.DUMMYFUNCTION("""COMPUTED_VALUE"""),"N/A")</f>
        <v>N/A</v>
      </c>
      <c r="J105" s="57" t="str">
        <f>IFERROR(__xludf.DUMMYFUNCTION("""COMPUTED_VALUE"""),"Final")</f>
        <v>Final</v>
      </c>
    </row>
  </sheetData>
  <dataValidations>
    <dataValidation type="custom" allowBlank="1" showDropDown="1" showInputMessage="1" showErrorMessage="1" prompt="O prazo para palpitar neste jogo já encerrou!" sqref="E2:E105 G2:G105">
      <formula1>NOW() &lt; ($B2 +$C2)</formula1>
    </dataValidation>
  </dataValidations>
  <drawing r:id="rId1"/>
  <tableParts count="2">
    <tablePart r:id="rId4"/>
    <tablePart r:id="rId5"/>
  </tableParts>
</worksheet>
</file>